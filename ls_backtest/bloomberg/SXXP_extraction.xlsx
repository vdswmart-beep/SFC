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arams" sheetId="2" r:id="rId2"/>
    <sheet name="Members" sheetId="3" r:id="rId3"/>
    <sheet name="Universe" sheetId="4" r:id="rId4"/>
    <sheet name="TR" sheetId="5" r:id="rId5"/>
    <sheet name="PB" sheetId="6" r:id="rId6"/>
    <sheet name="ROE" sheetId="7" r:id="rId7"/>
    <sheet name="Benchmark" sheetId="8" r:id="rId8"/>
  </sheets>
  <definedNames>
    <definedName name="BenchTicker">Params!$B$5</definedName>
    <definedName name="DataEnd">Params!$B$10</definedName>
    <definedName name="DataStart">Params!$B$9</definedName>
    <definedName name="FxCurrency">Params!$B$7</definedName>
    <definedName name="IndexTicker">Params!$B$4</definedName>
    <definedName name="MembersStart">Params!$B$8</definedName>
    <definedName name="RfTicker">Params!$B$6</definedName>
    <definedName name="SwitchPB">Params!$B$15</definedName>
    <definedName name="SwitchROE">Params!$B$16</definedName>
    <definedName name="SwitchTR">Params!$B$14</definedName>
    <definedName name="SwitchUniverse">Params!$B$13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<sst xmlns="http://schemas.openxmlformats.org/spreadsheetml/2006/main" count="12075" uniqueCount="72">
  <si>
    <t>STOXX Europe 600 extraction for the SFC backtest (ls_backtest)</t>
  </si>
  <si>
    <t>Downloads from Bloomberg the monthly data the model needs (index members, total return index, price-to-book, ROE, sectors, benchmark, risk-free rate) for every stock that was in the STOXX Europe 600 between 2005 and 2025, delisted stocks included.</t>
  </si>
  <si>
    <t>Before you start</t>
  </si>
  <si>
    <t>1. Use a Bloomberg terminal with the Excel add-in (Bloomberg tab in the ribbon) and Microsoft 365: the Universe sheet uses dynamic array formulas (SORT, UNIQUE, FILTER).</t>
  </si>
  <si>
    <t>2. First save a copy under the name SXXP_extraction.xlsx (File &gt; Save As), outside the repository's bloomberg/ folder: that template must stay empty because it is on GitHub, while the refreshed copy holds licensed Bloomberg data.</t>
  </si>
  <si>
    <t>3. Bloomberg caps the data a user can download per day and per month. The full extraction is large (about 1,500 stocks x 288 months x 3 fields): run one step per session and stop if cells show a limit message (e.g. #N/A Limit).</t>
  </si>
  <si>
    <t>Steps (switches and checks are in the Params sheet)</t>
  </si>
  <si>
    <t>Step 1 - Members (automatic on opening): index members at each of the 252 month-ends (BDS INDX_MWEIGHT_HIST). Wait until Params shows 252 months loaded.</t>
  </si>
  <si>
    <t>Step 2 - Universe: set the Universe switch to ON. Names and GICS sectors of every stock ever in the index (BDP).</t>
  </si>
  <si>
    <t>Step 3 - TR: set the TR switch to ON and wait until 'TR blocks with data' is close to 'Stocks in the universe' (delisted stocks may lack data). Save.</t>
  </si>
  <si>
    <t>Step 4 - PB: same with the PB switch. Save.</t>
  </si>
  <si>
    <t>Step 5 - ROE: same with the ROE switch. Save.</t>
  </si>
  <si>
    <t>Step 6 - Convert: put the refreshed workbook in ls_backtest/data/bloomberg/ (ignored by git) on the computer that has the code, then from ls_backtest/: python bloomberg_to_csv.py data/bloomberg/SXXP_extraction.xlsx and python main.py data/bloomberg. Before the first run on Bloomberg data, set in config.py: MIN_SECTOR_SIZE = 5, MIN_STOCKS_DATE = 50 and SHOW_HOLDOUT = False.</t>
  </si>
  <si>
    <t>Do not</t>
  </si>
  <si>
    <t>- Switch a data step ON before Step 1 is complete: the Universe list would still move and Bloomberg would download series for the wrong rows.</t>
  </si>
  <si>
    <t>- Insert or delete rows or columns: bloomberg_to_csv.py reads fixed positions.</t>
  </si>
  <si>
    <t>Sheets</t>
  </si>
  <si>
    <t>Params: inputs (blue), switches (yellow), checks. Members: one block per month-end: date in column A, number of members next to it, then the members (column B) and their weights (column C). Universe: unique list of members (formula), Bloomberg ticker, name, GICS sector. TR, PB, ROE: two columns per stock: ticker (row 1), months loaded (row 2), then dates and values from row 4. Benchmark: index level and risk-free rate.</t>
  </si>
  <si>
    <t>Fields and options</t>
  </si>
  <si>
    <t>INDX_MWEIGHT_HIST (BDS, override END_DATE_OVERRIDE=YYYYMMDD): members and weights at a date. TOT_RETURN_INDEX_GROSS_DVDS: total return index, gross dividends reinvested, in EUR. PX_TO_BOOK_RATIO: price / book value per share; the converter computes B/P = 1 / (P/B), blank when P/B &lt;= 0. RETURN_COM_EQY: return on common equity in %; the converter divides it by 100. NAME, GICS_SECTOR_NAME (BDP): current values. PX_LAST: benchmark level and 1-month Euribor (annualized, in %).</t>
  </si>
  <si>
    <t>BDH options: Per=M (monthly), Days=A (calendar month-ends), Fill=P (last value carried forward), Currency=EUR (TR only; ratios have no currency).</t>
  </si>
  <si>
    <t>Benchmark: SXXGR Index (gross return) matches the gross total returns of the stocks; SXXR Index is the net return version.</t>
  </si>
  <si>
    <t>Troubleshooting</t>
  </si>
  <si>
    <t>- #NAME? in the Bloomberg cells: the add-in is not loaded. Bloomberg tab &gt; Refresh Workbook, or Find &amp; Replace '=' by '=' to re-enter the formulas.</t>
  </si>
  <si>
    <t>- #NAME? or #CALC! in Universe!A2: this Excel has no dynamic arrays. After Step 1, save, then run python bloomberg_to_csv.py --universe data/bloomberg/SXXP_extraction.xlsx and paste the column of universe.csv into Universe!A2 as values.</t>
  </si>
  <si>
    <t>- More than 2,000 stocks (see Params): copy the last two columns of TR, PB and ROE to the right and increase the Universe row number in their row-1 formulas.</t>
  </si>
  <si>
    <t>Parameters</t>
  </si>
  <si>
    <t>Edit the blue cells if needed; switch the yellow cells to ON one step at a time (README sheet).</t>
  </si>
  <si>
    <t>Index (membership)</t>
  </si>
  <si>
    <t>SXXP Index</t>
  </si>
  <si>
    <t>STOXX Europe 600: its historical members define the universe</t>
  </si>
  <si>
    <t>Benchmark</t>
  </si>
  <si>
    <t>SXXGR Index</t>
  </si>
  <si>
    <t>STOXX Europe 600 gross return in EUR (like the stocks' gross total returns); net return: SXXR Index</t>
  </si>
  <si>
    <t>Risk-free rate</t>
  </si>
  <si>
    <t>EUR001M Index</t>
  </si>
  <si>
    <t>1-month Euribor, annualized, in %</t>
  </si>
  <si>
    <t>Currency</t>
  </si>
  <si>
    <t>EUR</t>
  </si>
  <si>
    <t>Total return indices are converted into this currency</t>
  </si>
  <si>
    <t>First membership month-end</t>
  </si>
  <si>
    <t>252 month-ends from this date (Members sheet)</t>
  </si>
  <si>
    <t>Data start</t>
  </si>
  <si>
    <t>3 years earlier: momentum and volatility need past prices</t>
  </si>
  <si>
    <t>Data end</t>
  </si>
  <si>
    <t>Last month-end</t>
  </si>
  <si>
    <t>Download switches (OFF / ON)</t>
  </si>
  <si>
    <t>Step 2 - Universe: names and sectors</t>
  </si>
  <si>
    <t>OFF</t>
  </si>
  <si>
    <t>Step 3 - TR: total return index</t>
  </si>
  <si>
    <t>Step 4 - PB: price to book</t>
  </si>
  <si>
    <t>Step 5 - ROE: return on equity</t>
  </si>
  <si>
    <t>Turn ON only once Members is complete (252 months loaded)</t>
  </si>
  <si>
    <t>Checks</t>
  </si>
  <si>
    <t>Months loaded (expected 252)</t>
  </si>
  <si>
    <t>Stocks in the universe</t>
  </si>
  <si>
    <t>TR blocks with data</t>
  </si>
  <si>
    <t>PB blocks with data</t>
  </si>
  <si>
    <t>ROE blocks with data</t>
  </si>
  <si>
    <t>Benchmark months loaded</t>
  </si>
  <si>
    <t>Risk-free months loaded</t>
  </si>
  <si>
    <t>Month-end</t>
  </si>
  <si>
    <t>Member</t>
  </si>
  <si>
    <t>Weight (%)</t>
  </si>
  <si>
    <t>Ticker</t>
  </si>
  <si>
    <t>Name</t>
  </si>
  <si>
    <t>GICS sector</t>
  </si>
  <si>
    <t>Date</t>
  </si>
  <si>
    <t>TOT_RETURN_INDEX_GROSS_DVDS</t>
  </si>
  <si>
    <t>PX_TO_BOOK_RATIO</t>
  </si>
  <si>
    <t>RETURN_COM_EQY</t>
  </si>
  <si>
    <t>PX_LAST</t>
  </si>
</sst>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i/>
      <sz val="10"/>
      <color rgb="FF595959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3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3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3" t="s">
        <v>16</v>
      </c>
    </row>
    <row r="18" spans="1:1">
      <c r="A18" s="2" t="s">
        <v>17</v>
      </c>
    </row>
    <row r="19" spans="1:1">
      <c r="A19" s="3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3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cols>
    <col min="1" max="1" width="38.7109375" customWidth="1"/>
    <col min="2" max="2" width="16.7109375" customWidth="1"/>
    <col min="3" max="3" width="90.7109375" customWidth="1"/>
  </cols>
  <sheetData>
    <row r="1" spans="1:3">
      <c r="A1" s="1" t="s">
        <v>26</v>
      </c>
    </row>
    <row r="2" spans="1:3">
      <c r="A2" s="4" t="s">
        <v>27</v>
      </c>
    </row>
    <row r="4" spans="1:3">
      <c r="A4" t="s">
        <v>28</v>
      </c>
      <c r="B4" s="5" t="s">
        <v>29</v>
      </c>
      <c r="C4" s="4" t="s">
        <v>30</v>
      </c>
    </row>
    <row r="5" spans="1:3">
      <c r="A5" t="s">
        <v>31</v>
      </c>
      <c r="B5" s="5" t="s">
        <v>32</v>
      </c>
      <c r="C5" s="4" t="s">
        <v>33</v>
      </c>
    </row>
    <row r="6" spans="1:3">
      <c r="A6" t="s">
        <v>34</v>
      </c>
      <c r="B6" s="5" t="s">
        <v>35</v>
      </c>
      <c r="C6" s="4" t="s">
        <v>36</v>
      </c>
    </row>
    <row r="7" spans="1:3">
      <c r="A7" t="s">
        <v>37</v>
      </c>
      <c r="B7" s="5" t="s">
        <v>38</v>
      </c>
      <c r="C7" s="4" t="s">
        <v>39</v>
      </c>
    </row>
    <row r="8" spans="1:3">
      <c r="A8" t="s">
        <v>40</v>
      </c>
      <c r="B8" s="6">
        <v>38383</v>
      </c>
      <c r="C8" s="4" t="s">
        <v>41</v>
      </c>
    </row>
    <row r="9" spans="1:3">
      <c r="A9" t="s">
        <v>42</v>
      </c>
      <c r="B9" s="6">
        <v>37287</v>
      </c>
      <c r="C9" s="4" t="s">
        <v>43</v>
      </c>
    </row>
    <row r="10" spans="1:3">
      <c r="A10" t="s">
        <v>44</v>
      </c>
      <c r="B10" s="6">
        <v>46022</v>
      </c>
      <c r="C10" s="4" t="s">
        <v>45</v>
      </c>
    </row>
    <row r="12" spans="1:3">
      <c r="A12" s="3" t="s">
        <v>46</v>
      </c>
    </row>
    <row r="13" spans="1:3">
      <c r="A13" t="s">
        <v>47</v>
      </c>
      <c r="B13" s="7" t="s">
        <v>48</v>
      </c>
      <c r="C13" s="4" t="s">
        <v>52</v>
      </c>
    </row>
    <row r="14" spans="1:3">
      <c r="A14" t="s">
        <v>49</v>
      </c>
      <c r="B14" s="7" t="s">
        <v>48</v>
      </c>
    </row>
    <row r="15" spans="1:3">
      <c r="A15" t="s">
        <v>50</v>
      </c>
      <c r="B15" s="7" t="s">
        <v>48</v>
      </c>
    </row>
    <row r="16" spans="1:3">
      <c r="A16" t="s">
        <v>51</v>
      </c>
      <c r="B16" s="7" t="s">
        <v>48</v>
      </c>
    </row>
    <row r="18" spans="1:3">
      <c r="A18" s="3" t="s">
        <v>53</v>
      </c>
    </row>
    <row r="19" spans="1:3">
      <c r="A19" t="s">
        <v>54</v>
      </c>
      <c r="B19" s="8">
        <f>COUNTIF(Members!$B$2:$B$153721,"&gt;=590")</f>
        <v>0</v>
      </c>
    </row>
    <row r="20" spans="1:3">
      <c r="A20" t="s">
        <v>55</v>
      </c>
      <c r="B20" s="8">
        <f>COUNTIF(Universe!$B$2:$B$2001,"?*")</f>
        <v>0</v>
      </c>
      <c r="C20" s="4">
        <f>IF(B20&gt;=2000,"More stocks than slots: see README, Troubleshooting","OK: "&amp;(2000-B20)&amp;" free slots")</f>
        <v/>
      </c>
    </row>
    <row r="21" spans="1:3">
      <c r="A21" t="s">
        <v>56</v>
      </c>
      <c r="B21" s="8">
        <f>COUNTIF(TR!$A$2:$EWV$2,"&gt;0")</f>
        <v>0</v>
      </c>
    </row>
    <row r="22" spans="1:3">
      <c r="A22" t="s">
        <v>57</v>
      </c>
      <c r="B22" s="8">
        <f>COUNTIF(PB!$A$2:$EWV$2,"&gt;0")</f>
        <v>0</v>
      </c>
    </row>
    <row r="23" spans="1:3">
      <c r="A23" t="s">
        <v>58</v>
      </c>
      <c r="B23" s="8">
        <f>COUNTIF(ROE!$A$2:$EWV$2,"&gt;0")</f>
        <v>0</v>
      </c>
    </row>
    <row r="24" spans="1:3">
      <c r="A24" t="s">
        <v>59</v>
      </c>
      <c r="B24" s="8">
        <f>Benchmark!A2</f>
        <v>0</v>
      </c>
    </row>
    <row r="25" spans="1:3">
      <c r="A25" t="s">
        <v>60</v>
      </c>
      <c r="B25" s="8">
        <f>Benchmark!C2</f>
        <v>0</v>
      </c>
    </row>
  </sheetData>
  <dataValidations count="4">
    <dataValidation type="list" allowBlank="1" showInputMessage="1" showErrorMessage="1" sqref="B13">
      <formula1>"OFF,ON"</formula1>
    </dataValidation>
    <dataValidation type="list" allowBlank="1" showInputMessage="1" showErrorMessage="1" sqref="B14">
      <formula1>"OFF,ON"</formula1>
    </dataValidation>
    <dataValidation type="list" allowBlank="1" showInputMessage="1" showErrorMessage="1" sqref="B15">
      <formula1>"OFF,ON"</formula1>
    </dataValidation>
    <dataValidation type="list" allowBlank="1" showInputMessage="1" showErrorMessage="1" sqref="B16">
      <formula1>"OFF,ON"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31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8.7109375" customWidth="1"/>
    <col min="3" max="3" width="12.7109375" customWidth="1"/>
  </cols>
  <sheetData>
    <row r="1" spans="1:3">
      <c r="A1" s="10" t="s">
        <v>61</v>
      </c>
      <c r="B1" s="10" t="s">
        <v>62</v>
      </c>
      <c r="C1" s="10" t="s">
        <v>63</v>
      </c>
    </row>
    <row r="2" spans="1:3">
      <c r="A2" s="9">
        <f>EOMONTH(MembersStart,0)</f>
        <v/>
      </c>
      <c r="B2" s="8">
        <f>COUNTA(B3:B611)</f>
        <v>0</v>
      </c>
    </row>
    <row r="3" spans="1:3">
      <c r="B3">
        <f>BDS(IndexTicker,"INDX_MWEIGHT_HIST","END_DATE_OVERRIDE="&amp;(YEAR($A2)*10000+MONTH($A2)*100+DAY($A2)))</f>
        <v/>
      </c>
    </row>
    <row r="612" spans="1:2">
      <c r="A612" s="9">
        <f>EOMONTH(A2,1)</f>
        <v/>
      </c>
      <c r="B612" s="8">
        <f>COUNTA(B613:B1221)</f>
        <v>0</v>
      </c>
    </row>
    <row r="613" spans="1:2">
      <c r="B613">
        <f>BDS(IndexTicker,"INDX_MWEIGHT_HIST","END_DATE_OVERRIDE="&amp;(YEAR($A612)*10000+MONTH($A612)*100+DAY($A612)))</f>
        <v/>
      </c>
    </row>
    <row r="1222" spans="1:2">
      <c r="A1222" s="9">
        <f>EOMONTH(A612,1)</f>
        <v/>
      </c>
      <c r="B1222" s="8">
        <f>COUNTA(B1223:B1831)</f>
        <v>0</v>
      </c>
    </row>
    <row r="1223" spans="1:2">
      <c r="B1223">
        <f>BDS(IndexTicker,"INDX_MWEIGHT_HIST","END_DATE_OVERRIDE="&amp;(YEAR($A1222)*10000+MONTH($A1222)*100+DAY($A1222)))</f>
        <v/>
      </c>
    </row>
    <row r="1832" spans="1:2">
      <c r="A1832" s="9">
        <f>EOMONTH(A1222,1)</f>
        <v/>
      </c>
      <c r="B1832" s="8">
        <f>COUNTA(B1833:B2441)</f>
        <v>0</v>
      </c>
    </row>
    <row r="1833" spans="1:2">
      <c r="B1833">
        <f>BDS(IndexTicker,"INDX_MWEIGHT_HIST","END_DATE_OVERRIDE="&amp;(YEAR($A1832)*10000+MONTH($A1832)*100+DAY($A1832)))</f>
        <v/>
      </c>
    </row>
    <row r="2442" spans="1:2">
      <c r="A2442" s="9">
        <f>EOMONTH(A1832,1)</f>
        <v/>
      </c>
      <c r="B2442" s="8">
        <f>COUNTA(B2443:B3051)</f>
        <v>0</v>
      </c>
    </row>
    <row r="2443" spans="1:2">
      <c r="B2443">
        <f>BDS(IndexTicker,"INDX_MWEIGHT_HIST","END_DATE_OVERRIDE="&amp;(YEAR($A2442)*10000+MONTH($A2442)*100+DAY($A2442)))</f>
        <v/>
      </c>
    </row>
    <row r="3052" spans="1:2">
      <c r="A3052" s="9">
        <f>EOMONTH(A2442,1)</f>
        <v/>
      </c>
      <c r="B3052" s="8">
        <f>COUNTA(B3053:B3661)</f>
        <v>0</v>
      </c>
    </row>
    <row r="3053" spans="1:2">
      <c r="B3053">
        <f>BDS(IndexTicker,"INDX_MWEIGHT_HIST","END_DATE_OVERRIDE="&amp;(YEAR($A3052)*10000+MONTH($A3052)*100+DAY($A3052)))</f>
        <v/>
      </c>
    </row>
    <row r="3662" spans="1:2">
      <c r="A3662" s="9">
        <f>EOMONTH(A3052,1)</f>
        <v/>
      </c>
      <c r="B3662" s="8">
        <f>COUNTA(B3663:B4271)</f>
        <v>0</v>
      </c>
    </row>
    <row r="3663" spans="1:2">
      <c r="B3663">
        <f>BDS(IndexTicker,"INDX_MWEIGHT_HIST","END_DATE_OVERRIDE="&amp;(YEAR($A3662)*10000+MONTH($A3662)*100+DAY($A3662)))</f>
        <v/>
      </c>
    </row>
    <row r="4272" spans="1:2">
      <c r="A4272" s="9">
        <f>EOMONTH(A3662,1)</f>
        <v/>
      </c>
      <c r="B4272" s="8">
        <f>COUNTA(B4273:B4881)</f>
        <v>0</v>
      </c>
    </row>
    <row r="4273" spans="2:2">
      <c r="B4273">
        <f>BDS(IndexTicker,"INDX_MWEIGHT_HIST","END_DATE_OVERRIDE="&amp;(YEAR($A4272)*10000+MONTH($A4272)*100+DAY($A4272)))</f>
        <v/>
      </c>
    </row>
    <row r="4882" spans="1:2">
      <c r="A4882" s="9">
        <f>EOMONTH(A4272,1)</f>
        <v/>
      </c>
      <c r="B4882" s="8">
        <f>COUNTA(B4883:B5491)</f>
        <v>0</v>
      </c>
    </row>
    <row r="4883" spans="1:2">
      <c r="B4883">
        <f>BDS(IndexTicker,"INDX_MWEIGHT_HIST","END_DATE_OVERRIDE="&amp;(YEAR($A4882)*10000+MONTH($A4882)*100+DAY($A4882)))</f>
        <v/>
      </c>
    </row>
    <row r="5492" spans="1:2">
      <c r="A5492" s="9">
        <f>EOMONTH(A4882,1)</f>
        <v/>
      </c>
      <c r="B5492" s="8">
        <f>COUNTA(B5493:B6101)</f>
        <v>0</v>
      </c>
    </row>
    <row r="5493" spans="1:2">
      <c r="B5493">
        <f>BDS(IndexTicker,"INDX_MWEIGHT_HIST","END_DATE_OVERRIDE="&amp;(YEAR($A5492)*10000+MONTH($A5492)*100+DAY($A5492)))</f>
        <v/>
      </c>
    </row>
    <row r="6102" spans="1:2">
      <c r="A6102" s="9">
        <f>EOMONTH(A5492,1)</f>
        <v/>
      </c>
      <c r="B6102" s="8">
        <f>COUNTA(B6103:B6711)</f>
        <v>0</v>
      </c>
    </row>
    <row r="6103" spans="1:2">
      <c r="B6103">
        <f>BDS(IndexTicker,"INDX_MWEIGHT_HIST","END_DATE_OVERRIDE="&amp;(YEAR($A6102)*10000+MONTH($A6102)*100+DAY($A6102)))</f>
        <v/>
      </c>
    </row>
    <row r="6712" spans="1:2">
      <c r="A6712" s="9">
        <f>EOMONTH(A6102,1)</f>
        <v/>
      </c>
      <c r="B6712" s="8">
        <f>COUNTA(B6713:B7321)</f>
        <v>0</v>
      </c>
    </row>
    <row r="6713" spans="1:2">
      <c r="B6713">
        <f>BDS(IndexTicker,"INDX_MWEIGHT_HIST","END_DATE_OVERRIDE="&amp;(YEAR($A6712)*10000+MONTH($A6712)*100+DAY($A6712)))</f>
        <v/>
      </c>
    </row>
    <row r="7322" spans="1:2">
      <c r="A7322" s="9">
        <f>EOMONTH(A6712,1)</f>
        <v/>
      </c>
      <c r="B7322" s="8">
        <f>COUNTA(B7323:B7931)</f>
        <v>0</v>
      </c>
    </row>
    <row r="7323" spans="1:2">
      <c r="B7323">
        <f>BDS(IndexTicker,"INDX_MWEIGHT_HIST","END_DATE_OVERRIDE="&amp;(YEAR($A7322)*10000+MONTH($A7322)*100+DAY($A7322)))</f>
        <v/>
      </c>
    </row>
    <row r="7932" spans="1:2">
      <c r="A7932" s="9">
        <f>EOMONTH(A7322,1)</f>
        <v/>
      </c>
      <c r="B7932" s="8">
        <f>COUNTA(B7933:B8541)</f>
        <v>0</v>
      </c>
    </row>
    <row r="7933" spans="1:2">
      <c r="B7933">
        <f>BDS(IndexTicker,"INDX_MWEIGHT_HIST","END_DATE_OVERRIDE="&amp;(YEAR($A7932)*10000+MONTH($A7932)*100+DAY($A7932)))</f>
        <v/>
      </c>
    </row>
    <row r="8542" spans="1:2">
      <c r="A8542" s="9">
        <f>EOMONTH(A7932,1)</f>
        <v/>
      </c>
      <c r="B8542" s="8">
        <f>COUNTA(B8543:B9151)</f>
        <v>0</v>
      </c>
    </row>
    <row r="8543" spans="1:2">
      <c r="B8543">
        <f>BDS(IndexTicker,"INDX_MWEIGHT_HIST","END_DATE_OVERRIDE="&amp;(YEAR($A8542)*10000+MONTH($A8542)*100+DAY($A8542)))</f>
        <v/>
      </c>
    </row>
    <row r="9152" spans="1:2">
      <c r="A9152" s="9">
        <f>EOMONTH(A8542,1)</f>
        <v/>
      </c>
      <c r="B9152" s="8">
        <f>COUNTA(B9153:B9761)</f>
        <v>0</v>
      </c>
    </row>
    <row r="9153" spans="2:2">
      <c r="B9153">
        <f>BDS(IndexTicker,"INDX_MWEIGHT_HIST","END_DATE_OVERRIDE="&amp;(YEAR($A9152)*10000+MONTH($A9152)*100+DAY($A9152)))</f>
        <v/>
      </c>
    </row>
    <row r="9762" spans="1:2">
      <c r="A9762" s="9">
        <f>EOMONTH(A9152,1)</f>
        <v/>
      </c>
      <c r="B9762" s="8">
        <f>COUNTA(B9763:B10371)</f>
        <v>0</v>
      </c>
    </row>
    <row r="9763" spans="1:2">
      <c r="B9763">
        <f>BDS(IndexTicker,"INDX_MWEIGHT_HIST","END_DATE_OVERRIDE="&amp;(YEAR($A9762)*10000+MONTH($A9762)*100+DAY($A9762)))</f>
        <v/>
      </c>
    </row>
    <row r="10372" spans="1:2">
      <c r="A10372" s="9">
        <f>EOMONTH(A9762,1)</f>
        <v/>
      </c>
      <c r="B10372" s="8">
        <f>COUNTA(B10373:B10981)</f>
        <v>0</v>
      </c>
    </row>
    <row r="10373" spans="1:2">
      <c r="B10373">
        <f>BDS(IndexTicker,"INDX_MWEIGHT_HIST","END_DATE_OVERRIDE="&amp;(YEAR($A10372)*10000+MONTH($A10372)*100+DAY($A10372)))</f>
        <v/>
      </c>
    </row>
    <row r="10982" spans="1:2">
      <c r="A10982" s="9">
        <f>EOMONTH(A10372,1)</f>
        <v/>
      </c>
      <c r="B10982" s="8">
        <f>COUNTA(B10983:B11591)</f>
        <v>0</v>
      </c>
    </row>
    <row r="10983" spans="1:2">
      <c r="B10983">
        <f>BDS(IndexTicker,"INDX_MWEIGHT_HIST","END_DATE_OVERRIDE="&amp;(YEAR($A10982)*10000+MONTH($A10982)*100+DAY($A10982)))</f>
        <v/>
      </c>
    </row>
    <row r="11592" spans="1:2">
      <c r="A11592" s="9">
        <f>EOMONTH(A10982,1)</f>
        <v/>
      </c>
      <c r="B11592" s="8">
        <f>COUNTA(B11593:B12201)</f>
        <v>0</v>
      </c>
    </row>
    <row r="11593" spans="1:2">
      <c r="B11593">
        <f>BDS(IndexTicker,"INDX_MWEIGHT_HIST","END_DATE_OVERRIDE="&amp;(YEAR($A11592)*10000+MONTH($A11592)*100+DAY($A11592)))</f>
        <v/>
      </c>
    </row>
    <row r="12202" spans="1:2">
      <c r="A12202" s="9">
        <f>EOMONTH(A11592,1)</f>
        <v/>
      </c>
      <c r="B12202" s="8">
        <f>COUNTA(B12203:B12811)</f>
        <v>0</v>
      </c>
    </row>
    <row r="12203" spans="1:2">
      <c r="B12203">
        <f>BDS(IndexTicker,"INDX_MWEIGHT_HIST","END_DATE_OVERRIDE="&amp;(YEAR($A12202)*10000+MONTH($A12202)*100+DAY($A12202)))</f>
        <v/>
      </c>
    </row>
    <row r="12812" spans="1:2">
      <c r="A12812" s="9">
        <f>EOMONTH(A12202,1)</f>
        <v/>
      </c>
      <c r="B12812" s="8">
        <f>COUNTA(B12813:B13421)</f>
        <v>0</v>
      </c>
    </row>
    <row r="12813" spans="1:2">
      <c r="B12813">
        <f>BDS(IndexTicker,"INDX_MWEIGHT_HIST","END_DATE_OVERRIDE="&amp;(YEAR($A12812)*10000+MONTH($A12812)*100+DAY($A12812)))</f>
        <v/>
      </c>
    </row>
    <row r="13422" spans="1:2">
      <c r="A13422" s="9">
        <f>EOMONTH(A12812,1)</f>
        <v/>
      </c>
      <c r="B13422" s="8">
        <f>COUNTA(B13423:B14031)</f>
        <v>0</v>
      </c>
    </row>
    <row r="13423" spans="1:2">
      <c r="B13423">
        <f>BDS(IndexTicker,"INDX_MWEIGHT_HIST","END_DATE_OVERRIDE="&amp;(YEAR($A13422)*10000+MONTH($A13422)*100+DAY($A13422)))</f>
        <v/>
      </c>
    </row>
    <row r="14032" spans="1:2">
      <c r="A14032" s="9">
        <f>EOMONTH(A13422,1)</f>
        <v/>
      </c>
      <c r="B14032" s="8">
        <f>COUNTA(B14033:B14641)</f>
        <v>0</v>
      </c>
    </row>
    <row r="14033" spans="2:2">
      <c r="B14033">
        <f>BDS(IndexTicker,"INDX_MWEIGHT_HIST","END_DATE_OVERRIDE="&amp;(YEAR($A14032)*10000+MONTH($A14032)*100+DAY($A14032)))</f>
        <v/>
      </c>
    </row>
    <row r="14642" spans="1:2">
      <c r="A14642" s="9">
        <f>EOMONTH(A14032,1)</f>
        <v/>
      </c>
      <c r="B14642" s="8">
        <f>COUNTA(B14643:B15251)</f>
        <v>0</v>
      </c>
    </row>
    <row r="14643" spans="1:2">
      <c r="B14643">
        <f>BDS(IndexTicker,"INDX_MWEIGHT_HIST","END_DATE_OVERRIDE="&amp;(YEAR($A14642)*10000+MONTH($A14642)*100+DAY($A14642)))</f>
        <v/>
      </c>
    </row>
    <row r="15252" spans="1:2">
      <c r="A15252" s="9">
        <f>EOMONTH(A14642,1)</f>
        <v/>
      </c>
      <c r="B15252" s="8">
        <f>COUNTA(B15253:B15861)</f>
        <v>0</v>
      </c>
    </row>
    <row r="15253" spans="1:2">
      <c r="B15253">
        <f>BDS(IndexTicker,"INDX_MWEIGHT_HIST","END_DATE_OVERRIDE="&amp;(YEAR($A15252)*10000+MONTH($A15252)*100+DAY($A15252)))</f>
        <v/>
      </c>
    </row>
    <row r="15862" spans="1:2">
      <c r="A15862" s="9">
        <f>EOMONTH(A15252,1)</f>
        <v/>
      </c>
      <c r="B15862" s="8">
        <f>COUNTA(B15863:B16471)</f>
        <v>0</v>
      </c>
    </row>
    <row r="15863" spans="1:2">
      <c r="B15863">
        <f>BDS(IndexTicker,"INDX_MWEIGHT_HIST","END_DATE_OVERRIDE="&amp;(YEAR($A15862)*10000+MONTH($A15862)*100+DAY($A15862)))</f>
        <v/>
      </c>
    </row>
    <row r="16472" spans="1:2">
      <c r="A16472" s="9">
        <f>EOMONTH(A15862,1)</f>
        <v/>
      </c>
      <c r="B16472" s="8">
        <f>COUNTA(B16473:B17081)</f>
        <v>0</v>
      </c>
    </row>
    <row r="16473" spans="1:2">
      <c r="B16473">
        <f>BDS(IndexTicker,"INDX_MWEIGHT_HIST","END_DATE_OVERRIDE="&amp;(YEAR($A16472)*10000+MONTH($A16472)*100+DAY($A16472)))</f>
        <v/>
      </c>
    </row>
    <row r="17082" spans="1:2">
      <c r="A17082" s="9">
        <f>EOMONTH(A16472,1)</f>
        <v/>
      </c>
      <c r="B17082" s="8">
        <f>COUNTA(B17083:B17691)</f>
        <v>0</v>
      </c>
    </row>
    <row r="17083" spans="1:2">
      <c r="B17083">
        <f>BDS(IndexTicker,"INDX_MWEIGHT_HIST","END_DATE_OVERRIDE="&amp;(YEAR($A17082)*10000+MONTH($A17082)*100+DAY($A17082)))</f>
        <v/>
      </c>
    </row>
    <row r="17692" spans="1:2">
      <c r="A17692" s="9">
        <f>EOMONTH(A17082,1)</f>
        <v/>
      </c>
      <c r="B17692" s="8">
        <f>COUNTA(B17693:B18301)</f>
        <v>0</v>
      </c>
    </row>
    <row r="17693" spans="1:2">
      <c r="B17693">
        <f>BDS(IndexTicker,"INDX_MWEIGHT_HIST","END_DATE_OVERRIDE="&amp;(YEAR($A17692)*10000+MONTH($A17692)*100+DAY($A17692)))</f>
        <v/>
      </c>
    </row>
    <row r="18302" spans="1:2">
      <c r="A18302" s="9">
        <f>EOMONTH(A17692,1)</f>
        <v/>
      </c>
      <c r="B18302" s="8">
        <f>COUNTA(B18303:B18911)</f>
        <v>0</v>
      </c>
    </row>
    <row r="18303" spans="1:2">
      <c r="B18303">
        <f>BDS(IndexTicker,"INDX_MWEIGHT_HIST","END_DATE_OVERRIDE="&amp;(YEAR($A18302)*10000+MONTH($A18302)*100+DAY($A18302)))</f>
        <v/>
      </c>
    </row>
    <row r="18912" spans="1:2">
      <c r="A18912" s="9">
        <f>EOMONTH(A18302,1)</f>
        <v/>
      </c>
      <c r="B18912" s="8">
        <f>COUNTA(B18913:B19521)</f>
        <v>0</v>
      </c>
    </row>
    <row r="18913" spans="2:2">
      <c r="B18913">
        <f>BDS(IndexTicker,"INDX_MWEIGHT_HIST","END_DATE_OVERRIDE="&amp;(YEAR($A18912)*10000+MONTH($A18912)*100+DAY($A18912)))</f>
        <v/>
      </c>
    </row>
    <row r="19522" spans="1:2">
      <c r="A19522" s="9">
        <f>EOMONTH(A18912,1)</f>
        <v/>
      </c>
      <c r="B19522" s="8">
        <f>COUNTA(B19523:B20131)</f>
        <v>0</v>
      </c>
    </row>
    <row r="19523" spans="1:2">
      <c r="B19523">
        <f>BDS(IndexTicker,"INDX_MWEIGHT_HIST","END_DATE_OVERRIDE="&amp;(YEAR($A19522)*10000+MONTH($A19522)*100+DAY($A19522)))</f>
        <v/>
      </c>
    </row>
    <row r="20132" spans="1:2">
      <c r="A20132" s="9">
        <f>EOMONTH(A19522,1)</f>
        <v/>
      </c>
      <c r="B20132" s="8">
        <f>COUNTA(B20133:B20741)</f>
        <v>0</v>
      </c>
    </row>
    <row r="20133" spans="1:2">
      <c r="B20133">
        <f>BDS(IndexTicker,"INDX_MWEIGHT_HIST","END_DATE_OVERRIDE="&amp;(YEAR($A20132)*10000+MONTH($A20132)*100+DAY($A20132)))</f>
        <v/>
      </c>
    </row>
    <row r="20742" spans="1:2">
      <c r="A20742" s="9">
        <f>EOMONTH(A20132,1)</f>
        <v/>
      </c>
      <c r="B20742" s="8">
        <f>COUNTA(B20743:B21351)</f>
        <v>0</v>
      </c>
    </row>
    <row r="20743" spans="1:2">
      <c r="B20743">
        <f>BDS(IndexTicker,"INDX_MWEIGHT_HIST","END_DATE_OVERRIDE="&amp;(YEAR($A20742)*10000+MONTH($A20742)*100+DAY($A20742)))</f>
        <v/>
      </c>
    </row>
    <row r="21352" spans="1:2">
      <c r="A21352" s="9">
        <f>EOMONTH(A20742,1)</f>
        <v/>
      </c>
      <c r="B21352" s="8">
        <f>COUNTA(B21353:B21961)</f>
        <v>0</v>
      </c>
    </row>
    <row r="21353" spans="1:2">
      <c r="B21353">
        <f>BDS(IndexTicker,"INDX_MWEIGHT_HIST","END_DATE_OVERRIDE="&amp;(YEAR($A21352)*10000+MONTH($A21352)*100+DAY($A21352)))</f>
        <v/>
      </c>
    </row>
    <row r="21962" spans="1:2">
      <c r="A21962" s="9">
        <f>EOMONTH(A21352,1)</f>
        <v/>
      </c>
      <c r="B21962" s="8">
        <f>COUNTA(B21963:B22571)</f>
        <v>0</v>
      </c>
    </row>
    <row r="21963" spans="1:2">
      <c r="B21963">
        <f>BDS(IndexTicker,"INDX_MWEIGHT_HIST","END_DATE_OVERRIDE="&amp;(YEAR($A21962)*10000+MONTH($A21962)*100+DAY($A21962)))</f>
        <v/>
      </c>
    </row>
    <row r="22572" spans="1:2">
      <c r="A22572" s="9">
        <f>EOMONTH(A21962,1)</f>
        <v/>
      </c>
      <c r="B22572" s="8">
        <f>COUNTA(B22573:B23181)</f>
        <v>0</v>
      </c>
    </row>
    <row r="22573" spans="1:2">
      <c r="B22573">
        <f>BDS(IndexTicker,"INDX_MWEIGHT_HIST","END_DATE_OVERRIDE="&amp;(YEAR($A22572)*10000+MONTH($A22572)*100+DAY($A22572)))</f>
        <v/>
      </c>
    </row>
    <row r="23182" spans="1:2">
      <c r="A23182" s="9">
        <f>EOMONTH(A22572,1)</f>
        <v/>
      </c>
      <c r="B23182" s="8">
        <f>COUNTA(B23183:B23791)</f>
        <v>0</v>
      </c>
    </row>
    <row r="23183" spans="1:2">
      <c r="B23183">
        <f>BDS(IndexTicker,"INDX_MWEIGHT_HIST","END_DATE_OVERRIDE="&amp;(YEAR($A23182)*10000+MONTH($A23182)*100+DAY($A23182)))</f>
        <v/>
      </c>
    </row>
    <row r="23792" spans="1:2">
      <c r="A23792" s="9">
        <f>EOMONTH(A23182,1)</f>
        <v/>
      </c>
      <c r="B23792" s="8">
        <f>COUNTA(B23793:B24401)</f>
        <v>0</v>
      </c>
    </row>
    <row r="23793" spans="2:2">
      <c r="B23793">
        <f>BDS(IndexTicker,"INDX_MWEIGHT_HIST","END_DATE_OVERRIDE="&amp;(YEAR($A23792)*10000+MONTH($A23792)*100+DAY($A23792)))</f>
        <v/>
      </c>
    </row>
    <row r="24402" spans="1:2">
      <c r="A24402" s="9">
        <f>EOMONTH(A23792,1)</f>
        <v/>
      </c>
      <c r="B24402" s="8">
        <f>COUNTA(B24403:B25011)</f>
        <v>0</v>
      </c>
    </row>
    <row r="24403" spans="1:2">
      <c r="B24403">
        <f>BDS(IndexTicker,"INDX_MWEIGHT_HIST","END_DATE_OVERRIDE="&amp;(YEAR($A24402)*10000+MONTH($A24402)*100+DAY($A24402)))</f>
        <v/>
      </c>
    </row>
    <row r="25012" spans="1:2">
      <c r="A25012" s="9">
        <f>EOMONTH(A24402,1)</f>
        <v/>
      </c>
      <c r="B25012" s="8">
        <f>COUNTA(B25013:B25621)</f>
        <v>0</v>
      </c>
    </row>
    <row r="25013" spans="1:2">
      <c r="B25013">
        <f>BDS(IndexTicker,"INDX_MWEIGHT_HIST","END_DATE_OVERRIDE="&amp;(YEAR($A25012)*10000+MONTH($A25012)*100+DAY($A25012)))</f>
        <v/>
      </c>
    </row>
    <row r="25622" spans="1:2">
      <c r="A25622" s="9">
        <f>EOMONTH(A25012,1)</f>
        <v/>
      </c>
      <c r="B25622" s="8">
        <f>COUNTA(B25623:B26231)</f>
        <v>0</v>
      </c>
    </row>
    <row r="25623" spans="1:2">
      <c r="B25623">
        <f>BDS(IndexTicker,"INDX_MWEIGHT_HIST","END_DATE_OVERRIDE="&amp;(YEAR($A25622)*10000+MONTH($A25622)*100+DAY($A25622)))</f>
        <v/>
      </c>
    </row>
    <row r="26232" spans="1:2">
      <c r="A26232" s="9">
        <f>EOMONTH(A25622,1)</f>
        <v/>
      </c>
      <c r="B26232" s="8">
        <f>COUNTA(B26233:B26841)</f>
        <v>0</v>
      </c>
    </row>
    <row r="26233" spans="1:2">
      <c r="B26233">
        <f>BDS(IndexTicker,"INDX_MWEIGHT_HIST","END_DATE_OVERRIDE="&amp;(YEAR($A26232)*10000+MONTH($A26232)*100+DAY($A26232)))</f>
        <v/>
      </c>
    </row>
    <row r="26842" spans="1:2">
      <c r="A26842" s="9">
        <f>EOMONTH(A26232,1)</f>
        <v/>
      </c>
      <c r="B26842" s="8">
        <f>COUNTA(B26843:B27451)</f>
        <v>0</v>
      </c>
    </row>
    <row r="26843" spans="1:2">
      <c r="B26843">
        <f>BDS(IndexTicker,"INDX_MWEIGHT_HIST","END_DATE_OVERRIDE="&amp;(YEAR($A26842)*10000+MONTH($A26842)*100+DAY($A26842)))</f>
        <v/>
      </c>
    </row>
    <row r="27452" spans="1:2">
      <c r="A27452" s="9">
        <f>EOMONTH(A26842,1)</f>
        <v/>
      </c>
      <c r="B27452" s="8">
        <f>COUNTA(B27453:B28061)</f>
        <v>0</v>
      </c>
    </row>
    <row r="27453" spans="1:2">
      <c r="B27453">
        <f>BDS(IndexTicker,"INDX_MWEIGHT_HIST","END_DATE_OVERRIDE="&amp;(YEAR($A27452)*10000+MONTH($A27452)*100+DAY($A27452)))</f>
        <v/>
      </c>
    </row>
    <row r="28062" spans="1:2">
      <c r="A28062" s="9">
        <f>EOMONTH(A27452,1)</f>
        <v/>
      </c>
      <c r="B28062" s="8">
        <f>COUNTA(B28063:B28671)</f>
        <v>0</v>
      </c>
    </row>
    <row r="28063" spans="1:2">
      <c r="B28063">
        <f>BDS(IndexTicker,"INDX_MWEIGHT_HIST","END_DATE_OVERRIDE="&amp;(YEAR($A28062)*10000+MONTH($A28062)*100+DAY($A28062)))</f>
        <v/>
      </c>
    </row>
    <row r="28672" spans="1:2">
      <c r="A28672" s="9">
        <f>EOMONTH(A28062,1)</f>
        <v/>
      </c>
      <c r="B28672" s="8">
        <f>COUNTA(B28673:B29281)</f>
        <v>0</v>
      </c>
    </row>
    <row r="28673" spans="2:2">
      <c r="B28673">
        <f>BDS(IndexTicker,"INDX_MWEIGHT_HIST","END_DATE_OVERRIDE="&amp;(YEAR($A28672)*10000+MONTH($A28672)*100+DAY($A28672)))</f>
        <v/>
      </c>
    </row>
    <row r="29282" spans="1:2">
      <c r="A29282" s="9">
        <f>EOMONTH(A28672,1)</f>
        <v/>
      </c>
      <c r="B29282" s="8">
        <f>COUNTA(B29283:B29891)</f>
        <v>0</v>
      </c>
    </row>
    <row r="29283" spans="1:2">
      <c r="B29283">
        <f>BDS(IndexTicker,"INDX_MWEIGHT_HIST","END_DATE_OVERRIDE="&amp;(YEAR($A29282)*10000+MONTH($A29282)*100+DAY($A29282)))</f>
        <v/>
      </c>
    </row>
    <row r="29892" spans="1:2">
      <c r="A29892" s="9">
        <f>EOMONTH(A29282,1)</f>
        <v/>
      </c>
      <c r="B29892" s="8">
        <f>COUNTA(B29893:B30501)</f>
        <v>0</v>
      </c>
    </row>
    <row r="29893" spans="1:2">
      <c r="B29893">
        <f>BDS(IndexTicker,"INDX_MWEIGHT_HIST","END_DATE_OVERRIDE="&amp;(YEAR($A29892)*10000+MONTH($A29892)*100+DAY($A29892)))</f>
        <v/>
      </c>
    </row>
    <row r="30502" spans="1:2">
      <c r="A30502" s="9">
        <f>EOMONTH(A29892,1)</f>
        <v/>
      </c>
      <c r="B30502" s="8">
        <f>COUNTA(B30503:B31111)</f>
        <v>0</v>
      </c>
    </row>
    <row r="30503" spans="1:2">
      <c r="B30503">
        <f>BDS(IndexTicker,"INDX_MWEIGHT_HIST","END_DATE_OVERRIDE="&amp;(YEAR($A30502)*10000+MONTH($A30502)*100+DAY($A30502)))</f>
        <v/>
      </c>
    </row>
    <row r="31112" spans="1:2">
      <c r="A31112" s="9">
        <f>EOMONTH(A30502,1)</f>
        <v/>
      </c>
      <c r="B31112" s="8">
        <f>COUNTA(B31113:B31721)</f>
        <v>0</v>
      </c>
    </row>
    <row r="31113" spans="1:2">
      <c r="B31113">
        <f>BDS(IndexTicker,"INDX_MWEIGHT_HIST","END_DATE_OVERRIDE="&amp;(YEAR($A31112)*10000+MONTH($A31112)*100+DAY($A31112)))</f>
        <v/>
      </c>
    </row>
    <row r="31722" spans="1:2">
      <c r="A31722" s="9">
        <f>EOMONTH(A31112,1)</f>
        <v/>
      </c>
      <c r="B31722" s="8">
        <f>COUNTA(B31723:B32331)</f>
        <v>0</v>
      </c>
    </row>
    <row r="31723" spans="1:2">
      <c r="B31723">
        <f>BDS(IndexTicker,"INDX_MWEIGHT_HIST","END_DATE_OVERRIDE="&amp;(YEAR($A31722)*10000+MONTH($A31722)*100+DAY($A31722)))</f>
        <v/>
      </c>
    </row>
    <row r="32332" spans="1:2">
      <c r="A32332" s="9">
        <f>EOMONTH(A31722,1)</f>
        <v/>
      </c>
      <c r="B32332" s="8">
        <f>COUNTA(B32333:B32941)</f>
        <v>0</v>
      </c>
    </row>
    <row r="32333" spans="1:2">
      <c r="B32333">
        <f>BDS(IndexTicker,"INDX_MWEIGHT_HIST","END_DATE_OVERRIDE="&amp;(YEAR($A32332)*10000+MONTH($A32332)*100+DAY($A32332)))</f>
        <v/>
      </c>
    </row>
    <row r="32942" spans="1:2">
      <c r="A32942" s="9">
        <f>EOMONTH(A32332,1)</f>
        <v/>
      </c>
      <c r="B32942" s="8">
        <f>COUNTA(B32943:B33551)</f>
        <v>0</v>
      </c>
    </row>
    <row r="32943" spans="1:2">
      <c r="B32943">
        <f>BDS(IndexTicker,"INDX_MWEIGHT_HIST","END_DATE_OVERRIDE="&amp;(YEAR($A32942)*10000+MONTH($A32942)*100+DAY($A32942)))</f>
        <v/>
      </c>
    </row>
    <row r="33552" spans="1:2">
      <c r="A33552" s="9">
        <f>EOMONTH(A32942,1)</f>
        <v/>
      </c>
      <c r="B33552" s="8">
        <f>COUNTA(B33553:B34161)</f>
        <v>0</v>
      </c>
    </row>
    <row r="33553" spans="2:2">
      <c r="B33553">
        <f>BDS(IndexTicker,"INDX_MWEIGHT_HIST","END_DATE_OVERRIDE="&amp;(YEAR($A33552)*10000+MONTH($A33552)*100+DAY($A33552)))</f>
        <v/>
      </c>
    </row>
    <row r="34162" spans="1:2">
      <c r="A34162" s="9">
        <f>EOMONTH(A33552,1)</f>
        <v/>
      </c>
      <c r="B34162" s="8">
        <f>COUNTA(B34163:B34771)</f>
        <v>0</v>
      </c>
    </row>
    <row r="34163" spans="1:2">
      <c r="B34163">
        <f>BDS(IndexTicker,"INDX_MWEIGHT_HIST","END_DATE_OVERRIDE="&amp;(YEAR($A34162)*10000+MONTH($A34162)*100+DAY($A34162)))</f>
        <v/>
      </c>
    </row>
    <row r="34772" spans="1:2">
      <c r="A34772" s="9">
        <f>EOMONTH(A34162,1)</f>
        <v/>
      </c>
      <c r="B34772" s="8">
        <f>COUNTA(B34773:B35381)</f>
        <v>0</v>
      </c>
    </row>
    <row r="34773" spans="1:2">
      <c r="B34773">
        <f>BDS(IndexTicker,"INDX_MWEIGHT_HIST","END_DATE_OVERRIDE="&amp;(YEAR($A34772)*10000+MONTH($A34772)*100+DAY($A34772)))</f>
        <v/>
      </c>
    </row>
    <row r="35382" spans="1:2">
      <c r="A35382" s="9">
        <f>EOMONTH(A34772,1)</f>
        <v/>
      </c>
      <c r="B35382" s="8">
        <f>COUNTA(B35383:B35991)</f>
        <v>0</v>
      </c>
    </row>
    <row r="35383" spans="1:2">
      <c r="B35383">
        <f>BDS(IndexTicker,"INDX_MWEIGHT_HIST","END_DATE_OVERRIDE="&amp;(YEAR($A35382)*10000+MONTH($A35382)*100+DAY($A35382)))</f>
        <v/>
      </c>
    </row>
    <row r="35992" spans="1:2">
      <c r="A35992" s="9">
        <f>EOMONTH(A35382,1)</f>
        <v/>
      </c>
      <c r="B35992" s="8">
        <f>COUNTA(B35993:B36601)</f>
        <v>0</v>
      </c>
    </row>
    <row r="35993" spans="1:2">
      <c r="B35993">
        <f>BDS(IndexTicker,"INDX_MWEIGHT_HIST","END_DATE_OVERRIDE="&amp;(YEAR($A35992)*10000+MONTH($A35992)*100+DAY($A35992)))</f>
        <v/>
      </c>
    </row>
    <row r="36602" spans="1:2">
      <c r="A36602" s="9">
        <f>EOMONTH(A35992,1)</f>
        <v/>
      </c>
      <c r="B36602" s="8">
        <f>COUNTA(B36603:B37211)</f>
        <v>0</v>
      </c>
    </row>
    <row r="36603" spans="1:2">
      <c r="B36603">
        <f>BDS(IndexTicker,"INDX_MWEIGHT_HIST","END_DATE_OVERRIDE="&amp;(YEAR($A36602)*10000+MONTH($A36602)*100+DAY($A36602)))</f>
        <v/>
      </c>
    </row>
    <row r="37212" spans="1:2">
      <c r="A37212" s="9">
        <f>EOMONTH(A36602,1)</f>
        <v/>
      </c>
      <c r="B37212" s="8">
        <f>COUNTA(B37213:B37821)</f>
        <v>0</v>
      </c>
    </row>
    <row r="37213" spans="1:2">
      <c r="B37213">
        <f>BDS(IndexTicker,"INDX_MWEIGHT_HIST","END_DATE_OVERRIDE="&amp;(YEAR($A37212)*10000+MONTH($A37212)*100+DAY($A37212)))</f>
        <v/>
      </c>
    </row>
    <row r="37822" spans="1:2">
      <c r="A37822" s="9">
        <f>EOMONTH(A37212,1)</f>
        <v/>
      </c>
      <c r="B37822" s="8">
        <f>COUNTA(B37823:B38431)</f>
        <v>0</v>
      </c>
    </row>
    <row r="37823" spans="1:2">
      <c r="B37823">
        <f>BDS(IndexTicker,"INDX_MWEIGHT_HIST","END_DATE_OVERRIDE="&amp;(YEAR($A37822)*10000+MONTH($A37822)*100+DAY($A37822)))</f>
        <v/>
      </c>
    </row>
    <row r="38432" spans="1:2">
      <c r="A38432" s="9">
        <f>EOMONTH(A37822,1)</f>
        <v/>
      </c>
      <c r="B38432" s="8">
        <f>COUNTA(B38433:B39041)</f>
        <v>0</v>
      </c>
    </row>
    <row r="38433" spans="2:2">
      <c r="B38433">
        <f>BDS(IndexTicker,"INDX_MWEIGHT_HIST","END_DATE_OVERRIDE="&amp;(YEAR($A38432)*10000+MONTH($A38432)*100+DAY($A38432)))</f>
        <v/>
      </c>
    </row>
    <row r="39042" spans="1:2">
      <c r="A39042" s="9">
        <f>EOMONTH(A38432,1)</f>
        <v/>
      </c>
      <c r="B39042" s="8">
        <f>COUNTA(B39043:B39651)</f>
        <v>0</v>
      </c>
    </row>
    <row r="39043" spans="1:2">
      <c r="B39043">
        <f>BDS(IndexTicker,"INDX_MWEIGHT_HIST","END_DATE_OVERRIDE="&amp;(YEAR($A39042)*10000+MONTH($A39042)*100+DAY($A39042)))</f>
        <v/>
      </c>
    </row>
    <row r="39652" spans="1:2">
      <c r="A39652" s="9">
        <f>EOMONTH(A39042,1)</f>
        <v/>
      </c>
      <c r="B39652" s="8">
        <f>COUNTA(B39653:B40261)</f>
        <v>0</v>
      </c>
    </row>
    <row r="39653" spans="1:2">
      <c r="B39653">
        <f>BDS(IndexTicker,"INDX_MWEIGHT_HIST","END_DATE_OVERRIDE="&amp;(YEAR($A39652)*10000+MONTH($A39652)*100+DAY($A39652)))</f>
        <v/>
      </c>
    </row>
    <row r="40262" spans="1:2">
      <c r="A40262" s="9">
        <f>EOMONTH(A39652,1)</f>
        <v/>
      </c>
      <c r="B40262" s="8">
        <f>COUNTA(B40263:B40871)</f>
        <v>0</v>
      </c>
    </row>
    <row r="40263" spans="1:2">
      <c r="B40263">
        <f>BDS(IndexTicker,"INDX_MWEIGHT_HIST","END_DATE_OVERRIDE="&amp;(YEAR($A40262)*10000+MONTH($A40262)*100+DAY($A40262)))</f>
        <v/>
      </c>
    </row>
    <row r="40872" spans="1:2">
      <c r="A40872" s="9">
        <f>EOMONTH(A40262,1)</f>
        <v/>
      </c>
      <c r="B40872" s="8">
        <f>COUNTA(B40873:B41481)</f>
        <v>0</v>
      </c>
    </row>
    <row r="40873" spans="1:2">
      <c r="B40873">
        <f>BDS(IndexTicker,"INDX_MWEIGHT_HIST","END_DATE_OVERRIDE="&amp;(YEAR($A40872)*10000+MONTH($A40872)*100+DAY($A40872)))</f>
        <v/>
      </c>
    </row>
    <row r="41482" spans="1:2">
      <c r="A41482" s="9">
        <f>EOMONTH(A40872,1)</f>
        <v/>
      </c>
      <c r="B41482" s="8">
        <f>COUNTA(B41483:B42091)</f>
        <v>0</v>
      </c>
    </row>
    <row r="41483" spans="1:2">
      <c r="B41483">
        <f>BDS(IndexTicker,"INDX_MWEIGHT_HIST","END_DATE_OVERRIDE="&amp;(YEAR($A41482)*10000+MONTH($A41482)*100+DAY($A41482)))</f>
        <v/>
      </c>
    </row>
    <row r="42092" spans="1:2">
      <c r="A42092" s="9">
        <f>EOMONTH(A41482,1)</f>
        <v/>
      </c>
      <c r="B42092" s="8">
        <f>COUNTA(B42093:B42701)</f>
        <v>0</v>
      </c>
    </row>
    <row r="42093" spans="1:2">
      <c r="B42093">
        <f>BDS(IndexTicker,"INDX_MWEIGHT_HIST","END_DATE_OVERRIDE="&amp;(YEAR($A42092)*10000+MONTH($A42092)*100+DAY($A42092)))</f>
        <v/>
      </c>
    </row>
    <row r="42702" spans="1:2">
      <c r="A42702" s="9">
        <f>EOMONTH(A42092,1)</f>
        <v/>
      </c>
      <c r="B42702" s="8">
        <f>COUNTA(B42703:B43311)</f>
        <v>0</v>
      </c>
    </row>
    <row r="42703" spans="1:2">
      <c r="B42703">
        <f>BDS(IndexTicker,"INDX_MWEIGHT_HIST","END_DATE_OVERRIDE="&amp;(YEAR($A42702)*10000+MONTH($A42702)*100+DAY($A42702)))</f>
        <v/>
      </c>
    </row>
    <row r="43312" spans="1:2">
      <c r="A43312" s="9">
        <f>EOMONTH(A42702,1)</f>
        <v/>
      </c>
      <c r="B43312" s="8">
        <f>COUNTA(B43313:B43921)</f>
        <v>0</v>
      </c>
    </row>
    <row r="43313" spans="2:2">
      <c r="B43313">
        <f>BDS(IndexTicker,"INDX_MWEIGHT_HIST","END_DATE_OVERRIDE="&amp;(YEAR($A43312)*10000+MONTH($A43312)*100+DAY($A43312)))</f>
        <v/>
      </c>
    </row>
    <row r="43922" spans="1:2">
      <c r="A43922" s="9">
        <f>EOMONTH(A43312,1)</f>
        <v/>
      </c>
      <c r="B43922" s="8">
        <f>COUNTA(B43923:B44531)</f>
        <v>0</v>
      </c>
    </row>
    <row r="43923" spans="1:2">
      <c r="B43923">
        <f>BDS(IndexTicker,"INDX_MWEIGHT_HIST","END_DATE_OVERRIDE="&amp;(YEAR($A43922)*10000+MONTH($A43922)*100+DAY($A43922)))</f>
        <v/>
      </c>
    </row>
    <row r="44532" spans="1:2">
      <c r="A44532" s="9">
        <f>EOMONTH(A43922,1)</f>
        <v/>
      </c>
      <c r="B44532" s="8">
        <f>COUNTA(B44533:B45141)</f>
        <v>0</v>
      </c>
    </row>
    <row r="44533" spans="1:2">
      <c r="B44533">
        <f>BDS(IndexTicker,"INDX_MWEIGHT_HIST","END_DATE_OVERRIDE="&amp;(YEAR($A44532)*10000+MONTH($A44532)*100+DAY($A44532)))</f>
        <v/>
      </c>
    </row>
    <row r="45142" spans="1:2">
      <c r="A45142" s="9">
        <f>EOMONTH(A44532,1)</f>
        <v/>
      </c>
      <c r="B45142" s="8">
        <f>COUNTA(B45143:B45751)</f>
        <v>0</v>
      </c>
    </row>
    <row r="45143" spans="1:2">
      <c r="B45143">
        <f>BDS(IndexTicker,"INDX_MWEIGHT_HIST","END_DATE_OVERRIDE="&amp;(YEAR($A45142)*10000+MONTH($A45142)*100+DAY($A45142)))</f>
        <v/>
      </c>
    </row>
    <row r="45752" spans="1:2">
      <c r="A45752" s="9">
        <f>EOMONTH(A45142,1)</f>
        <v/>
      </c>
      <c r="B45752" s="8">
        <f>COUNTA(B45753:B46361)</f>
        <v>0</v>
      </c>
    </row>
    <row r="45753" spans="1:2">
      <c r="B45753">
        <f>BDS(IndexTicker,"INDX_MWEIGHT_HIST","END_DATE_OVERRIDE="&amp;(YEAR($A45752)*10000+MONTH($A45752)*100+DAY($A45752)))</f>
        <v/>
      </c>
    </row>
    <row r="46362" spans="1:2">
      <c r="A46362" s="9">
        <f>EOMONTH(A45752,1)</f>
        <v/>
      </c>
      <c r="B46362" s="8">
        <f>COUNTA(B46363:B46971)</f>
        <v>0</v>
      </c>
    </row>
    <row r="46363" spans="1:2">
      <c r="B46363">
        <f>BDS(IndexTicker,"INDX_MWEIGHT_HIST","END_DATE_OVERRIDE="&amp;(YEAR($A46362)*10000+MONTH($A46362)*100+DAY($A46362)))</f>
        <v/>
      </c>
    </row>
    <row r="46972" spans="1:2">
      <c r="A46972" s="9">
        <f>EOMONTH(A46362,1)</f>
        <v/>
      </c>
      <c r="B46972" s="8">
        <f>COUNTA(B46973:B47581)</f>
        <v>0</v>
      </c>
    </row>
    <row r="46973" spans="1:2">
      <c r="B46973">
        <f>BDS(IndexTicker,"INDX_MWEIGHT_HIST","END_DATE_OVERRIDE="&amp;(YEAR($A46972)*10000+MONTH($A46972)*100+DAY($A46972)))</f>
        <v/>
      </c>
    </row>
    <row r="47582" spans="1:2">
      <c r="A47582" s="9">
        <f>EOMONTH(A46972,1)</f>
        <v/>
      </c>
      <c r="B47582" s="8">
        <f>COUNTA(B47583:B48191)</f>
        <v>0</v>
      </c>
    </row>
    <row r="47583" spans="1:2">
      <c r="B47583">
        <f>BDS(IndexTicker,"INDX_MWEIGHT_HIST","END_DATE_OVERRIDE="&amp;(YEAR($A47582)*10000+MONTH($A47582)*100+DAY($A47582)))</f>
        <v/>
      </c>
    </row>
    <row r="48192" spans="1:2">
      <c r="A48192" s="9">
        <f>EOMONTH(A47582,1)</f>
        <v/>
      </c>
      <c r="B48192" s="8">
        <f>COUNTA(B48193:B48801)</f>
        <v>0</v>
      </c>
    </row>
    <row r="48193" spans="2:2">
      <c r="B48193">
        <f>BDS(IndexTicker,"INDX_MWEIGHT_HIST","END_DATE_OVERRIDE="&amp;(YEAR($A48192)*10000+MONTH($A48192)*100+DAY($A48192)))</f>
        <v/>
      </c>
    </row>
    <row r="48802" spans="1:2">
      <c r="A48802" s="9">
        <f>EOMONTH(A48192,1)</f>
        <v/>
      </c>
      <c r="B48802" s="8">
        <f>COUNTA(B48803:B49411)</f>
        <v>0</v>
      </c>
    </row>
    <row r="48803" spans="1:2">
      <c r="B48803">
        <f>BDS(IndexTicker,"INDX_MWEIGHT_HIST","END_DATE_OVERRIDE="&amp;(YEAR($A48802)*10000+MONTH($A48802)*100+DAY($A48802)))</f>
        <v/>
      </c>
    </row>
    <row r="49412" spans="1:2">
      <c r="A49412" s="9">
        <f>EOMONTH(A48802,1)</f>
        <v/>
      </c>
      <c r="B49412" s="8">
        <f>COUNTA(B49413:B50021)</f>
        <v>0</v>
      </c>
    </row>
    <row r="49413" spans="1:2">
      <c r="B49413">
        <f>BDS(IndexTicker,"INDX_MWEIGHT_HIST","END_DATE_OVERRIDE="&amp;(YEAR($A49412)*10000+MONTH($A49412)*100+DAY($A49412)))</f>
        <v/>
      </c>
    </row>
    <row r="50022" spans="1:2">
      <c r="A50022" s="9">
        <f>EOMONTH(A49412,1)</f>
        <v/>
      </c>
      <c r="B50022" s="8">
        <f>COUNTA(B50023:B50631)</f>
        <v>0</v>
      </c>
    </row>
    <row r="50023" spans="1:2">
      <c r="B50023">
        <f>BDS(IndexTicker,"INDX_MWEIGHT_HIST","END_DATE_OVERRIDE="&amp;(YEAR($A50022)*10000+MONTH($A50022)*100+DAY($A50022)))</f>
        <v/>
      </c>
    </row>
    <row r="50632" spans="1:2">
      <c r="A50632" s="9">
        <f>EOMONTH(A50022,1)</f>
        <v/>
      </c>
      <c r="B50632" s="8">
        <f>COUNTA(B50633:B51241)</f>
        <v>0</v>
      </c>
    </row>
    <row r="50633" spans="1:2">
      <c r="B50633">
        <f>BDS(IndexTicker,"INDX_MWEIGHT_HIST","END_DATE_OVERRIDE="&amp;(YEAR($A50632)*10000+MONTH($A50632)*100+DAY($A50632)))</f>
        <v/>
      </c>
    </row>
    <row r="51242" spans="1:2">
      <c r="A51242" s="9">
        <f>EOMONTH(A50632,1)</f>
        <v/>
      </c>
      <c r="B51242" s="8">
        <f>COUNTA(B51243:B51851)</f>
        <v>0</v>
      </c>
    </row>
    <row r="51243" spans="1:2">
      <c r="B51243">
        <f>BDS(IndexTicker,"INDX_MWEIGHT_HIST","END_DATE_OVERRIDE="&amp;(YEAR($A51242)*10000+MONTH($A51242)*100+DAY($A51242)))</f>
        <v/>
      </c>
    </row>
    <row r="51852" spans="1:2">
      <c r="A51852" s="9">
        <f>EOMONTH(A51242,1)</f>
        <v/>
      </c>
      <c r="B51852" s="8">
        <f>COUNTA(B51853:B52461)</f>
        <v>0</v>
      </c>
    </row>
    <row r="51853" spans="1:2">
      <c r="B51853">
        <f>BDS(IndexTicker,"INDX_MWEIGHT_HIST","END_DATE_OVERRIDE="&amp;(YEAR($A51852)*10000+MONTH($A51852)*100+DAY($A51852)))</f>
        <v/>
      </c>
    </row>
    <row r="52462" spans="1:2">
      <c r="A52462" s="9">
        <f>EOMONTH(A51852,1)</f>
        <v/>
      </c>
      <c r="B52462" s="8">
        <f>COUNTA(B52463:B53071)</f>
        <v>0</v>
      </c>
    </row>
    <row r="52463" spans="1:2">
      <c r="B52463">
        <f>BDS(IndexTicker,"INDX_MWEIGHT_HIST","END_DATE_OVERRIDE="&amp;(YEAR($A52462)*10000+MONTH($A52462)*100+DAY($A52462)))</f>
        <v/>
      </c>
    </row>
    <row r="53072" spans="1:2">
      <c r="A53072" s="9">
        <f>EOMONTH(A52462,1)</f>
        <v/>
      </c>
      <c r="B53072" s="8">
        <f>COUNTA(B53073:B53681)</f>
        <v>0</v>
      </c>
    </row>
    <row r="53073" spans="2:2">
      <c r="B53073">
        <f>BDS(IndexTicker,"INDX_MWEIGHT_HIST","END_DATE_OVERRIDE="&amp;(YEAR($A53072)*10000+MONTH($A53072)*100+DAY($A53072)))</f>
        <v/>
      </c>
    </row>
    <row r="53682" spans="1:2">
      <c r="A53682" s="9">
        <f>EOMONTH(A53072,1)</f>
        <v/>
      </c>
      <c r="B53682" s="8">
        <f>COUNTA(B53683:B54291)</f>
        <v>0</v>
      </c>
    </row>
    <row r="53683" spans="1:2">
      <c r="B53683">
        <f>BDS(IndexTicker,"INDX_MWEIGHT_HIST","END_DATE_OVERRIDE="&amp;(YEAR($A53682)*10000+MONTH($A53682)*100+DAY($A53682)))</f>
        <v/>
      </c>
    </row>
    <row r="54292" spans="1:2">
      <c r="A54292" s="9">
        <f>EOMONTH(A53682,1)</f>
        <v/>
      </c>
      <c r="B54292" s="8">
        <f>COUNTA(B54293:B54901)</f>
        <v>0</v>
      </c>
    </row>
    <row r="54293" spans="1:2">
      <c r="B54293">
        <f>BDS(IndexTicker,"INDX_MWEIGHT_HIST","END_DATE_OVERRIDE="&amp;(YEAR($A54292)*10000+MONTH($A54292)*100+DAY($A54292)))</f>
        <v/>
      </c>
    </row>
    <row r="54902" spans="1:2">
      <c r="A54902" s="9">
        <f>EOMONTH(A54292,1)</f>
        <v/>
      </c>
      <c r="B54902" s="8">
        <f>COUNTA(B54903:B55511)</f>
        <v>0</v>
      </c>
    </row>
    <row r="54903" spans="1:2">
      <c r="B54903">
        <f>BDS(IndexTicker,"INDX_MWEIGHT_HIST","END_DATE_OVERRIDE="&amp;(YEAR($A54902)*10000+MONTH($A54902)*100+DAY($A54902)))</f>
        <v/>
      </c>
    </row>
    <row r="55512" spans="1:2">
      <c r="A55512" s="9">
        <f>EOMONTH(A54902,1)</f>
        <v/>
      </c>
      <c r="B55512" s="8">
        <f>COUNTA(B55513:B56121)</f>
        <v>0</v>
      </c>
    </row>
    <row r="55513" spans="1:2">
      <c r="B55513">
        <f>BDS(IndexTicker,"INDX_MWEIGHT_HIST","END_DATE_OVERRIDE="&amp;(YEAR($A55512)*10000+MONTH($A55512)*100+DAY($A55512)))</f>
        <v/>
      </c>
    </row>
    <row r="56122" spans="1:2">
      <c r="A56122" s="9">
        <f>EOMONTH(A55512,1)</f>
        <v/>
      </c>
      <c r="B56122" s="8">
        <f>COUNTA(B56123:B56731)</f>
        <v>0</v>
      </c>
    </row>
    <row r="56123" spans="1:2">
      <c r="B56123">
        <f>BDS(IndexTicker,"INDX_MWEIGHT_HIST","END_DATE_OVERRIDE="&amp;(YEAR($A56122)*10000+MONTH($A56122)*100+DAY($A56122)))</f>
        <v/>
      </c>
    </row>
    <row r="56732" spans="1:2">
      <c r="A56732" s="9">
        <f>EOMONTH(A56122,1)</f>
        <v/>
      </c>
      <c r="B56732" s="8">
        <f>COUNTA(B56733:B57341)</f>
        <v>0</v>
      </c>
    </row>
    <row r="56733" spans="1:2">
      <c r="B56733">
        <f>BDS(IndexTicker,"INDX_MWEIGHT_HIST","END_DATE_OVERRIDE="&amp;(YEAR($A56732)*10000+MONTH($A56732)*100+DAY($A56732)))</f>
        <v/>
      </c>
    </row>
    <row r="57342" spans="1:2">
      <c r="A57342" s="9">
        <f>EOMONTH(A56732,1)</f>
        <v/>
      </c>
      <c r="B57342" s="8">
        <f>COUNTA(B57343:B57951)</f>
        <v>0</v>
      </c>
    </row>
    <row r="57343" spans="1:2">
      <c r="B57343">
        <f>BDS(IndexTicker,"INDX_MWEIGHT_HIST","END_DATE_OVERRIDE="&amp;(YEAR($A57342)*10000+MONTH($A57342)*100+DAY($A57342)))</f>
        <v/>
      </c>
    </row>
    <row r="57952" spans="1:2">
      <c r="A57952" s="9">
        <f>EOMONTH(A57342,1)</f>
        <v/>
      </c>
      <c r="B57952" s="8">
        <f>COUNTA(B57953:B58561)</f>
        <v>0</v>
      </c>
    </row>
    <row r="57953" spans="2:2">
      <c r="B57953">
        <f>BDS(IndexTicker,"INDX_MWEIGHT_HIST","END_DATE_OVERRIDE="&amp;(YEAR($A57952)*10000+MONTH($A57952)*100+DAY($A57952)))</f>
        <v/>
      </c>
    </row>
    <row r="58562" spans="1:2">
      <c r="A58562" s="9">
        <f>EOMONTH(A57952,1)</f>
        <v/>
      </c>
      <c r="B58562" s="8">
        <f>COUNTA(B58563:B59171)</f>
        <v>0</v>
      </c>
    </row>
    <row r="58563" spans="1:2">
      <c r="B58563">
        <f>BDS(IndexTicker,"INDX_MWEIGHT_HIST","END_DATE_OVERRIDE="&amp;(YEAR($A58562)*10000+MONTH($A58562)*100+DAY($A58562)))</f>
        <v/>
      </c>
    </row>
    <row r="59172" spans="1:2">
      <c r="A59172" s="9">
        <f>EOMONTH(A58562,1)</f>
        <v/>
      </c>
      <c r="B59172" s="8">
        <f>COUNTA(B59173:B59781)</f>
        <v>0</v>
      </c>
    </row>
    <row r="59173" spans="1:2">
      <c r="B59173">
        <f>BDS(IndexTicker,"INDX_MWEIGHT_HIST","END_DATE_OVERRIDE="&amp;(YEAR($A59172)*10000+MONTH($A59172)*100+DAY($A59172)))</f>
        <v/>
      </c>
    </row>
    <row r="59782" spans="1:2">
      <c r="A59782" s="9">
        <f>EOMONTH(A59172,1)</f>
        <v/>
      </c>
      <c r="B59782" s="8">
        <f>COUNTA(B59783:B60391)</f>
        <v>0</v>
      </c>
    </row>
    <row r="59783" spans="1:2">
      <c r="B59783">
        <f>BDS(IndexTicker,"INDX_MWEIGHT_HIST","END_DATE_OVERRIDE="&amp;(YEAR($A59782)*10000+MONTH($A59782)*100+DAY($A59782)))</f>
        <v/>
      </c>
    </row>
    <row r="60392" spans="1:2">
      <c r="A60392" s="9">
        <f>EOMONTH(A59782,1)</f>
        <v/>
      </c>
      <c r="B60392" s="8">
        <f>COUNTA(B60393:B61001)</f>
        <v>0</v>
      </c>
    </row>
    <row r="60393" spans="1:2">
      <c r="B60393">
        <f>BDS(IndexTicker,"INDX_MWEIGHT_HIST","END_DATE_OVERRIDE="&amp;(YEAR($A60392)*10000+MONTH($A60392)*100+DAY($A60392)))</f>
        <v/>
      </c>
    </row>
    <row r="61002" spans="1:2">
      <c r="A61002" s="9">
        <f>EOMONTH(A60392,1)</f>
        <v/>
      </c>
      <c r="B61002" s="8">
        <f>COUNTA(B61003:B61611)</f>
        <v>0</v>
      </c>
    </row>
    <row r="61003" spans="1:2">
      <c r="B61003">
        <f>BDS(IndexTicker,"INDX_MWEIGHT_HIST","END_DATE_OVERRIDE="&amp;(YEAR($A61002)*10000+MONTH($A61002)*100+DAY($A61002)))</f>
        <v/>
      </c>
    </row>
    <row r="61612" spans="1:2">
      <c r="A61612" s="9">
        <f>EOMONTH(A61002,1)</f>
        <v/>
      </c>
      <c r="B61612" s="8">
        <f>COUNTA(B61613:B62221)</f>
        <v>0</v>
      </c>
    </row>
    <row r="61613" spans="1:2">
      <c r="B61613">
        <f>BDS(IndexTicker,"INDX_MWEIGHT_HIST","END_DATE_OVERRIDE="&amp;(YEAR($A61612)*10000+MONTH($A61612)*100+DAY($A61612)))</f>
        <v/>
      </c>
    </row>
    <row r="62222" spans="1:2">
      <c r="A62222" s="9">
        <f>EOMONTH(A61612,1)</f>
        <v/>
      </c>
      <c r="B62222" s="8">
        <f>COUNTA(B62223:B62831)</f>
        <v>0</v>
      </c>
    </row>
    <row r="62223" spans="1:2">
      <c r="B62223">
        <f>BDS(IndexTicker,"INDX_MWEIGHT_HIST","END_DATE_OVERRIDE="&amp;(YEAR($A62222)*10000+MONTH($A62222)*100+DAY($A62222)))</f>
        <v/>
      </c>
    </row>
    <row r="62832" spans="1:2">
      <c r="A62832" s="9">
        <f>EOMONTH(A62222,1)</f>
        <v/>
      </c>
      <c r="B62832" s="8">
        <f>COUNTA(B62833:B63441)</f>
        <v>0</v>
      </c>
    </row>
    <row r="62833" spans="2:2">
      <c r="B62833">
        <f>BDS(IndexTicker,"INDX_MWEIGHT_HIST","END_DATE_OVERRIDE="&amp;(YEAR($A62832)*10000+MONTH($A62832)*100+DAY($A62832)))</f>
        <v/>
      </c>
    </row>
    <row r="63442" spans="1:2">
      <c r="A63442" s="9">
        <f>EOMONTH(A62832,1)</f>
        <v/>
      </c>
      <c r="B63442" s="8">
        <f>COUNTA(B63443:B64051)</f>
        <v>0</v>
      </c>
    </row>
    <row r="63443" spans="1:2">
      <c r="B63443">
        <f>BDS(IndexTicker,"INDX_MWEIGHT_HIST","END_DATE_OVERRIDE="&amp;(YEAR($A63442)*10000+MONTH($A63442)*100+DAY($A63442)))</f>
        <v/>
      </c>
    </row>
    <row r="64052" spans="1:2">
      <c r="A64052" s="9">
        <f>EOMONTH(A63442,1)</f>
        <v/>
      </c>
      <c r="B64052" s="8">
        <f>COUNTA(B64053:B64661)</f>
        <v>0</v>
      </c>
    </row>
    <row r="64053" spans="1:2">
      <c r="B64053">
        <f>BDS(IndexTicker,"INDX_MWEIGHT_HIST","END_DATE_OVERRIDE="&amp;(YEAR($A64052)*10000+MONTH($A64052)*100+DAY($A64052)))</f>
        <v/>
      </c>
    </row>
    <row r="64662" spans="1:2">
      <c r="A64662" s="9">
        <f>EOMONTH(A64052,1)</f>
        <v/>
      </c>
      <c r="B64662" s="8">
        <f>COUNTA(B64663:B65271)</f>
        <v>0</v>
      </c>
    </row>
    <row r="64663" spans="1:2">
      <c r="B64663">
        <f>BDS(IndexTicker,"INDX_MWEIGHT_HIST","END_DATE_OVERRIDE="&amp;(YEAR($A64662)*10000+MONTH($A64662)*100+DAY($A64662)))</f>
        <v/>
      </c>
    </row>
    <row r="65272" spans="1:2">
      <c r="A65272" s="9">
        <f>EOMONTH(A64662,1)</f>
        <v/>
      </c>
      <c r="B65272" s="8">
        <f>COUNTA(B65273:B65881)</f>
        <v>0</v>
      </c>
    </row>
    <row r="65273" spans="1:2">
      <c r="B65273">
        <f>BDS(IndexTicker,"INDX_MWEIGHT_HIST","END_DATE_OVERRIDE="&amp;(YEAR($A65272)*10000+MONTH($A65272)*100+DAY($A65272)))</f>
        <v/>
      </c>
    </row>
    <row r="65882" spans="1:2">
      <c r="A65882" s="9">
        <f>EOMONTH(A65272,1)</f>
        <v/>
      </c>
      <c r="B65882" s="8">
        <f>COUNTA(B65883:B66491)</f>
        <v>0</v>
      </c>
    </row>
    <row r="65883" spans="1:2">
      <c r="B65883">
        <f>BDS(IndexTicker,"INDX_MWEIGHT_HIST","END_DATE_OVERRIDE="&amp;(YEAR($A65882)*10000+MONTH($A65882)*100+DAY($A65882)))</f>
        <v/>
      </c>
    </row>
    <row r="66492" spans="1:2">
      <c r="A66492" s="9">
        <f>EOMONTH(A65882,1)</f>
        <v/>
      </c>
      <c r="B66492" s="8">
        <f>COUNTA(B66493:B67101)</f>
        <v>0</v>
      </c>
    </row>
    <row r="66493" spans="1:2">
      <c r="B66493">
        <f>BDS(IndexTicker,"INDX_MWEIGHT_HIST","END_DATE_OVERRIDE="&amp;(YEAR($A66492)*10000+MONTH($A66492)*100+DAY($A66492)))</f>
        <v/>
      </c>
    </row>
    <row r="67102" spans="1:2">
      <c r="A67102" s="9">
        <f>EOMONTH(A66492,1)</f>
        <v/>
      </c>
      <c r="B67102" s="8">
        <f>COUNTA(B67103:B67711)</f>
        <v>0</v>
      </c>
    </row>
    <row r="67103" spans="1:2">
      <c r="B67103">
        <f>BDS(IndexTicker,"INDX_MWEIGHT_HIST","END_DATE_OVERRIDE="&amp;(YEAR($A67102)*10000+MONTH($A67102)*100+DAY($A67102)))</f>
        <v/>
      </c>
    </row>
    <row r="67712" spans="1:2">
      <c r="A67712" s="9">
        <f>EOMONTH(A67102,1)</f>
        <v/>
      </c>
      <c r="B67712" s="8">
        <f>COUNTA(B67713:B68321)</f>
        <v>0</v>
      </c>
    </row>
    <row r="67713" spans="2:2">
      <c r="B67713">
        <f>BDS(IndexTicker,"INDX_MWEIGHT_HIST","END_DATE_OVERRIDE="&amp;(YEAR($A67712)*10000+MONTH($A67712)*100+DAY($A67712)))</f>
        <v/>
      </c>
    </row>
    <row r="68322" spans="1:2">
      <c r="A68322" s="9">
        <f>EOMONTH(A67712,1)</f>
        <v/>
      </c>
      <c r="B68322" s="8">
        <f>COUNTA(B68323:B68931)</f>
        <v>0</v>
      </c>
    </row>
    <row r="68323" spans="1:2">
      <c r="B68323">
        <f>BDS(IndexTicker,"INDX_MWEIGHT_HIST","END_DATE_OVERRIDE="&amp;(YEAR($A68322)*10000+MONTH($A68322)*100+DAY($A68322)))</f>
        <v/>
      </c>
    </row>
    <row r="68932" spans="1:2">
      <c r="A68932" s="9">
        <f>EOMONTH(A68322,1)</f>
        <v/>
      </c>
      <c r="B68932" s="8">
        <f>COUNTA(B68933:B69541)</f>
        <v>0</v>
      </c>
    </row>
    <row r="68933" spans="1:2">
      <c r="B68933">
        <f>BDS(IndexTicker,"INDX_MWEIGHT_HIST","END_DATE_OVERRIDE="&amp;(YEAR($A68932)*10000+MONTH($A68932)*100+DAY($A68932)))</f>
        <v/>
      </c>
    </row>
    <row r="69542" spans="1:2">
      <c r="A69542" s="9">
        <f>EOMONTH(A68932,1)</f>
        <v/>
      </c>
      <c r="B69542" s="8">
        <f>COUNTA(B69543:B70151)</f>
        <v>0</v>
      </c>
    </row>
    <row r="69543" spans="1:2">
      <c r="B69543">
        <f>BDS(IndexTicker,"INDX_MWEIGHT_HIST","END_DATE_OVERRIDE="&amp;(YEAR($A69542)*10000+MONTH($A69542)*100+DAY($A69542)))</f>
        <v/>
      </c>
    </row>
    <row r="70152" spans="1:2">
      <c r="A70152" s="9">
        <f>EOMONTH(A69542,1)</f>
        <v/>
      </c>
      <c r="B70152" s="8">
        <f>COUNTA(B70153:B70761)</f>
        <v>0</v>
      </c>
    </row>
    <row r="70153" spans="1:2">
      <c r="B70153">
        <f>BDS(IndexTicker,"INDX_MWEIGHT_HIST","END_DATE_OVERRIDE="&amp;(YEAR($A70152)*10000+MONTH($A70152)*100+DAY($A70152)))</f>
        <v/>
      </c>
    </row>
    <row r="70762" spans="1:2">
      <c r="A70762" s="9">
        <f>EOMONTH(A70152,1)</f>
        <v/>
      </c>
      <c r="B70762" s="8">
        <f>COUNTA(B70763:B71371)</f>
        <v>0</v>
      </c>
    </row>
    <row r="70763" spans="1:2">
      <c r="B70763">
        <f>BDS(IndexTicker,"INDX_MWEIGHT_HIST","END_DATE_OVERRIDE="&amp;(YEAR($A70762)*10000+MONTH($A70762)*100+DAY($A70762)))</f>
        <v/>
      </c>
    </row>
    <row r="71372" spans="1:2">
      <c r="A71372" s="9">
        <f>EOMONTH(A70762,1)</f>
        <v/>
      </c>
      <c r="B71372" s="8">
        <f>COUNTA(B71373:B71981)</f>
        <v>0</v>
      </c>
    </row>
    <row r="71373" spans="1:2">
      <c r="B71373">
        <f>BDS(IndexTicker,"INDX_MWEIGHT_HIST","END_DATE_OVERRIDE="&amp;(YEAR($A71372)*10000+MONTH($A71372)*100+DAY($A71372)))</f>
        <v/>
      </c>
    </row>
    <row r="71982" spans="1:2">
      <c r="A71982" s="9">
        <f>EOMONTH(A71372,1)</f>
        <v/>
      </c>
      <c r="B71982" s="8">
        <f>COUNTA(B71983:B72591)</f>
        <v>0</v>
      </c>
    </row>
    <row r="71983" spans="1:2">
      <c r="B71983">
        <f>BDS(IndexTicker,"INDX_MWEIGHT_HIST","END_DATE_OVERRIDE="&amp;(YEAR($A71982)*10000+MONTH($A71982)*100+DAY($A71982)))</f>
        <v/>
      </c>
    </row>
    <row r="72592" spans="1:2">
      <c r="A72592" s="9">
        <f>EOMONTH(A71982,1)</f>
        <v/>
      </c>
      <c r="B72592" s="8">
        <f>COUNTA(B72593:B73201)</f>
        <v>0</v>
      </c>
    </row>
    <row r="72593" spans="2:2">
      <c r="B72593">
        <f>BDS(IndexTicker,"INDX_MWEIGHT_HIST","END_DATE_OVERRIDE="&amp;(YEAR($A72592)*10000+MONTH($A72592)*100+DAY($A72592)))</f>
        <v/>
      </c>
    </row>
    <row r="73202" spans="1:2">
      <c r="A73202" s="9">
        <f>EOMONTH(A72592,1)</f>
        <v/>
      </c>
      <c r="B73202" s="8">
        <f>COUNTA(B73203:B73811)</f>
        <v>0</v>
      </c>
    </row>
    <row r="73203" spans="1:2">
      <c r="B73203">
        <f>BDS(IndexTicker,"INDX_MWEIGHT_HIST","END_DATE_OVERRIDE="&amp;(YEAR($A73202)*10000+MONTH($A73202)*100+DAY($A73202)))</f>
        <v/>
      </c>
    </row>
    <row r="73812" spans="1:2">
      <c r="A73812" s="9">
        <f>EOMONTH(A73202,1)</f>
        <v/>
      </c>
      <c r="B73812" s="8">
        <f>COUNTA(B73813:B74421)</f>
        <v>0</v>
      </c>
    </row>
    <row r="73813" spans="1:2">
      <c r="B73813">
        <f>BDS(IndexTicker,"INDX_MWEIGHT_HIST","END_DATE_OVERRIDE="&amp;(YEAR($A73812)*10000+MONTH($A73812)*100+DAY($A73812)))</f>
        <v/>
      </c>
    </row>
    <row r="74422" spans="1:2">
      <c r="A74422" s="9">
        <f>EOMONTH(A73812,1)</f>
        <v/>
      </c>
      <c r="B74422" s="8">
        <f>COUNTA(B74423:B75031)</f>
        <v>0</v>
      </c>
    </row>
    <row r="74423" spans="1:2">
      <c r="B74423">
        <f>BDS(IndexTicker,"INDX_MWEIGHT_HIST","END_DATE_OVERRIDE="&amp;(YEAR($A74422)*10000+MONTH($A74422)*100+DAY($A74422)))</f>
        <v/>
      </c>
    </row>
    <row r="75032" spans="1:2">
      <c r="A75032" s="9">
        <f>EOMONTH(A74422,1)</f>
        <v/>
      </c>
      <c r="B75032" s="8">
        <f>COUNTA(B75033:B75641)</f>
        <v>0</v>
      </c>
    </row>
    <row r="75033" spans="1:2">
      <c r="B75033">
        <f>BDS(IndexTicker,"INDX_MWEIGHT_HIST","END_DATE_OVERRIDE="&amp;(YEAR($A75032)*10000+MONTH($A75032)*100+DAY($A75032)))</f>
        <v/>
      </c>
    </row>
    <row r="75642" spans="1:2">
      <c r="A75642" s="9">
        <f>EOMONTH(A75032,1)</f>
        <v/>
      </c>
      <c r="B75642" s="8">
        <f>COUNTA(B75643:B76251)</f>
        <v>0</v>
      </c>
    </row>
    <row r="75643" spans="1:2">
      <c r="B75643">
        <f>BDS(IndexTicker,"INDX_MWEIGHT_HIST","END_DATE_OVERRIDE="&amp;(YEAR($A75642)*10000+MONTH($A75642)*100+DAY($A75642)))</f>
        <v/>
      </c>
    </row>
    <row r="76252" spans="1:2">
      <c r="A76252" s="9">
        <f>EOMONTH(A75642,1)</f>
        <v/>
      </c>
      <c r="B76252" s="8">
        <f>COUNTA(B76253:B76861)</f>
        <v>0</v>
      </c>
    </row>
    <row r="76253" spans="1:2">
      <c r="B76253">
        <f>BDS(IndexTicker,"INDX_MWEIGHT_HIST","END_DATE_OVERRIDE="&amp;(YEAR($A76252)*10000+MONTH($A76252)*100+DAY($A76252)))</f>
        <v/>
      </c>
    </row>
    <row r="76862" spans="1:2">
      <c r="A76862" s="9">
        <f>EOMONTH(A76252,1)</f>
        <v/>
      </c>
      <c r="B76862" s="8">
        <f>COUNTA(B76863:B77471)</f>
        <v>0</v>
      </c>
    </row>
    <row r="76863" spans="1:2">
      <c r="B76863">
        <f>BDS(IndexTicker,"INDX_MWEIGHT_HIST","END_DATE_OVERRIDE="&amp;(YEAR($A76862)*10000+MONTH($A76862)*100+DAY($A76862)))</f>
        <v/>
      </c>
    </row>
    <row r="77472" spans="1:2">
      <c r="A77472" s="9">
        <f>EOMONTH(A76862,1)</f>
        <v/>
      </c>
      <c r="B77472" s="8">
        <f>COUNTA(B77473:B78081)</f>
        <v>0</v>
      </c>
    </row>
    <row r="77473" spans="2:2">
      <c r="B77473">
        <f>BDS(IndexTicker,"INDX_MWEIGHT_HIST","END_DATE_OVERRIDE="&amp;(YEAR($A77472)*10000+MONTH($A77472)*100+DAY($A77472)))</f>
        <v/>
      </c>
    </row>
    <row r="78082" spans="1:2">
      <c r="A78082" s="9">
        <f>EOMONTH(A77472,1)</f>
        <v/>
      </c>
      <c r="B78082" s="8">
        <f>COUNTA(B78083:B78691)</f>
        <v>0</v>
      </c>
    </row>
    <row r="78083" spans="1:2">
      <c r="B78083">
        <f>BDS(IndexTicker,"INDX_MWEIGHT_HIST","END_DATE_OVERRIDE="&amp;(YEAR($A78082)*10000+MONTH($A78082)*100+DAY($A78082)))</f>
        <v/>
      </c>
    </row>
    <row r="78692" spans="1:2">
      <c r="A78692" s="9">
        <f>EOMONTH(A78082,1)</f>
        <v/>
      </c>
      <c r="B78692" s="8">
        <f>COUNTA(B78693:B79301)</f>
        <v>0</v>
      </c>
    </row>
    <row r="78693" spans="1:2">
      <c r="B78693">
        <f>BDS(IndexTicker,"INDX_MWEIGHT_HIST","END_DATE_OVERRIDE="&amp;(YEAR($A78692)*10000+MONTH($A78692)*100+DAY($A78692)))</f>
        <v/>
      </c>
    </row>
    <row r="79302" spans="1:2">
      <c r="A79302" s="9">
        <f>EOMONTH(A78692,1)</f>
        <v/>
      </c>
      <c r="B79302" s="8">
        <f>COUNTA(B79303:B79911)</f>
        <v>0</v>
      </c>
    </row>
    <row r="79303" spans="1:2">
      <c r="B79303">
        <f>BDS(IndexTicker,"INDX_MWEIGHT_HIST","END_DATE_OVERRIDE="&amp;(YEAR($A79302)*10000+MONTH($A79302)*100+DAY($A79302)))</f>
        <v/>
      </c>
    </row>
    <row r="79912" spans="1:2">
      <c r="A79912" s="9">
        <f>EOMONTH(A79302,1)</f>
        <v/>
      </c>
      <c r="B79912" s="8">
        <f>COUNTA(B79913:B80521)</f>
        <v>0</v>
      </c>
    </row>
    <row r="79913" spans="1:2">
      <c r="B79913">
        <f>BDS(IndexTicker,"INDX_MWEIGHT_HIST","END_DATE_OVERRIDE="&amp;(YEAR($A79912)*10000+MONTH($A79912)*100+DAY($A79912)))</f>
        <v/>
      </c>
    </row>
    <row r="80522" spans="1:2">
      <c r="A80522" s="9">
        <f>EOMONTH(A79912,1)</f>
        <v/>
      </c>
      <c r="B80522" s="8">
        <f>COUNTA(B80523:B81131)</f>
        <v>0</v>
      </c>
    </row>
    <row r="80523" spans="1:2">
      <c r="B80523">
        <f>BDS(IndexTicker,"INDX_MWEIGHT_HIST","END_DATE_OVERRIDE="&amp;(YEAR($A80522)*10000+MONTH($A80522)*100+DAY($A80522)))</f>
        <v/>
      </c>
    </row>
    <row r="81132" spans="1:2">
      <c r="A81132" s="9">
        <f>EOMONTH(A80522,1)</f>
        <v/>
      </c>
      <c r="B81132" s="8">
        <f>COUNTA(B81133:B81741)</f>
        <v>0</v>
      </c>
    </row>
    <row r="81133" spans="1:2">
      <c r="B81133">
        <f>BDS(IndexTicker,"INDX_MWEIGHT_HIST","END_DATE_OVERRIDE="&amp;(YEAR($A81132)*10000+MONTH($A81132)*100+DAY($A81132)))</f>
        <v/>
      </c>
    </row>
    <row r="81742" spans="1:2">
      <c r="A81742" s="9">
        <f>EOMONTH(A81132,1)</f>
        <v/>
      </c>
      <c r="B81742" s="8">
        <f>COUNTA(B81743:B82351)</f>
        <v>0</v>
      </c>
    </row>
    <row r="81743" spans="1:2">
      <c r="B81743">
        <f>BDS(IndexTicker,"INDX_MWEIGHT_HIST","END_DATE_OVERRIDE="&amp;(YEAR($A81742)*10000+MONTH($A81742)*100+DAY($A81742)))</f>
        <v/>
      </c>
    </row>
    <row r="82352" spans="1:2">
      <c r="A82352" s="9">
        <f>EOMONTH(A81742,1)</f>
        <v/>
      </c>
      <c r="B82352" s="8">
        <f>COUNTA(B82353:B82961)</f>
        <v>0</v>
      </c>
    </row>
    <row r="82353" spans="2:2">
      <c r="B82353">
        <f>BDS(IndexTicker,"INDX_MWEIGHT_HIST","END_DATE_OVERRIDE="&amp;(YEAR($A82352)*10000+MONTH($A82352)*100+DAY($A82352)))</f>
        <v/>
      </c>
    </row>
    <row r="82962" spans="1:2">
      <c r="A82962" s="9">
        <f>EOMONTH(A82352,1)</f>
        <v/>
      </c>
      <c r="B82962" s="8">
        <f>COUNTA(B82963:B83571)</f>
        <v>0</v>
      </c>
    </row>
    <row r="82963" spans="1:2">
      <c r="B82963">
        <f>BDS(IndexTicker,"INDX_MWEIGHT_HIST","END_DATE_OVERRIDE="&amp;(YEAR($A82962)*10000+MONTH($A82962)*100+DAY($A82962)))</f>
        <v/>
      </c>
    </row>
    <row r="83572" spans="1:2">
      <c r="A83572" s="9">
        <f>EOMONTH(A82962,1)</f>
        <v/>
      </c>
      <c r="B83572" s="8">
        <f>COUNTA(B83573:B84181)</f>
        <v>0</v>
      </c>
    </row>
    <row r="83573" spans="1:2">
      <c r="B83573">
        <f>BDS(IndexTicker,"INDX_MWEIGHT_HIST","END_DATE_OVERRIDE="&amp;(YEAR($A83572)*10000+MONTH($A83572)*100+DAY($A83572)))</f>
        <v/>
      </c>
    </row>
    <row r="84182" spans="1:2">
      <c r="A84182" s="9">
        <f>EOMONTH(A83572,1)</f>
        <v/>
      </c>
      <c r="B84182" s="8">
        <f>COUNTA(B84183:B84791)</f>
        <v>0</v>
      </c>
    </row>
    <row r="84183" spans="1:2">
      <c r="B84183">
        <f>BDS(IndexTicker,"INDX_MWEIGHT_HIST","END_DATE_OVERRIDE="&amp;(YEAR($A84182)*10000+MONTH($A84182)*100+DAY($A84182)))</f>
        <v/>
      </c>
    </row>
    <row r="84792" spans="1:2">
      <c r="A84792" s="9">
        <f>EOMONTH(A84182,1)</f>
        <v/>
      </c>
      <c r="B84792" s="8">
        <f>COUNTA(B84793:B85401)</f>
        <v>0</v>
      </c>
    </row>
    <row r="84793" spans="1:2">
      <c r="B84793">
        <f>BDS(IndexTicker,"INDX_MWEIGHT_HIST","END_DATE_OVERRIDE="&amp;(YEAR($A84792)*10000+MONTH($A84792)*100+DAY($A84792)))</f>
        <v/>
      </c>
    </row>
    <row r="85402" spans="1:2">
      <c r="A85402" s="9">
        <f>EOMONTH(A84792,1)</f>
        <v/>
      </c>
      <c r="B85402" s="8">
        <f>COUNTA(B85403:B86011)</f>
        <v>0</v>
      </c>
    </row>
    <row r="85403" spans="1:2">
      <c r="B85403">
        <f>BDS(IndexTicker,"INDX_MWEIGHT_HIST","END_DATE_OVERRIDE="&amp;(YEAR($A85402)*10000+MONTH($A85402)*100+DAY($A85402)))</f>
        <v/>
      </c>
    </row>
    <row r="86012" spans="1:2">
      <c r="A86012" s="9">
        <f>EOMONTH(A85402,1)</f>
        <v/>
      </c>
      <c r="B86012" s="8">
        <f>COUNTA(B86013:B86621)</f>
        <v>0</v>
      </c>
    </row>
    <row r="86013" spans="1:2">
      <c r="B86013">
        <f>BDS(IndexTicker,"INDX_MWEIGHT_HIST","END_DATE_OVERRIDE="&amp;(YEAR($A86012)*10000+MONTH($A86012)*100+DAY($A86012)))</f>
        <v/>
      </c>
    </row>
    <row r="86622" spans="1:2">
      <c r="A86622" s="9">
        <f>EOMONTH(A86012,1)</f>
        <v/>
      </c>
      <c r="B86622" s="8">
        <f>COUNTA(B86623:B87231)</f>
        <v>0</v>
      </c>
    </row>
    <row r="86623" spans="1:2">
      <c r="B86623">
        <f>BDS(IndexTicker,"INDX_MWEIGHT_HIST","END_DATE_OVERRIDE="&amp;(YEAR($A86622)*10000+MONTH($A86622)*100+DAY($A86622)))</f>
        <v/>
      </c>
    </row>
    <row r="87232" spans="1:2">
      <c r="A87232" s="9">
        <f>EOMONTH(A86622,1)</f>
        <v/>
      </c>
      <c r="B87232" s="8">
        <f>COUNTA(B87233:B87841)</f>
        <v>0</v>
      </c>
    </row>
    <row r="87233" spans="2:2">
      <c r="B87233">
        <f>BDS(IndexTicker,"INDX_MWEIGHT_HIST","END_DATE_OVERRIDE="&amp;(YEAR($A87232)*10000+MONTH($A87232)*100+DAY($A87232)))</f>
        <v/>
      </c>
    </row>
    <row r="87842" spans="1:2">
      <c r="A87842" s="9">
        <f>EOMONTH(A87232,1)</f>
        <v/>
      </c>
      <c r="B87842" s="8">
        <f>COUNTA(B87843:B88451)</f>
        <v>0</v>
      </c>
    </row>
    <row r="87843" spans="1:2">
      <c r="B87843">
        <f>BDS(IndexTicker,"INDX_MWEIGHT_HIST","END_DATE_OVERRIDE="&amp;(YEAR($A87842)*10000+MONTH($A87842)*100+DAY($A87842)))</f>
        <v/>
      </c>
    </row>
    <row r="88452" spans="1:2">
      <c r="A88452" s="9">
        <f>EOMONTH(A87842,1)</f>
        <v/>
      </c>
      <c r="B88452" s="8">
        <f>COUNTA(B88453:B89061)</f>
        <v>0</v>
      </c>
    </row>
    <row r="88453" spans="1:2">
      <c r="B88453">
        <f>BDS(IndexTicker,"INDX_MWEIGHT_HIST","END_DATE_OVERRIDE="&amp;(YEAR($A88452)*10000+MONTH($A88452)*100+DAY($A88452)))</f>
        <v/>
      </c>
    </row>
    <row r="89062" spans="1:2">
      <c r="A89062" s="9">
        <f>EOMONTH(A88452,1)</f>
        <v/>
      </c>
      <c r="B89062" s="8">
        <f>COUNTA(B89063:B89671)</f>
        <v>0</v>
      </c>
    </row>
    <row r="89063" spans="1:2">
      <c r="B89063">
        <f>BDS(IndexTicker,"INDX_MWEIGHT_HIST","END_DATE_OVERRIDE="&amp;(YEAR($A89062)*10000+MONTH($A89062)*100+DAY($A89062)))</f>
        <v/>
      </c>
    </row>
    <row r="89672" spans="1:2">
      <c r="A89672" s="9">
        <f>EOMONTH(A89062,1)</f>
        <v/>
      </c>
      <c r="B89672" s="8">
        <f>COUNTA(B89673:B90281)</f>
        <v>0</v>
      </c>
    </row>
    <row r="89673" spans="1:2">
      <c r="B89673">
        <f>BDS(IndexTicker,"INDX_MWEIGHT_HIST","END_DATE_OVERRIDE="&amp;(YEAR($A89672)*10000+MONTH($A89672)*100+DAY($A89672)))</f>
        <v/>
      </c>
    </row>
    <row r="90282" spans="1:2">
      <c r="A90282" s="9">
        <f>EOMONTH(A89672,1)</f>
        <v/>
      </c>
      <c r="B90282" s="8">
        <f>COUNTA(B90283:B90891)</f>
        <v>0</v>
      </c>
    </row>
    <row r="90283" spans="1:2">
      <c r="B90283">
        <f>BDS(IndexTicker,"INDX_MWEIGHT_HIST","END_DATE_OVERRIDE="&amp;(YEAR($A90282)*10000+MONTH($A90282)*100+DAY($A90282)))</f>
        <v/>
      </c>
    </row>
    <row r="90892" spans="1:2">
      <c r="A90892" s="9">
        <f>EOMONTH(A90282,1)</f>
        <v/>
      </c>
      <c r="B90892" s="8">
        <f>COUNTA(B90893:B91501)</f>
        <v>0</v>
      </c>
    </row>
    <row r="90893" spans="1:2">
      <c r="B90893">
        <f>BDS(IndexTicker,"INDX_MWEIGHT_HIST","END_DATE_OVERRIDE="&amp;(YEAR($A90892)*10000+MONTH($A90892)*100+DAY($A90892)))</f>
        <v/>
      </c>
    </row>
    <row r="91502" spans="1:2">
      <c r="A91502" s="9">
        <f>EOMONTH(A90892,1)</f>
        <v/>
      </c>
      <c r="B91502" s="8">
        <f>COUNTA(B91503:B92111)</f>
        <v>0</v>
      </c>
    </row>
    <row r="91503" spans="1:2">
      <c r="B91503">
        <f>BDS(IndexTicker,"INDX_MWEIGHT_HIST","END_DATE_OVERRIDE="&amp;(YEAR($A91502)*10000+MONTH($A91502)*100+DAY($A91502)))</f>
        <v/>
      </c>
    </row>
    <row r="92112" spans="1:2">
      <c r="A92112" s="9">
        <f>EOMONTH(A91502,1)</f>
        <v/>
      </c>
      <c r="B92112" s="8">
        <f>COUNTA(B92113:B92721)</f>
        <v>0</v>
      </c>
    </row>
    <row r="92113" spans="2:2">
      <c r="B92113">
        <f>BDS(IndexTicker,"INDX_MWEIGHT_HIST","END_DATE_OVERRIDE="&amp;(YEAR($A92112)*10000+MONTH($A92112)*100+DAY($A92112)))</f>
        <v/>
      </c>
    </row>
    <row r="92722" spans="1:2">
      <c r="A92722" s="9">
        <f>EOMONTH(A92112,1)</f>
        <v/>
      </c>
      <c r="B92722" s="8">
        <f>COUNTA(B92723:B93331)</f>
        <v>0</v>
      </c>
    </row>
    <row r="92723" spans="1:2">
      <c r="B92723">
        <f>BDS(IndexTicker,"INDX_MWEIGHT_HIST","END_DATE_OVERRIDE="&amp;(YEAR($A92722)*10000+MONTH($A92722)*100+DAY($A92722)))</f>
        <v/>
      </c>
    </row>
    <row r="93332" spans="1:2">
      <c r="A93332" s="9">
        <f>EOMONTH(A92722,1)</f>
        <v/>
      </c>
      <c r="B93332" s="8">
        <f>COUNTA(B93333:B93941)</f>
        <v>0</v>
      </c>
    </row>
    <row r="93333" spans="1:2">
      <c r="B93333">
        <f>BDS(IndexTicker,"INDX_MWEIGHT_HIST","END_DATE_OVERRIDE="&amp;(YEAR($A93332)*10000+MONTH($A93332)*100+DAY($A93332)))</f>
        <v/>
      </c>
    </row>
    <row r="93942" spans="1:2">
      <c r="A93942" s="9">
        <f>EOMONTH(A93332,1)</f>
        <v/>
      </c>
      <c r="B93942" s="8">
        <f>COUNTA(B93943:B94551)</f>
        <v>0</v>
      </c>
    </row>
    <row r="93943" spans="1:2">
      <c r="B93943">
        <f>BDS(IndexTicker,"INDX_MWEIGHT_HIST","END_DATE_OVERRIDE="&amp;(YEAR($A93942)*10000+MONTH($A93942)*100+DAY($A93942)))</f>
        <v/>
      </c>
    </row>
    <row r="94552" spans="1:2">
      <c r="A94552" s="9">
        <f>EOMONTH(A93942,1)</f>
        <v/>
      </c>
      <c r="B94552" s="8">
        <f>COUNTA(B94553:B95161)</f>
        <v>0</v>
      </c>
    </row>
    <row r="94553" spans="1:2">
      <c r="B94553">
        <f>BDS(IndexTicker,"INDX_MWEIGHT_HIST","END_DATE_OVERRIDE="&amp;(YEAR($A94552)*10000+MONTH($A94552)*100+DAY($A94552)))</f>
        <v/>
      </c>
    </row>
    <row r="95162" spans="1:2">
      <c r="A95162" s="9">
        <f>EOMONTH(A94552,1)</f>
        <v/>
      </c>
      <c r="B95162" s="8">
        <f>COUNTA(B95163:B95771)</f>
        <v>0</v>
      </c>
    </row>
    <row r="95163" spans="1:2">
      <c r="B95163">
        <f>BDS(IndexTicker,"INDX_MWEIGHT_HIST","END_DATE_OVERRIDE="&amp;(YEAR($A95162)*10000+MONTH($A95162)*100+DAY($A95162)))</f>
        <v/>
      </c>
    </row>
    <row r="95772" spans="1:2">
      <c r="A95772" s="9">
        <f>EOMONTH(A95162,1)</f>
        <v/>
      </c>
      <c r="B95772" s="8">
        <f>COUNTA(B95773:B96381)</f>
        <v>0</v>
      </c>
    </row>
    <row r="95773" spans="1:2">
      <c r="B95773">
        <f>BDS(IndexTicker,"INDX_MWEIGHT_HIST","END_DATE_OVERRIDE="&amp;(YEAR($A95772)*10000+MONTH($A95772)*100+DAY($A95772)))</f>
        <v/>
      </c>
    </row>
    <row r="96382" spans="1:2">
      <c r="A96382" s="9">
        <f>EOMONTH(A95772,1)</f>
        <v/>
      </c>
      <c r="B96382" s="8">
        <f>COUNTA(B96383:B96991)</f>
        <v>0</v>
      </c>
    </row>
    <row r="96383" spans="1:2">
      <c r="B96383">
        <f>BDS(IndexTicker,"INDX_MWEIGHT_HIST","END_DATE_OVERRIDE="&amp;(YEAR($A96382)*10000+MONTH($A96382)*100+DAY($A96382)))</f>
        <v/>
      </c>
    </row>
    <row r="96992" spans="1:2">
      <c r="A96992" s="9">
        <f>EOMONTH(A96382,1)</f>
        <v/>
      </c>
      <c r="B96992" s="8">
        <f>COUNTA(B96993:B97601)</f>
        <v>0</v>
      </c>
    </row>
    <row r="96993" spans="2:2">
      <c r="B96993">
        <f>BDS(IndexTicker,"INDX_MWEIGHT_HIST","END_DATE_OVERRIDE="&amp;(YEAR($A96992)*10000+MONTH($A96992)*100+DAY($A96992)))</f>
        <v/>
      </c>
    </row>
    <row r="97602" spans="1:2">
      <c r="A97602" s="9">
        <f>EOMONTH(A96992,1)</f>
        <v/>
      </c>
      <c r="B97602" s="8">
        <f>COUNTA(B97603:B98211)</f>
        <v>0</v>
      </c>
    </row>
    <row r="97603" spans="1:2">
      <c r="B97603">
        <f>BDS(IndexTicker,"INDX_MWEIGHT_HIST","END_DATE_OVERRIDE="&amp;(YEAR($A97602)*10000+MONTH($A97602)*100+DAY($A97602)))</f>
        <v/>
      </c>
    </row>
    <row r="98212" spans="1:2">
      <c r="A98212" s="9">
        <f>EOMONTH(A97602,1)</f>
        <v/>
      </c>
      <c r="B98212" s="8">
        <f>COUNTA(B98213:B98821)</f>
        <v>0</v>
      </c>
    </row>
    <row r="98213" spans="1:2">
      <c r="B98213">
        <f>BDS(IndexTicker,"INDX_MWEIGHT_HIST","END_DATE_OVERRIDE="&amp;(YEAR($A98212)*10000+MONTH($A98212)*100+DAY($A98212)))</f>
        <v/>
      </c>
    </row>
    <row r="98822" spans="1:2">
      <c r="A98822" s="9">
        <f>EOMONTH(A98212,1)</f>
        <v/>
      </c>
      <c r="B98822" s="8">
        <f>COUNTA(B98823:B99431)</f>
        <v>0</v>
      </c>
    </row>
    <row r="98823" spans="1:2">
      <c r="B98823">
        <f>BDS(IndexTicker,"INDX_MWEIGHT_HIST","END_DATE_OVERRIDE="&amp;(YEAR($A98822)*10000+MONTH($A98822)*100+DAY($A98822)))</f>
        <v/>
      </c>
    </row>
    <row r="99432" spans="1:2">
      <c r="A99432" s="9">
        <f>EOMONTH(A98822,1)</f>
        <v/>
      </c>
      <c r="B99432" s="8">
        <f>COUNTA(B99433:B100041)</f>
        <v>0</v>
      </c>
    </row>
    <row r="99433" spans="1:2">
      <c r="B99433">
        <f>BDS(IndexTicker,"INDX_MWEIGHT_HIST","END_DATE_OVERRIDE="&amp;(YEAR($A99432)*10000+MONTH($A99432)*100+DAY($A99432)))</f>
        <v/>
      </c>
    </row>
    <row r="100042" spans="1:2">
      <c r="A100042" s="9">
        <f>EOMONTH(A99432,1)</f>
        <v/>
      </c>
      <c r="B100042" s="8">
        <f>COUNTA(B100043:B100651)</f>
        <v>0</v>
      </c>
    </row>
    <row r="100043" spans="1:2">
      <c r="B100043">
        <f>BDS(IndexTicker,"INDX_MWEIGHT_HIST","END_DATE_OVERRIDE="&amp;(YEAR($A100042)*10000+MONTH($A100042)*100+DAY($A100042)))</f>
        <v/>
      </c>
    </row>
    <row r="100652" spans="1:2">
      <c r="A100652" s="9">
        <f>EOMONTH(A100042,1)</f>
        <v/>
      </c>
      <c r="B100652" s="8">
        <f>COUNTA(B100653:B101261)</f>
        <v>0</v>
      </c>
    </row>
    <row r="100653" spans="1:2">
      <c r="B100653">
        <f>BDS(IndexTicker,"INDX_MWEIGHT_HIST","END_DATE_OVERRIDE="&amp;(YEAR($A100652)*10000+MONTH($A100652)*100+DAY($A100652)))</f>
        <v/>
      </c>
    </row>
    <row r="101262" spans="1:2">
      <c r="A101262" s="9">
        <f>EOMONTH(A100652,1)</f>
        <v/>
      </c>
      <c r="B101262" s="8">
        <f>COUNTA(B101263:B101871)</f>
        <v>0</v>
      </c>
    </row>
    <row r="101263" spans="1:2">
      <c r="B101263">
        <f>BDS(IndexTicker,"INDX_MWEIGHT_HIST","END_DATE_OVERRIDE="&amp;(YEAR($A101262)*10000+MONTH($A101262)*100+DAY($A101262)))</f>
        <v/>
      </c>
    </row>
    <row r="101872" spans="1:2">
      <c r="A101872" s="9">
        <f>EOMONTH(A101262,1)</f>
        <v/>
      </c>
      <c r="B101872" s="8">
        <f>COUNTA(B101873:B102481)</f>
        <v>0</v>
      </c>
    </row>
    <row r="101873" spans="2:2">
      <c r="B101873">
        <f>BDS(IndexTicker,"INDX_MWEIGHT_HIST","END_DATE_OVERRIDE="&amp;(YEAR($A101872)*10000+MONTH($A101872)*100+DAY($A101872)))</f>
        <v/>
      </c>
    </row>
    <row r="102482" spans="1:2">
      <c r="A102482" s="9">
        <f>EOMONTH(A101872,1)</f>
        <v/>
      </c>
      <c r="B102482" s="8">
        <f>COUNTA(B102483:B103091)</f>
        <v>0</v>
      </c>
    </row>
    <row r="102483" spans="1:2">
      <c r="B102483">
        <f>BDS(IndexTicker,"INDX_MWEIGHT_HIST","END_DATE_OVERRIDE="&amp;(YEAR($A102482)*10000+MONTH($A102482)*100+DAY($A102482)))</f>
        <v/>
      </c>
    </row>
    <row r="103092" spans="1:2">
      <c r="A103092" s="9">
        <f>EOMONTH(A102482,1)</f>
        <v/>
      </c>
      <c r="B103092" s="8">
        <f>COUNTA(B103093:B103701)</f>
        <v>0</v>
      </c>
    </row>
    <row r="103093" spans="1:2">
      <c r="B103093">
        <f>BDS(IndexTicker,"INDX_MWEIGHT_HIST","END_DATE_OVERRIDE="&amp;(YEAR($A103092)*10000+MONTH($A103092)*100+DAY($A103092)))</f>
        <v/>
      </c>
    </row>
    <row r="103702" spans="1:2">
      <c r="A103702" s="9">
        <f>EOMONTH(A103092,1)</f>
        <v/>
      </c>
      <c r="B103702" s="8">
        <f>COUNTA(B103703:B104311)</f>
        <v>0</v>
      </c>
    </row>
    <row r="103703" spans="1:2">
      <c r="B103703">
        <f>BDS(IndexTicker,"INDX_MWEIGHT_HIST","END_DATE_OVERRIDE="&amp;(YEAR($A103702)*10000+MONTH($A103702)*100+DAY($A103702)))</f>
        <v/>
      </c>
    </row>
    <row r="104312" spans="1:2">
      <c r="A104312" s="9">
        <f>EOMONTH(A103702,1)</f>
        <v/>
      </c>
      <c r="B104312" s="8">
        <f>COUNTA(B104313:B104921)</f>
        <v>0</v>
      </c>
    </row>
    <row r="104313" spans="1:2">
      <c r="B104313">
        <f>BDS(IndexTicker,"INDX_MWEIGHT_HIST","END_DATE_OVERRIDE="&amp;(YEAR($A104312)*10000+MONTH($A104312)*100+DAY($A104312)))</f>
        <v/>
      </c>
    </row>
    <row r="104922" spans="1:2">
      <c r="A104922" s="9">
        <f>EOMONTH(A104312,1)</f>
        <v/>
      </c>
      <c r="B104922" s="8">
        <f>COUNTA(B104923:B105531)</f>
        <v>0</v>
      </c>
    </row>
    <row r="104923" spans="1:2">
      <c r="B104923">
        <f>BDS(IndexTicker,"INDX_MWEIGHT_HIST","END_DATE_OVERRIDE="&amp;(YEAR($A104922)*10000+MONTH($A104922)*100+DAY($A104922)))</f>
        <v/>
      </c>
    </row>
    <row r="105532" spans="1:2">
      <c r="A105532" s="9">
        <f>EOMONTH(A104922,1)</f>
        <v/>
      </c>
      <c r="B105532" s="8">
        <f>COUNTA(B105533:B106141)</f>
        <v>0</v>
      </c>
    </row>
    <row r="105533" spans="1:2">
      <c r="B105533">
        <f>BDS(IndexTicker,"INDX_MWEIGHT_HIST","END_DATE_OVERRIDE="&amp;(YEAR($A105532)*10000+MONTH($A105532)*100+DAY($A105532)))</f>
        <v/>
      </c>
    </row>
    <row r="106142" spans="1:2">
      <c r="A106142" s="9">
        <f>EOMONTH(A105532,1)</f>
        <v/>
      </c>
      <c r="B106142" s="8">
        <f>COUNTA(B106143:B106751)</f>
        <v>0</v>
      </c>
    </row>
    <row r="106143" spans="1:2">
      <c r="B106143">
        <f>BDS(IndexTicker,"INDX_MWEIGHT_HIST","END_DATE_OVERRIDE="&amp;(YEAR($A106142)*10000+MONTH($A106142)*100+DAY($A106142)))</f>
        <v/>
      </c>
    </row>
    <row r="106752" spans="1:2">
      <c r="A106752" s="9">
        <f>EOMONTH(A106142,1)</f>
        <v/>
      </c>
      <c r="B106752" s="8">
        <f>COUNTA(B106753:B107361)</f>
        <v>0</v>
      </c>
    </row>
    <row r="106753" spans="2:2">
      <c r="B106753">
        <f>BDS(IndexTicker,"INDX_MWEIGHT_HIST","END_DATE_OVERRIDE="&amp;(YEAR($A106752)*10000+MONTH($A106752)*100+DAY($A106752)))</f>
        <v/>
      </c>
    </row>
    <row r="107362" spans="1:2">
      <c r="A107362" s="9">
        <f>EOMONTH(A106752,1)</f>
        <v/>
      </c>
      <c r="B107362" s="8">
        <f>COUNTA(B107363:B107971)</f>
        <v>0</v>
      </c>
    </row>
    <row r="107363" spans="1:2">
      <c r="B107363">
        <f>BDS(IndexTicker,"INDX_MWEIGHT_HIST","END_DATE_OVERRIDE="&amp;(YEAR($A107362)*10000+MONTH($A107362)*100+DAY($A107362)))</f>
        <v/>
      </c>
    </row>
    <row r="107972" spans="1:2">
      <c r="A107972" s="9">
        <f>EOMONTH(A107362,1)</f>
        <v/>
      </c>
      <c r="B107972" s="8">
        <f>COUNTA(B107973:B108581)</f>
        <v>0</v>
      </c>
    </row>
    <row r="107973" spans="1:2">
      <c r="B107973">
        <f>BDS(IndexTicker,"INDX_MWEIGHT_HIST","END_DATE_OVERRIDE="&amp;(YEAR($A107972)*10000+MONTH($A107972)*100+DAY($A107972)))</f>
        <v/>
      </c>
    </row>
    <row r="108582" spans="1:2">
      <c r="A108582" s="9">
        <f>EOMONTH(A107972,1)</f>
        <v/>
      </c>
      <c r="B108582" s="8">
        <f>COUNTA(B108583:B109191)</f>
        <v>0</v>
      </c>
    </row>
    <row r="108583" spans="1:2">
      <c r="B108583">
        <f>BDS(IndexTicker,"INDX_MWEIGHT_HIST","END_DATE_OVERRIDE="&amp;(YEAR($A108582)*10000+MONTH($A108582)*100+DAY($A108582)))</f>
        <v/>
      </c>
    </row>
    <row r="109192" spans="1:2">
      <c r="A109192" s="9">
        <f>EOMONTH(A108582,1)</f>
        <v/>
      </c>
      <c r="B109192" s="8">
        <f>COUNTA(B109193:B109801)</f>
        <v>0</v>
      </c>
    </row>
    <row r="109193" spans="1:2">
      <c r="B109193">
        <f>BDS(IndexTicker,"INDX_MWEIGHT_HIST","END_DATE_OVERRIDE="&amp;(YEAR($A109192)*10000+MONTH($A109192)*100+DAY($A109192)))</f>
        <v/>
      </c>
    </row>
    <row r="109802" spans="1:2">
      <c r="A109802" s="9">
        <f>EOMONTH(A109192,1)</f>
        <v/>
      </c>
      <c r="B109802" s="8">
        <f>COUNTA(B109803:B110411)</f>
        <v>0</v>
      </c>
    </row>
    <row r="109803" spans="1:2">
      <c r="B109803">
        <f>BDS(IndexTicker,"INDX_MWEIGHT_HIST","END_DATE_OVERRIDE="&amp;(YEAR($A109802)*10000+MONTH($A109802)*100+DAY($A109802)))</f>
        <v/>
      </c>
    </row>
    <row r="110412" spans="1:2">
      <c r="A110412" s="9">
        <f>EOMONTH(A109802,1)</f>
        <v/>
      </c>
      <c r="B110412" s="8">
        <f>COUNTA(B110413:B111021)</f>
        <v>0</v>
      </c>
    </row>
    <row r="110413" spans="1:2">
      <c r="B110413">
        <f>BDS(IndexTicker,"INDX_MWEIGHT_HIST","END_DATE_OVERRIDE="&amp;(YEAR($A110412)*10000+MONTH($A110412)*100+DAY($A110412)))</f>
        <v/>
      </c>
    </row>
    <row r="111022" spans="1:2">
      <c r="A111022" s="9">
        <f>EOMONTH(A110412,1)</f>
        <v/>
      </c>
      <c r="B111022" s="8">
        <f>COUNTA(B111023:B111631)</f>
        <v>0</v>
      </c>
    </row>
    <row r="111023" spans="1:2">
      <c r="B111023">
        <f>BDS(IndexTicker,"INDX_MWEIGHT_HIST","END_DATE_OVERRIDE="&amp;(YEAR($A111022)*10000+MONTH($A111022)*100+DAY($A111022)))</f>
        <v/>
      </c>
    </row>
    <row r="111632" spans="1:2">
      <c r="A111632" s="9">
        <f>EOMONTH(A111022,1)</f>
        <v/>
      </c>
      <c r="B111632" s="8">
        <f>COUNTA(B111633:B112241)</f>
        <v>0</v>
      </c>
    </row>
    <row r="111633" spans="2:2">
      <c r="B111633">
        <f>BDS(IndexTicker,"INDX_MWEIGHT_HIST","END_DATE_OVERRIDE="&amp;(YEAR($A111632)*10000+MONTH($A111632)*100+DAY($A111632)))</f>
        <v/>
      </c>
    </row>
    <row r="112242" spans="1:2">
      <c r="A112242" s="9">
        <f>EOMONTH(A111632,1)</f>
        <v/>
      </c>
      <c r="B112242" s="8">
        <f>COUNTA(B112243:B112851)</f>
        <v>0</v>
      </c>
    </row>
    <row r="112243" spans="1:2">
      <c r="B112243">
        <f>BDS(IndexTicker,"INDX_MWEIGHT_HIST","END_DATE_OVERRIDE="&amp;(YEAR($A112242)*10000+MONTH($A112242)*100+DAY($A112242)))</f>
        <v/>
      </c>
    </row>
    <row r="112852" spans="1:2">
      <c r="A112852" s="9">
        <f>EOMONTH(A112242,1)</f>
        <v/>
      </c>
      <c r="B112852" s="8">
        <f>COUNTA(B112853:B113461)</f>
        <v>0</v>
      </c>
    </row>
    <row r="112853" spans="1:2">
      <c r="B112853">
        <f>BDS(IndexTicker,"INDX_MWEIGHT_HIST","END_DATE_OVERRIDE="&amp;(YEAR($A112852)*10000+MONTH($A112852)*100+DAY($A112852)))</f>
        <v/>
      </c>
    </row>
    <row r="113462" spans="1:2">
      <c r="A113462" s="9">
        <f>EOMONTH(A112852,1)</f>
        <v/>
      </c>
      <c r="B113462" s="8">
        <f>COUNTA(B113463:B114071)</f>
        <v>0</v>
      </c>
    </row>
    <row r="113463" spans="1:2">
      <c r="B113463">
        <f>BDS(IndexTicker,"INDX_MWEIGHT_HIST","END_DATE_OVERRIDE="&amp;(YEAR($A113462)*10000+MONTH($A113462)*100+DAY($A113462)))</f>
        <v/>
      </c>
    </row>
    <row r="114072" spans="1:2">
      <c r="A114072" s="9">
        <f>EOMONTH(A113462,1)</f>
        <v/>
      </c>
      <c r="B114072" s="8">
        <f>COUNTA(B114073:B114681)</f>
        <v>0</v>
      </c>
    </row>
    <row r="114073" spans="1:2">
      <c r="B114073">
        <f>BDS(IndexTicker,"INDX_MWEIGHT_HIST","END_DATE_OVERRIDE="&amp;(YEAR($A114072)*10000+MONTH($A114072)*100+DAY($A114072)))</f>
        <v/>
      </c>
    </row>
    <row r="114682" spans="1:2">
      <c r="A114682" s="9">
        <f>EOMONTH(A114072,1)</f>
        <v/>
      </c>
      <c r="B114682" s="8">
        <f>COUNTA(B114683:B115291)</f>
        <v>0</v>
      </c>
    </row>
    <row r="114683" spans="1:2">
      <c r="B114683">
        <f>BDS(IndexTicker,"INDX_MWEIGHT_HIST","END_DATE_OVERRIDE="&amp;(YEAR($A114682)*10000+MONTH($A114682)*100+DAY($A114682)))</f>
        <v/>
      </c>
    </row>
    <row r="115292" spans="1:2">
      <c r="A115292" s="9">
        <f>EOMONTH(A114682,1)</f>
        <v/>
      </c>
      <c r="B115292" s="8">
        <f>COUNTA(B115293:B115901)</f>
        <v>0</v>
      </c>
    </row>
    <row r="115293" spans="1:2">
      <c r="B115293">
        <f>BDS(IndexTicker,"INDX_MWEIGHT_HIST","END_DATE_OVERRIDE="&amp;(YEAR($A115292)*10000+MONTH($A115292)*100+DAY($A115292)))</f>
        <v/>
      </c>
    </row>
    <row r="115902" spans="1:2">
      <c r="A115902" s="9">
        <f>EOMONTH(A115292,1)</f>
        <v/>
      </c>
      <c r="B115902" s="8">
        <f>COUNTA(B115903:B116511)</f>
        <v>0</v>
      </c>
    </row>
    <row r="115903" spans="1:2">
      <c r="B115903">
        <f>BDS(IndexTicker,"INDX_MWEIGHT_HIST","END_DATE_OVERRIDE="&amp;(YEAR($A115902)*10000+MONTH($A115902)*100+DAY($A115902)))</f>
        <v/>
      </c>
    </row>
    <row r="116512" spans="1:2">
      <c r="A116512" s="9">
        <f>EOMONTH(A115902,1)</f>
        <v/>
      </c>
      <c r="B116512" s="8">
        <f>COUNTA(B116513:B117121)</f>
        <v>0</v>
      </c>
    </row>
    <row r="116513" spans="2:2">
      <c r="B116513">
        <f>BDS(IndexTicker,"INDX_MWEIGHT_HIST","END_DATE_OVERRIDE="&amp;(YEAR($A116512)*10000+MONTH($A116512)*100+DAY($A116512)))</f>
        <v/>
      </c>
    </row>
    <row r="117122" spans="1:2">
      <c r="A117122" s="9">
        <f>EOMONTH(A116512,1)</f>
        <v/>
      </c>
      <c r="B117122" s="8">
        <f>COUNTA(B117123:B117731)</f>
        <v>0</v>
      </c>
    </row>
    <row r="117123" spans="1:2">
      <c r="B117123">
        <f>BDS(IndexTicker,"INDX_MWEIGHT_HIST","END_DATE_OVERRIDE="&amp;(YEAR($A117122)*10000+MONTH($A117122)*100+DAY($A117122)))</f>
        <v/>
      </c>
    </row>
    <row r="117732" spans="1:2">
      <c r="A117732" s="9">
        <f>EOMONTH(A117122,1)</f>
        <v/>
      </c>
      <c r="B117732" s="8">
        <f>COUNTA(B117733:B118341)</f>
        <v>0</v>
      </c>
    </row>
    <row r="117733" spans="1:2">
      <c r="B117733">
        <f>BDS(IndexTicker,"INDX_MWEIGHT_HIST","END_DATE_OVERRIDE="&amp;(YEAR($A117732)*10000+MONTH($A117732)*100+DAY($A117732)))</f>
        <v/>
      </c>
    </row>
    <row r="118342" spans="1:2">
      <c r="A118342" s="9">
        <f>EOMONTH(A117732,1)</f>
        <v/>
      </c>
      <c r="B118342" s="8">
        <f>COUNTA(B118343:B118951)</f>
        <v>0</v>
      </c>
    </row>
    <row r="118343" spans="1:2">
      <c r="B118343">
        <f>BDS(IndexTicker,"INDX_MWEIGHT_HIST","END_DATE_OVERRIDE="&amp;(YEAR($A118342)*10000+MONTH($A118342)*100+DAY($A118342)))</f>
        <v/>
      </c>
    </row>
    <row r="118952" spans="1:2">
      <c r="A118952" s="9">
        <f>EOMONTH(A118342,1)</f>
        <v/>
      </c>
      <c r="B118952" s="8">
        <f>COUNTA(B118953:B119561)</f>
        <v>0</v>
      </c>
    </row>
    <row r="118953" spans="1:2">
      <c r="B118953">
        <f>BDS(IndexTicker,"INDX_MWEIGHT_HIST","END_DATE_OVERRIDE="&amp;(YEAR($A118952)*10000+MONTH($A118952)*100+DAY($A118952)))</f>
        <v/>
      </c>
    </row>
    <row r="119562" spans="1:2">
      <c r="A119562" s="9">
        <f>EOMONTH(A118952,1)</f>
        <v/>
      </c>
      <c r="B119562" s="8">
        <f>COUNTA(B119563:B120171)</f>
        <v>0</v>
      </c>
    </row>
    <row r="119563" spans="1:2">
      <c r="B119563">
        <f>BDS(IndexTicker,"INDX_MWEIGHT_HIST","END_DATE_OVERRIDE="&amp;(YEAR($A119562)*10000+MONTH($A119562)*100+DAY($A119562)))</f>
        <v/>
      </c>
    </row>
    <row r="120172" spans="1:2">
      <c r="A120172" s="9">
        <f>EOMONTH(A119562,1)</f>
        <v/>
      </c>
      <c r="B120172" s="8">
        <f>COUNTA(B120173:B120781)</f>
        <v>0</v>
      </c>
    </row>
    <row r="120173" spans="1:2">
      <c r="B120173">
        <f>BDS(IndexTicker,"INDX_MWEIGHT_HIST","END_DATE_OVERRIDE="&amp;(YEAR($A120172)*10000+MONTH($A120172)*100+DAY($A120172)))</f>
        <v/>
      </c>
    </row>
    <row r="120782" spans="1:2">
      <c r="A120782" s="9">
        <f>EOMONTH(A120172,1)</f>
        <v/>
      </c>
      <c r="B120782" s="8">
        <f>COUNTA(B120783:B121391)</f>
        <v>0</v>
      </c>
    </row>
    <row r="120783" spans="1:2">
      <c r="B120783">
        <f>BDS(IndexTicker,"INDX_MWEIGHT_HIST","END_DATE_OVERRIDE="&amp;(YEAR($A120782)*10000+MONTH($A120782)*100+DAY($A120782)))</f>
        <v/>
      </c>
    </row>
    <row r="121392" spans="1:2">
      <c r="A121392" s="9">
        <f>EOMONTH(A120782,1)</f>
        <v/>
      </c>
      <c r="B121392" s="8">
        <f>COUNTA(B121393:B122001)</f>
        <v>0</v>
      </c>
    </row>
    <row r="121393" spans="2:2">
      <c r="B121393">
        <f>BDS(IndexTicker,"INDX_MWEIGHT_HIST","END_DATE_OVERRIDE="&amp;(YEAR($A121392)*10000+MONTH($A121392)*100+DAY($A121392)))</f>
        <v/>
      </c>
    </row>
    <row r="122002" spans="1:2">
      <c r="A122002" s="9">
        <f>EOMONTH(A121392,1)</f>
        <v/>
      </c>
      <c r="B122002" s="8">
        <f>COUNTA(B122003:B122611)</f>
        <v>0</v>
      </c>
    </row>
    <row r="122003" spans="1:2">
      <c r="B122003">
        <f>BDS(IndexTicker,"INDX_MWEIGHT_HIST","END_DATE_OVERRIDE="&amp;(YEAR($A122002)*10000+MONTH($A122002)*100+DAY($A122002)))</f>
        <v/>
      </c>
    </row>
    <row r="122612" spans="1:2">
      <c r="A122612" s="9">
        <f>EOMONTH(A122002,1)</f>
        <v/>
      </c>
      <c r="B122612" s="8">
        <f>COUNTA(B122613:B123221)</f>
        <v>0</v>
      </c>
    </row>
    <row r="122613" spans="1:2">
      <c r="B122613">
        <f>BDS(IndexTicker,"INDX_MWEIGHT_HIST","END_DATE_OVERRIDE="&amp;(YEAR($A122612)*10000+MONTH($A122612)*100+DAY($A122612)))</f>
        <v/>
      </c>
    </row>
    <row r="123222" spans="1:2">
      <c r="A123222" s="9">
        <f>EOMONTH(A122612,1)</f>
        <v/>
      </c>
      <c r="B123222" s="8">
        <f>COUNTA(B123223:B123831)</f>
        <v>0</v>
      </c>
    </row>
    <row r="123223" spans="1:2">
      <c r="B123223">
        <f>BDS(IndexTicker,"INDX_MWEIGHT_HIST","END_DATE_OVERRIDE="&amp;(YEAR($A123222)*10000+MONTH($A123222)*100+DAY($A123222)))</f>
        <v/>
      </c>
    </row>
    <row r="123832" spans="1:2">
      <c r="A123832" s="9">
        <f>EOMONTH(A123222,1)</f>
        <v/>
      </c>
      <c r="B123832" s="8">
        <f>COUNTA(B123833:B124441)</f>
        <v>0</v>
      </c>
    </row>
    <row r="123833" spans="1:2">
      <c r="B123833">
        <f>BDS(IndexTicker,"INDX_MWEIGHT_HIST","END_DATE_OVERRIDE="&amp;(YEAR($A123832)*10000+MONTH($A123832)*100+DAY($A123832)))</f>
        <v/>
      </c>
    </row>
    <row r="124442" spans="1:2">
      <c r="A124442" s="9">
        <f>EOMONTH(A123832,1)</f>
        <v/>
      </c>
      <c r="B124442" s="8">
        <f>COUNTA(B124443:B125051)</f>
        <v>0</v>
      </c>
    </row>
    <row r="124443" spans="1:2">
      <c r="B124443">
        <f>BDS(IndexTicker,"INDX_MWEIGHT_HIST","END_DATE_OVERRIDE="&amp;(YEAR($A124442)*10000+MONTH($A124442)*100+DAY($A124442)))</f>
        <v/>
      </c>
    </row>
    <row r="125052" spans="1:2">
      <c r="A125052" s="9">
        <f>EOMONTH(A124442,1)</f>
        <v/>
      </c>
      <c r="B125052" s="8">
        <f>COUNTA(B125053:B125661)</f>
        <v>0</v>
      </c>
    </row>
    <row r="125053" spans="1:2">
      <c r="B125053">
        <f>BDS(IndexTicker,"INDX_MWEIGHT_HIST","END_DATE_OVERRIDE="&amp;(YEAR($A125052)*10000+MONTH($A125052)*100+DAY($A125052)))</f>
        <v/>
      </c>
    </row>
    <row r="125662" spans="1:2">
      <c r="A125662" s="9">
        <f>EOMONTH(A125052,1)</f>
        <v/>
      </c>
      <c r="B125662" s="8">
        <f>COUNTA(B125663:B126271)</f>
        <v>0</v>
      </c>
    </row>
    <row r="125663" spans="1:2">
      <c r="B125663">
        <f>BDS(IndexTicker,"INDX_MWEIGHT_HIST","END_DATE_OVERRIDE="&amp;(YEAR($A125662)*10000+MONTH($A125662)*100+DAY($A125662)))</f>
        <v/>
      </c>
    </row>
    <row r="126272" spans="1:2">
      <c r="A126272" s="9">
        <f>EOMONTH(A125662,1)</f>
        <v/>
      </c>
      <c r="B126272" s="8">
        <f>COUNTA(B126273:B126881)</f>
        <v>0</v>
      </c>
    </row>
    <row r="126273" spans="2:2">
      <c r="B126273">
        <f>BDS(IndexTicker,"INDX_MWEIGHT_HIST","END_DATE_OVERRIDE="&amp;(YEAR($A126272)*10000+MONTH($A126272)*100+DAY($A126272)))</f>
        <v/>
      </c>
    </row>
    <row r="126882" spans="1:2">
      <c r="A126882" s="9">
        <f>EOMONTH(A126272,1)</f>
        <v/>
      </c>
      <c r="B126882" s="8">
        <f>COUNTA(B126883:B127491)</f>
        <v>0</v>
      </c>
    </row>
    <row r="126883" spans="1:2">
      <c r="B126883">
        <f>BDS(IndexTicker,"INDX_MWEIGHT_HIST","END_DATE_OVERRIDE="&amp;(YEAR($A126882)*10000+MONTH($A126882)*100+DAY($A126882)))</f>
        <v/>
      </c>
    </row>
    <row r="127492" spans="1:2">
      <c r="A127492" s="9">
        <f>EOMONTH(A126882,1)</f>
        <v/>
      </c>
      <c r="B127492" s="8">
        <f>COUNTA(B127493:B128101)</f>
        <v>0</v>
      </c>
    </row>
    <row r="127493" spans="1:2">
      <c r="B127493">
        <f>BDS(IndexTicker,"INDX_MWEIGHT_HIST","END_DATE_OVERRIDE="&amp;(YEAR($A127492)*10000+MONTH($A127492)*100+DAY($A127492)))</f>
        <v/>
      </c>
    </row>
    <row r="128102" spans="1:2">
      <c r="A128102" s="9">
        <f>EOMONTH(A127492,1)</f>
        <v/>
      </c>
      <c r="B128102" s="8">
        <f>COUNTA(B128103:B128711)</f>
        <v>0</v>
      </c>
    </row>
    <row r="128103" spans="1:2">
      <c r="B128103">
        <f>BDS(IndexTicker,"INDX_MWEIGHT_HIST","END_DATE_OVERRIDE="&amp;(YEAR($A128102)*10000+MONTH($A128102)*100+DAY($A128102)))</f>
        <v/>
      </c>
    </row>
    <row r="128712" spans="1:2">
      <c r="A128712" s="9">
        <f>EOMONTH(A128102,1)</f>
        <v/>
      </c>
      <c r="B128712" s="8">
        <f>COUNTA(B128713:B129321)</f>
        <v>0</v>
      </c>
    </row>
    <row r="128713" spans="1:2">
      <c r="B128713">
        <f>BDS(IndexTicker,"INDX_MWEIGHT_HIST","END_DATE_OVERRIDE="&amp;(YEAR($A128712)*10000+MONTH($A128712)*100+DAY($A128712)))</f>
        <v/>
      </c>
    </row>
    <row r="129322" spans="1:2">
      <c r="A129322" s="9">
        <f>EOMONTH(A128712,1)</f>
        <v/>
      </c>
      <c r="B129322" s="8">
        <f>COUNTA(B129323:B129931)</f>
        <v>0</v>
      </c>
    </row>
    <row r="129323" spans="1:2">
      <c r="B129323">
        <f>BDS(IndexTicker,"INDX_MWEIGHT_HIST","END_DATE_OVERRIDE="&amp;(YEAR($A129322)*10000+MONTH($A129322)*100+DAY($A129322)))</f>
        <v/>
      </c>
    </row>
    <row r="129932" spans="1:2">
      <c r="A129932" s="9">
        <f>EOMONTH(A129322,1)</f>
        <v/>
      </c>
      <c r="B129932" s="8">
        <f>COUNTA(B129933:B130541)</f>
        <v>0</v>
      </c>
    </row>
    <row r="129933" spans="1:2">
      <c r="B129933">
        <f>BDS(IndexTicker,"INDX_MWEIGHT_HIST","END_DATE_OVERRIDE="&amp;(YEAR($A129932)*10000+MONTH($A129932)*100+DAY($A129932)))</f>
        <v/>
      </c>
    </row>
    <row r="130542" spans="1:2">
      <c r="A130542" s="9">
        <f>EOMONTH(A129932,1)</f>
        <v/>
      </c>
      <c r="B130542" s="8">
        <f>COUNTA(B130543:B131151)</f>
        <v>0</v>
      </c>
    </row>
    <row r="130543" spans="1:2">
      <c r="B130543">
        <f>BDS(IndexTicker,"INDX_MWEIGHT_HIST","END_DATE_OVERRIDE="&amp;(YEAR($A130542)*10000+MONTH($A130542)*100+DAY($A130542)))</f>
        <v/>
      </c>
    </row>
    <row r="131152" spans="1:2">
      <c r="A131152" s="9">
        <f>EOMONTH(A130542,1)</f>
        <v/>
      </c>
      <c r="B131152" s="8">
        <f>COUNTA(B131153:B131761)</f>
        <v>0</v>
      </c>
    </row>
    <row r="131153" spans="2:2">
      <c r="B131153">
        <f>BDS(IndexTicker,"INDX_MWEIGHT_HIST","END_DATE_OVERRIDE="&amp;(YEAR($A131152)*10000+MONTH($A131152)*100+DAY($A131152)))</f>
        <v/>
      </c>
    </row>
    <row r="131762" spans="1:2">
      <c r="A131762" s="9">
        <f>EOMONTH(A131152,1)</f>
        <v/>
      </c>
      <c r="B131762" s="8">
        <f>COUNTA(B131763:B132371)</f>
        <v>0</v>
      </c>
    </row>
    <row r="131763" spans="1:2">
      <c r="B131763">
        <f>BDS(IndexTicker,"INDX_MWEIGHT_HIST","END_DATE_OVERRIDE="&amp;(YEAR($A131762)*10000+MONTH($A131762)*100+DAY($A131762)))</f>
        <v/>
      </c>
    </row>
    <row r="132372" spans="1:2">
      <c r="A132372" s="9">
        <f>EOMONTH(A131762,1)</f>
        <v/>
      </c>
      <c r="B132372" s="8">
        <f>COUNTA(B132373:B132981)</f>
        <v>0</v>
      </c>
    </row>
    <row r="132373" spans="1:2">
      <c r="B132373">
        <f>BDS(IndexTicker,"INDX_MWEIGHT_HIST","END_DATE_OVERRIDE="&amp;(YEAR($A132372)*10000+MONTH($A132372)*100+DAY($A132372)))</f>
        <v/>
      </c>
    </row>
    <row r="132982" spans="1:2">
      <c r="A132982" s="9">
        <f>EOMONTH(A132372,1)</f>
        <v/>
      </c>
      <c r="B132982" s="8">
        <f>COUNTA(B132983:B133591)</f>
        <v>0</v>
      </c>
    </row>
    <row r="132983" spans="1:2">
      <c r="B132983">
        <f>BDS(IndexTicker,"INDX_MWEIGHT_HIST","END_DATE_OVERRIDE="&amp;(YEAR($A132982)*10000+MONTH($A132982)*100+DAY($A132982)))</f>
        <v/>
      </c>
    </row>
    <row r="133592" spans="1:2">
      <c r="A133592" s="9">
        <f>EOMONTH(A132982,1)</f>
        <v/>
      </c>
      <c r="B133592" s="8">
        <f>COUNTA(B133593:B134201)</f>
        <v>0</v>
      </c>
    </row>
    <row r="133593" spans="1:2">
      <c r="B133593">
        <f>BDS(IndexTicker,"INDX_MWEIGHT_HIST","END_DATE_OVERRIDE="&amp;(YEAR($A133592)*10000+MONTH($A133592)*100+DAY($A133592)))</f>
        <v/>
      </c>
    </row>
    <row r="134202" spans="1:2">
      <c r="A134202" s="9">
        <f>EOMONTH(A133592,1)</f>
        <v/>
      </c>
      <c r="B134202" s="8">
        <f>COUNTA(B134203:B134811)</f>
        <v>0</v>
      </c>
    </row>
    <row r="134203" spans="1:2">
      <c r="B134203">
        <f>BDS(IndexTicker,"INDX_MWEIGHT_HIST","END_DATE_OVERRIDE="&amp;(YEAR($A134202)*10000+MONTH($A134202)*100+DAY($A134202)))</f>
        <v/>
      </c>
    </row>
    <row r="134812" spans="1:2">
      <c r="A134812" s="9">
        <f>EOMONTH(A134202,1)</f>
        <v/>
      </c>
      <c r="B134812" s="8">
        <f>COUNTA(B134813:B135421)</f>
        <v>0</v>
      </c>
    </row>
    <row r="134813" spans="1:2">
      <c r="B134813">
        <f>BDS(IndexTicker,"INDX_MWEIGHT_HIST","END_DATE_OVERRIDE="&amp;(YEAR($A134812)*10000+MONTH($A134812)*100+DAY($A134812)))</f>
        <v/>
      </c>
    </row>
    <row r="135422" spans="1:2">
      <c r="A135422" s="9">
        <f>EOMONTH(A134812,1)</f>
        <v/>
      </c>
      <c r="B135422" s="8">
        <f>COUNTA(B135423:B136031)</f>
        <v>0</v>
      </c>
    </row>
    <row r="135423" spans="1:2">
      <c r="B135423">
        <f>BDS(IndexTicker,"INDX_MWEIGHT_HIST","END_DATE_OVERRIDE="&amp;(YEAR($A135422)*10000+MONTH($A135422)*100+DAY($A135422)))</f>
        <v/>
      </c>
    </row>
    <row r="136032" spans="1:2">
      <c r="A136032" s="9">
        <f>EOMONTH(A135422,1)</f>
        <v/>
      </c>
      <c r="B136032" s="8">
        <f>COUNTA(B136033:B136641)</f>
        <v>0</v>
      </c>
    </row>
    <row r="136033" spans="2:2">
      <c r="B136033">
        <f>BDS(IndexTicker,"INDX_MWEIGHT_HIST","END_DATE_OVERRIDE="&amp;(YEAR($A136032)*10000+MONTH($A136032)*100+DAY($A136032)))</f>
        <v/>
      </c>
    </row>
    <row r="136642" spans="1:2">
      <c r="A136642" s="9">
        <f>EOMONTH(A136032,1)</f>
        <v/>
      </c>
      <c r="B136642" s="8">
        <f>COUNTA(B136643:B137251)</f>
        <v>0</v>
      </c>
    </row>
    <row r="136643" spans="1:2">
      <c r="B136643">
        <f>BDS(IndexTicker,"INDX_MWEIGHT_HIST","END_DATE_OVERRIDE="&amp;(YEAR($A136642)*10000+MONTH($A136642)*100+DAY($A136642)))</f>
        <v/>
      </c>
    </row>
    <row r="137252" spans="1:2">
      <c r="A137252" s="9">
        <f>EOMONTH(A136642,1)</f>
        <v/>
      </c>
      <c r="B137252" s="8">
        <f>COUNTA(B137253:B137861)</f>
        <v>0</v>
      </c>
    </row>
    <row r="137253" spans="1:2">
      <c r="B137253">
        <f>BDS(IndexTicker,"INDX_MWEIGHT_HIST","END_DATE_OVERRIDE="&amp;(YEAR($A137252)*10000+MONTH($A137252)*100+DAY($A137252)))</f>
        <v/>
      </c>
    </row>
    <row r="137862" spans="1:2">
      <c r="A137862" s="9">
        <f>EOMONTH(A137252,1)</f>
        <v/>
      </c>
      <c r="B137862" s="8">
        <f>COUNTA(B137863:B138471)</f>
        <v>0</v>
      </c>
    </row>
    <row r="137863" spans="1:2">
      <c r="B137863">
        <f>BDS(IndexTicker,"INDX_MWEIGHT_HIST","END_DATE_OVERRIDE="&amp;(YEAR($A137862)*10000+MONTH($A137862)*100+DAY($A137862)))</f>
        <v/>
      </c>
    </row>
    <row r="138472" spans="1:2">
      <c r="A138472" s="9">
        <f>EOMONTH(A137862,1)</f>
        <v/>
      </c>
      <c r="B138472" s="8">
        <f>COUNTA(B138473:B139081)</f>
        <v>0</v>
      </c>
    </row>
    <row r="138473" spans="1:2">
      <c r="B138473">
        <f>BDS(IndexTicker,"INDX_MWEIGHT_HIST","END_DATE_OVERRIDE="&amp;(YEAR($A138472)*10000+MONTH($A138472)*100+DAY($A138472)))</f>
        <v/>
      </c>
    </row>
    <row r="139082" spans="1:2">
      <c r="A139082" s="9">
        <f>EOMONTH(A138472,1)</f>
        <v/>
      </c>
      <c r="B139082" s="8">
        <f>COUNTA(B139083:B139691)</f>
        <v>0</v>
      </c>
    </row>
    <row r="139083" spans="1:2">
      <c r="B139083">
        <f>BDS(IndexTicker,"INDX_MWEIGHT_HIST","END_DATE_OVERRIDE="&amp;(YEAR($A139082)*10000+MONTH($A139082)*100+DAY($A139082)))</f>
        <v/>
      </c>
    </row>
    <row r="139692" spans="1:2">
      <c r="A139692" s="9">
        <f>EOMONTH(A139082,1)</f>
        <v/>
      </c>
      <c r="B139692" s="8">
        <f>COUNTA(B139693:B140301)</f>
        <v>0</v>
      </c>
    </row>
    <row r="139693" spans="1:2">
      <c r="B139693">
        <f>BDS(IndexTicker,"INDX_MWEIGHT_HIST","END_DATE_OVERRIDE="&amp;(YEAR($A139692)*10000+MONTH($A139692)*100+DAY($A139692)))</f>
        <v/>
      </c>
    </row>
    <row r="140302" spans="1:2">
      <c r="A140302" s="9">
        <f>EOMONTH(A139692,1)</f>
        <v/>
      </c>
      <c r="B140302" s="8">
        <f>COUNTA(B140303:B140911)</f>
        <v>0</v>
      </c>
    </row>
    <row r="140303" spans="1:2">
      <c r="B140303">
        <f>BDS(IndexTicker,"INDX_MWEIGHT_HIST","END_DATE_OVERRIDE="&amp;(YEAR($A140302)*10000+MONTH($A140302)*100+DAY($A140302)))</f>
        <v/>
      </c>
    </row>
    <row r="140912" spans="1:2">
      <c r="A140912" s="9">
        <f>EOMONTH(A140302,1)</f>
        <v/>
      </c>
      <c r="B140912" s="8">
        <f>COUNTA(B140913:B141521)</f>
        <v>0</v>
      </c>
    </row>
    <row r="140913" spans="2:2">
      <c r="B140913">
        <f>BDS(IndexTicker,"INDX_MWEIGHT_HIST","END_DATE_OVERRIDE="&amp;(YEAR($A140912)*10000+MONTH($A140912)*100+DAY($A140912)))</f>
        <v/>
      </c>
    </row>
    <row r="141522" spans="1:2">
      <c r="A141522" s="9">
        <f>EOMONTH(A140912,1)</f>
        <v/>
      </c>
      <c r="B141522" s="8">
        <f>COUNTA(B141523:B142131)</f>
        <v>0</v>
      </c>
    </row>
    <row r="141523" spans="1:2">
      <c r="B141523">
        <f>BDS(IndexTicker,"INDX_MWEIGHT_HIST","END_DATE_OVERRIDE="&amp;(YEAR($A141522)*10000+MONTH($A141522)*100+DAY($A141522)))</f>
        <v/>
      </c>
    </row>
    <row r="142132" spans="1:2">
      <c r="A142132" s="9">
        <f>EOMONTH(A141522,1)</f>
        <v/>
      </c>
      <c r="B142132" s="8">
        <f>COUNTA(B142133:B142741)</f>
        <v>0</v>
      </c>
    </row>
    <row r="142133" spans="1:2">
      <c r="B142133">
        <f>BDS(IndexTicker,"INDX_MWEIGHT_HIST","END_DATE_OVERRIDE="&amp;(YEAR($A142132)*10000+MONTH($A142132)*100+DAY($A142132)))</f>
        <v/>
      </c>
    </row>
    <row r="142742" spans="1:2">
      <c r="A142742" s="9">
        <f>EOMONTH(A142132,1)</f>
        <v/>
      </c>
      <c r="B142742" s="8">
        <f>COUNTA(B142743:B143351)</f>
        <v>0</v>
      </c>
    </row>
    <row r="142743" spans="1:2">
      <c r="B142743">
        <f>BDS(IndexTicker,"INDX_MWEIGHT_HIST","END_DATE_OVERRIDE="&amp;(YEAR($A142742)*10000+MONTH($A142742)*100+DAY($A142742)))</f>
        <v/>
      </c>
    </row>
    <row r="143352" spans="1:2">
      <c r="A143352" s="9">
        <f>EOMONTH(A142742,1)</f>
        <v/>
      </c>
      <c r="B143352" s="8">
        <f>COUNTA(B143353:B143961)</f>
        <v>0</v>
      </c>
    </row>
    <row r="143353" spans="1:2">
      <c r="B143353">
        <f>BDS(IndexTicker,"INDX_MWEIGHT_HIST","END_DATE_OVERRIDE="&amp;(YEAR($A143352)*10000+MONTH($A143352)*100+DAY($A143352)))</f>
        <v/>
      </c>
    </row>
    <row r="143962" spans="1:2">
      <c r="A143962" s="9">
        <f>EOMONTH(A143352,1)</f>
        <v/>
      </c>
      <c r="B143962" s="8">
        <f>COUNTA(B143963:B144571)</f>
        <v>0</v>
      </c>
    </row>
    <row r="143963" spans="1:2">
      <c r="B143963">
        <f>BDS(IndexTicker,"INDX_MWEIGHT_HIST","END_DATE_OVERRIDE="&amp;(YEAR($A143962)*10000+MONTH($A143962)*100+DAY($A143962)))</f>
        <v/>
      </c>
    </row>
    <row r="144572" spans="1:2">
      <c r="A144572" s="9">
        <f>EOMONTH(A143962,1)</f>
        <v/>
      </c>
      <c r="B144572" s="8">
        <f>COUNTA(B144573:B145181)</f>
        <v>0</v>
      </c>
    </row>
    <row r="144573" spans="1:2">
      <c r="B144573">
        <f>BDS(IndexTicker,"INDX_MWEIGHT_HIST","END_DATE_OVERRIDE="&amp;(YEAR($A144572)*10000+MONTH($A144572)*100+DAY($A144572)))</f>
        <v/>
      </c>
    </row>
    <row r="145182" spans="1:2">
      <c r="A145182" s="9">
        <f>EOMONTH(A144572,1)</f>
        <v/>
      </c>
      <c r="B145182" s="8">
        <f>COUNTA(B145183:B145791)</f>
        <v>0</v>
      </c>
    </row>
    <row r="145183" spans="1:2">
      <c r="B145183">
        <f>BDS(IndexTicker,"INDX_MWEIGHT_HIST","END_DATE_OVERRIDE="&amp;(YEAR($A145182)*10000+MONTH($A145182)*100+DAY($A145182)))</f>
        <v/>
      </c>
    </row>
    <row r="145792" spans="1:2">
      <c r="A145792" s="9">
        <f>EOMONTH(A145182,1)</f>
        <v/>
      </c>
      <c r="B145792" s="8">
        <f>COUNTA(B145793:B146401)</f>
        <v>0</v>
      </c>
    </row>
    <row r="145793" spans="2:2">
      <c r="B145793">
        <f>BDS(IndexTicker,"INDX_MWEIGHT_HIST","END_DATE_OVERRIDE="&amp;(YEAR($A145792)*10000+MONTH($A145792)*100+DAY($A145792)))</f>
        <v/>
      </c>
    </row>
    <row r="146402" spans="1:2">
      <c r="A146402" s="9">
        <f>EOMONTH(A145792,1)</f>
        <v/>
      </c>
      <c r="B146402" s="8">
        <f>COUNTA(B146403:B147011)</f>
        <v>0</v>
      </c>
    </row>
    <row r="146403" spans="1:2">
      <c r="B146403">
        <f>BDS(IndexTicker,"INDX_MWEIGHT_HIST","END_DATE_OVERRIDE="&amp;(YEAR($A146402)*10000+MONTH($A146402)*100+DAY($A146402)))</f>
        <v/>
      </c>
    </row>
    <row r="147012" spans="1:2">
      <c r="A147012" s="9">
        <f>EOMONTH(A146402,1)</f>
        <v/>
      </c>
      <c r="B147012" s="8">
        <f>COUNTA(B147013:B147621)</f>
        <v>0</v>
      </c>
    </row>
    <row r="147013" spans="1:2">
      <c r="B147013">
        <f>BDS(IndexTicker,"INDX_MWEIGHT_HIST","END_DATE_OVERRIDE="&amp;(YEAR($A147012)*10000+MONTH($A147012)*100+DAY($A147012)))</f>
        <v/>
      </c>
    </row>
    <row r="147622" spans="1:2">
      <c r="A147622" s="9">
        <f>EOMONTH(A147012,1)</f>
        <v/>
      </c>
      <c r="B147622" s="8">
        <f>COUNTA(B147623:B148231)</f>
        <v>0</v>
      </c>
    </row>
    <row r="147623" spans="1:2">
      <c r="B147623">
        <f>BDS(IndexTicker,"INDX_MWEIGHT_HIST","END_DATE_OVERRIDE="&amp;(YEAR($A147622)*10000+MONTH($A147622)*100+DAY($A147622)))</f>
        <v/>
      </c>
    </row>
    <row r="148232" spans="1:2">
      <c r="A148232" s="9">
        <f>EOMONTH(A147622,1)</f>
        <v/>
      </c>
      <c r="B148232" s="8">
        <f>COUNTA(B148233:B148841)</f>
        <v>0</v>
      </c>
    </row>
    <row r="148233" spans="1:2">
      <c r="B148233">
        <f>BDS(IndexTicker,"INDX_MWEIGHT_HIST","END_DATE_OVERRIDE="&amp;(YEAR($A148232)*10000+MONTH($A148232)*100+DAY($A148232)))</f>
        <v/>
      </c>
    </row>
    <row r="148842" spans="1:2">
      <c r="A148842" s="9">
        <f>EOMONTH(A148232,1)</f>
        <v/>
      </c>
      <c r="B148842" s="8">
        <f>COUNTA(B148843:B149451)</f>
        <v>0</v>
      </c>
    </row>
    <row r="148843" spans="1:2">
      <c r="B148843">
        <f>BDS(IndexTicker,"INDX_MWEIGHT_HIST","END_DATE_OVERRIDE="&amp;(YEAR($A148842)*10000+MONTH($A148842)*100+DAY($A148842)))</f>
        <v/>
      </c>
    </row>
    <row r="149452" spans="1:2">
      <c r="A149452" s="9">
        <f>EOMONTH(A148842,1)</f>
        <v/>
      </c>
      <c r="B149452" s="8">
        <f>COUNTA(B149453:B150061)</f>
        <v>0</v>
      </c>
    </row>
    <row r="149453" spans="1:2">
      <c r="B149453">
        <f>BDS(IndexTicker,"INDX_MWEIGHT_HIST","END_DATE_OVERRIDE="&amp;(YEAR($A149452)*10000+MONTH($A149452)*100+DAY($A149452)))</f>
        <v/>
      </c>
    </row>
    <row r="150062" spans="1:2">
      <c r="A150062" s="9">
        <f>EOMONTH(A149452,1)</f>
        <v/>
      </c>
      <c r="B150062" s="8">
        <f>COUNTA(B150063:B150671)</f>
        <v>0</v>
      </c>
    </row>
    <row r="150063" spans="1:2">
      <c r="B150063">
        <f>BDS(IndexTicker,"INDX_MWEIGHT_HIST","END_DATE_OVERRIDE="&amp;(YEAR($A150062)*10000+MONTH($A150062)*100+DAY($A150062)))</f>
        <v/>
      </c>
    </row>
    <row r="150672" spans="1:2">
      <c r="A150672" s="9">
        <f>EOMONTH(A150062,1)</f>
        <v/>
      </c>
      <c r="B150672" s="8">
        <f>COUNTA(B150673:B151281)</f>
        <v>0</v>
      </c>
    </row>
    <row r="150673" spans="2:2">
      <c r="B150673">
        <f>BDS(IndexTicker,"INDX_MWEIGHT_HIST","END_DATE_OVERRIDE="&amp;(YEAR($A150672)*10000+MONTH($A150672)*100+DAY($A150672)))</f>
        <v/>
      </c>
    </row>
    <row r="151282" spans="1:2">
      <c r="A151282" s="9">
        <f>EOMONTH(A150672,1)</f>
        <v/>
      </c>
      <c r="B151282" s="8">
        <f>COUNTA(B151283:B151891)</f>
        <v>0</v>
      </c>
    </row>
    <row r="151283" spans="1:2">
      <c r="B151283">
        <f>BDS(IndexTicker,"INDX_MWEIGHT_HIST","END_DATE_OVERRIDE="&amp;(YEAR($A151282)*10000+MONTH($A151282)*100+DAY($A151282)))</f>
        <v/>
      </c>
    </row>
    <row r="151892" spans="1:2">
      <c r="A151892" s="9">
        <f>EOMONTH(A151282,1)</f>
        <v/>
      </c>
      <c r="B151892" s="8">
        <f>COUNTA(B151893:B152501)</f>
        <v>0</v>
      </c>
    </row>
    <row r="151893" spans="1:2">
      <c r="B151893">
        <f>BDS(IndexTicker,"INDX_MWEIGHT_HIST","END_DATE_OVERRIDE="&amp;(YEAR($A151892)*10000+MONTH($A151892)*100+DAY($A151892)))</f>
        <v/>
      </c>
    </row>
    <row r="152502" spans="1:2">
      <c r="A152502" s="9">
        <f>EOMONTH(A151892,1)</f>
        <v/>
      </c>
      <c r="B152502" s="8">
        <f>COUNTA(B152503:B153111)</f>
        <v>0</v>
      </c>
    </row>
    <row r="152503" spans="1:2">
      <c r="B152503">
        <f>BDS(IndexTicker,"INDX_MWEIGHT_HIST","END_DATE_OVERRIDE="&amp;(YEAR($A152502)*10000+MONTH($A152502)*100+DAY($A152502)))</f>
        <v/>
      </c>
    </row>
    <row r="153112" spans="1:2">
      <c r="A153112" s="9">
        <f>EOMONTH(A152502,1)</f>
        <v/>
      </c>
      <c r="B153112" s="8">
        <f>COUNTA(B153113:B153721)</f>
        <v>0</v>
      </c>
    </row>
    <row r="153113" spans="1:2">
      <c r="B153113">
        <f>BDS(IndexTicker,"INDX_MWEIGHT_HIST","END_DATE_OVERRIDE="&amp;(YEAR($A153112)*10000+MONTH($A153112)*100+DAY($A153112)))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3" width="36.7109375" customWidth="1"/>
    <col min="4" max="4" width="26.7109375" customWidth="1"/>
  </cols>
  <sheetData>
    <row r="1" spans="1:4">
      <c r="A1" s="10" t="s">
        <v>62</v>
      </c>
      <c r="B1" s="10" t="s">
        <v>64</v>
      </c>
      <c r="C1" s="10" t="s">
        <v>65</v>
      </c>
      <c r="D1" s="10" t="s">
        <v>66</v>
      </c>
    </row>
    <row r="2" spans="1:4">
      <c r="A2" cm="1" t="str">
        <f t="array" ref="A2">_xlfn._xlws.SORT(_xlfn.UNIQUE(_xlfn._xlws.FILTER(Members!$B$3:$B$153721,ISTEXT(Members!$B$3:$B$153721)*(IFERROR(LEFT(Members!$B$3:$B$153721,1),"#")&lt;&gt;"#")*(Members!$B$3:$B$153721&lt;&gt;"Index Member"),"")))</f>
        <v/>
      </c>
      <c r="B2">
        <f>IF(TRIM(A2&amp;"")="","",IF(RIGHT(TRIM(A2),7)=" Equity",TRIM(A2),TRIM(A2)&amp;" Equity"))</f>
        <v/>
      </c>
      <c r="C2">
        <f>IF(OR(SwitchUniverse&lt;&gt;"ON",$B2=""),"",BDP($B2,"NAME"))</f>
        <v/>
      </c>
      <c r="D2">
        <f>IF(OR(SwitchUniverse&lt;&gt;"ON",$B2=""),"",BDP($B2,"GICS_SECTOR_NAME"))</f>
        <v/>
      </c>
    </row>
    <row r="3" spans="1:4">
      <c r="B3">
        <f>IF(TRIM(A3&amp;"")="","",IF(RIGHT(TRIM(A3),7)=" Equity",TRIM(A3),TRIM(A3)&amp;" Equity"))</f>
        <v/>
      </c>
      <c r="C3">
        <f>IF(OR(SwitchUniverse&lt;&gt;"ON",$B3=""),"",BDP($B3,"NAME"))</f>
        <v/>
      </c>
      <c r="D3">
        <f>IF(OR(SwitchUniverse&lt;&gt;"ON",$B3=""),"",BDP($B3,"GICS_SECTOR_NAME"))</f>
        <v/>
      </c>
    </row>
    <row r="4" spans="1:4">
      <c r="B4">
        <f>IF(TRIM(A4&amp;"")="","",IF(RIGHT(TRIM(A4),7)=" Equity",TRIM(A4),TRIM(A4)&amp;" Equity"))</f>
        <v/>
      </c>
      <c r="C4">
        <f>IF(OR(SwitchUniverse&lt;&gt;"ON",$B4=""),"",BDP($B4,"NAME"))</f>
        <v/>
      </c>
      <c r="D4">
        <f>IF(OR(SwitchUniverse&lt;&gt;"ON",$B4=""),"",BDP($B4,"GICS_SECTOR_NAME"))</f>
        <v/>
      </c>
    </row>
    <row r="5" spans="1:4">
      <c r="B5">
        <f>IF(TRIM(A5&amp;"")="","",IF(RIGHT(TRIM(A5),7)=" Equity",TRIM(A5),TRIM(A5)&amp;" Equity"))</f>
        <v/>
      </c>
      <c r="C5">
        <f>IF(OR(SwitchUniverse&lt;&gt;"ON",$B5=""),"",BDP($B5,"NAME"))</f>
        <v/>
      </c>
      <c r="D5">
        <f>IF(OR(SwitchUniverse&lt;&gt;"ON",$B5=""),"",BDP($B5,"GICS_SECTOR_NAME"))</f>
        <v/>
      </c>
    </row>
    <row r="6" spans="1:4">
      <c r="B6">
        <f>IF(TRIM(A6&amp;"")="","",IF(RIGHT(TRIM(A6),7)=" Equity",TRIM(A6),TRIM(A6)&amp;" Equity"))</f>
        <v/>
      </c>
      <c r="C6">
        <f>IF(OR(SwitchUniverse&lt;&gt;"ON",$B6=""),"",BDP($B6,"NAME"))</f>
        <v/>
      </c>
      <c r="D6">
        <f>IF(OR(SwitchUniverse&lt;&gt;"ON",$B6=""),"",BDP($B6,"GICS_SECTOR_NAME"))</f>
        <v/>
      </c>
    </row>
    <row r="7" spans="1:4">
      <c r="B7">
        <f>IF(TRIM(A7&amp;"")="","",IF(RIGHT(TRIM(A7),7)=" Equity",TRIM(A7),TRIM(A7)&amp;" Equity"))</f>
        <v/>
      </c>
      <c r="C7">
        <f>IF(OR(SwitchUniverse&lt;&gt;"ON",$B7=""),"",BDP($B7,"NAME"))</f>
        <v/>
      </c>
      <c r="D7">
        <f>IF(OR(SwitchUniverse&lt;&gt;"ON",$B7=""),"",BDP($B7,"GICS_SECTOR_NAME"))</f>
        <v/>
      </c>
    </row>
    <row r="8" spans="1:4">
      <c r="B8">
        <f>IF(TRIM(A8&amp;"")="","",IF(RIGHT(TRIM(A8),7)=" Equity",TRIM(A8),TRIM(A8)&amp;" Equity"))</f>
        <v/>
      </c>
      <c r="C8">
        <f>IF(OR(SwitchUniverse&lt;&gt;"ON",$B8=""),"",BDP($B8,"NAME"))</f>
        <v/>
      </c>
      <c r="D8">
        <f>IF(OR(SwitchUniverse&lt;&gt;"ON",$B8=""),"",BDP($B8,"GICS_SECTOR_NAME"))</f>
        <v/>
      </c>
    </row>
    <row r="9" spans="1:4">
      <c r="B9">
        <f>IF(TRIM(A9&amp;"")="","",IF(RIGHT(TRIM(A9),7)=" Equity",TRIM(A9),TRIM(A9)&amp;" Equity"))</f>
        <v/>
      </c>
      <c r="C9">
        <f>IF(OR(SwitchUniverse&lt;&gt;"ON",$B9=""),"",BDP($B9,"NAME"))</f>
        <v/>
      </c>
      <c r="D9">
        <f>IF(OR(SwitchUniverse&lt;&gt;"ON",$B9=""),"",BDP($B9,"GICS_SECTOR_NAME"))</f>
        <v/>
      </c>
    </row>
    <row r="10" spans="1:4">
      <c r="B10">
        <f>IF(TRIM(A10&amp;"")="","",IF(RIGHT(TRIM(A10),7)=" Equity",TRIM(A10),TRIM(A10)&amp;" Equity"))</f>
        <v/>
      </c>
      <c r="C10">
        <f>IF(OR(SwitchUniverse&lt;&gt;"ON",$B10=""),"",BDP($B10,"NAME"))</f>
        <v/>
      </c>
      <c r="D10">
        <f>IF(OR(SwitchUniverse&lt;&gt;"ON",$B10=""),"",BDP($B10,"GICS_SECTOR_NAME"))</f>
        <v/>
      </c>
    </row>
    <row r="11" spans="1:4">
      <c r="B11">
        <f>IF(TRIM(A11&amp;"")="","",IF(RIGHT(TRIM(A11),7)=" Equity",TRIM(A11),TRIM(A11)&amp;" Equity"))</f>
        <v/>
      </c>
      <c r="C11">
        <f>IF(OR(SwitchUniverse&lt;&gt;"ON",$B11=""),"",BDP($B11,"NAME"))</f>
        <v/>
      </c>
      <c r="D11">
        <f>IF(OR(SwitchUniverse&lt;&gt;"ON",$B11=""),"",BDP($B11,"GICS_SECTOR_NAME"))</f>
        <v/>
      </c>
    </row>
    <row r="12" spans="1:4">
      <c r="B12">
        <f>IF(TRIM(A12&amp;"")="","",IF(RIGHT(TRIM(A12),7)=" Equity",TRIM(A12),TRIM(A12)&amp;" Equity"))</f>
        <v/>
      </c>
      <c r="C12">
        <f>IF(OR(SwitchUniverse&lt;&gt;"ON",$B12=""),"",BDP($B12,"NAME"))</f>
        <v/>
      </c>
      <c r="D12">
        <f>IF(OR(SwitchUniverse&lt;&gt;"ON",$B12=""),"",BDP($B12,"GICS_SECTOR_NAME"))</f>
        <v/>
      </c>
    </row>
    <row r="13" spans="1:4">
      <c r="B13">
        <f>IF(TRIM(A13&amp;"")="","",IF(RIGHT(TRIM(A13),7)=" Equity",TRIM(A13),TRIM(A13)&amp;" Equity"))</f>
        <v/>
      </c>
      <c r="C13">
        <f>IF(OR(SwitchUniverse&lt;&gt;"ON",$B13=""),"",BDP($B13,"NAME"))</f>
        <v/>
      </c>
      <c r="D13">
        <f>IF(OR(SwitchUniverse&lt;&gt;"ON",$B13=""),"",BDP($B13,"GICS_SECTOR_NAME"))</f>
        <v/>
      </c>
    </row>
    <row r="14" spans="1:4">
      <c r="B14">
        <f>IF(TRIM(A14&amp;"")="","",IF(RIGHT(TRIM(A14),7)=" Equity",TRIM(A14),TRIM(A14)&amp;" Equity"))</f>
        <v/>
      </c>
      <c r="C14">
        <f>IF(OR(SwitchUniverse&lt;&gt;"ON",$B14=""),"",BDP($B14,"NAME"))</f>
        <v/>
      </c>
      <c r="D14">
        <f>IF(OR(SwitchUniverse&lt;&gt;"ON",$B14=""),"",BDP($B14,"GICS_SECTOR_NAME"))</f>
        <v/>
      </c>
    </row>
    <row r="15" spans="1:4">
      <c r="B15">
        <f>IF(TRIM(A15&amp;"")="","",IF(RIGHT(TRIM(A15),7)=" Equity",TRIM(A15),TRIM(A15)&amp;" Equity"))</f>
        <v/>
      </c>
      <c r="C15">
        <f>IF(OR(SwitchUniverse&lt;&gt;"ON",$B15=""),"",BDP($B15,"NAME"))</f>
        <v/>
      </c>
      <c r="D15">
        <f>IF(OR(SwitchUniverse&lt;&gt;"ON",$B15=""),"",BDP($B15,"GICS_SECTOR_NAME"))</f>
        <v/>
      </c>
    </row>
    <row r="16" spans="1:4">
      <c r="B16">
        <f>IF(TRIM(A16&amp;"")="","",IF(RIGHT(TRIM(A16),7)=" Equity",TRIM(A16),TRIM(A16)&amp;" Equity"))</f>
        <v/>
      </c>
      <c r="C16">
        <f>IF(OR(SwitchUniverse&lt;&gt;"ON",$B16=""),"",BDP($B16,"NAME"))</f>
        <v/>
      </c>
      <c r="D16">
        <f>IF(OR(SwitchUniverse&lt;&gt;"ON",$B16=""),"",BDP($B16,"GICS_SECTOR_NAME"))</f>
        <v/>
      </c>
    </row>
    <row r="17" spans="2:4">
      <c r="B17">
        <f>IF(TRIM(A17&amp;"")="","",IF(RIGHT(TRIM(A17),7)=" Equity",TRIM(A17),TRIM(A17)&amp;" Equity"))</f>
        <v/>
      </c>
      <c r="C17">
        <f>IF(OR(SwitchUniverse&lt;&gt;"ON",$B17=""),"",BDP($B17,"NAME"))</f>
        <v/>
      </c>
      <c r="D17">
        <f>IF(OR(SwitchUniverse&lt;&gt;"ON",$B17=""),"",BDP($B17,"GICS_SECTOR_NAME"))</f>
        <v/>
      </c>
    </row>
    <row r="18" spans="2:4">
      <c r="B18">
        <f>IF(TRIM(A18&amp;"")="","",IF(RIGHT(TRIM(A18),7)=" Equity",TRIM(A18),TRIM(A18)&amp;" Equity"))</f>
        <v/>
      </c>
      <c r="C18">
        <f>IF(OR(SwitchUniverse&lt;&gt;"ON",$B18=""),"",BDP($B18,"NAME"))</f>
        <v/>
      </c>
      <c r="D18">
        <f>IF(OR(SwitchUniverse&lt;&gt;"ON",$B18=""),"",BDP($B18,"GICS_SECTOR_NAME"))</f>
        <v/>
      </c>
    </row>
    <row r="19" spans="2:4">
      <c r="B19">
        <f>IF(TRIM(A19&amp;"")="","",IF(RIGHT(TRIM(A19),7)=" Equity",TRIM(A19),TRIM(A19)&amp;" Equity"))</f>
        <v/>
      </c>
      <c r="C19">
        <f>IF(OR(SwitchUniverse&lt;&gt;"ON",$B19=""),"",BDP($B19,"NAME"))</f>
        <v/>
      </c>
      <c r="D19">
        <f>IF(OR(SwitchUniverse&lt;&gt;"ON",$B19=""),"",BDP($B19,"GICS_SECTOR_NAME"))</f>
        <v/>
      </c>
    </row>
    <row r="20" spans="2:4">
      <c r="B20">
        <f>IF(TRIM(A20&amp;"")="","",IF(RIGHT(TRIM(A20),7)=" Equity",TRIM(A20),TRIM(A20)&amp;" Equity"))</f>
        <v/>
      </c>
      <c r="C20">
        <f>IF(OR(SwitchUniverse&lt;&gt;"ON",$B20=""),"",BDP($B20,"NAME"))</f>
        <v/>
      </c>
      <c r="D20">
        <f>IF(OR(SwitchUniverse&lt;&gt;"ON",$B20=""),"",BDP($B20,"GICS_SECTOR_NAME"))</f>
        <v/>
      </c>
    </row>
    <row r="21" spans="2:4">
      <c r="B21">
        <f>IF(TRIM(A21&amp;"")="","",IF(RIGHT(TRIM(A21),7)=" Equity",TRIM(A21),TRIM(A21)&amp;" Equity"))</f>
        <v/>
      </c>
      <c r="C21">
        <f>IF(OR(SwitchUniverse&lt;&gt;"ON",$B21=""),"",BDP($B21,"NAME"))</f>
        <v/>
      </c>
      <c r="D21">
        <f>IF(OR(SwitchUniverse&lt;&gt;"ON",$B21=""),"",BDP($B21,"GICS_SECTOR_NAME"))</f>
        <v/>
      </c>
    </row>
    <row r="22" spans="2:4">
      <c r="B22">
        <f>IF(TRIM(A22&amp;"")="","",IF(RIGHT(TRIM(A22),7)=" Equity",TRIM(A22),TRIM(A22)&amp;" Equity"))</f>
        <v/>
      </c>
      <c r="C22">
        <f>IF(OR(SwitchUniverse&lt;&gt;"ON",$B22=""),"",BDP($B22,"NAME"))</f>
        <v/>
      </c>
      <c r="D22">
        <f>IF(OR(SwitchUniverse&lt;&gt;"ON",$B22=""),"",BDP($B22,"GICS_SECTOR_NAME"))</f>
        <v/>
      </c>
    </row>
    <row r="23" spans="2:4">
      <c r="B23">
        <f>IF(TRIM(A23&amp;"")="","",IF(RIGHT(TRIM(A23),7)=" Equity",TRIM(A23),TRIM(A23)&amp;" Equity"))</f>
        <v/>
      </c>
      <c r="C23">
        <f>IF(OR(SwitchUniverse&lt;&gt;"ON",$B23=""),"",BDP($B23,"NAME"))</f>
        <v/>
      </c>
      <c r="D23">
        <f>IF(OR(SwitchUniverse&lt;&gt;"ON",$B23=""),"",BDP($B23,"GICS_SECTOR_NAME"))</f>
        <v/>
      </c>
    </row>
    <row r="24" spans="2:4">
      <c r="B24">
        <f>IF(TRIM(A24&amp;"")="","",IF(RIGHT(TRIM(A24),7)=" Equity",TRIM(A24),TRIM(A24)&amp;" Equity"))</f>
        <v/>
      </c>
      <c r="C24">
        <f>IF(OR(SwitchUniverse&lt;&gt;"ON",$B24=""),"",BDP($B24,"NAME"))</f>
        <v/>
      </c>
      <c r="D24">
        <f>IF(OR(SwitchUniverse&lt;&gt;"ON",$B24=""),"",BDP($B24,"GICS_SECTOR_NAME"))</f>
        <v/>
      </c>
    </row>
    <row r="25" spans="2:4">
      <c r="B25">
        <f>IF(TRIM(A25&amp;"")="","",IF(RIGHT(TRIM(A25),7)=" Equity",TRIM(A25),TRIM(A25)&amp;" Equity"))</f>
        <v/>
      </c>
      <c r="C25">
        <f>IF(OR(SwitchUniverse&lt;&gt;"ON",$B25=""),"",BDP($B25,"NAME"))</f>
        <v/>
      </c>
      <c r="D25">
        <f>IF(OR(SwitchUniverse&lt;&gt;"ON",$B25=""),"",BDP($B25,"GICS_SECTOR_NAME"))</f>
        <v/>
      </c>
    </row>
    <row r="26" spans="2:4">
      <c r="B26">
        <f>IF(TRIM(A26&amp;"")="","",IF(RIGHT(TRIM(A26),7)=" Equity",TRIM(A26),TRIM(A26)&amp;" Equity"))</f>
        <v/>
      </c>
      <c r="C26">
        <f>IF(OR(SwitchUniverse&lt;&gt;"ON",$B26=""),"",BDP($B26,"NAME"))</f>
        <v/>
      </c>
      <c r="D26">
        <f>IF(OR(SwitchUniverse&lt;&gt;"ON",$B26=""),"",BDP($B26,"GICS_SECTOR_NAME"))</f>
        <v/>
      </c>
    </row>
    <row r="27" spans="2:4">
      <c r="B27">
        <f>IF(TRIM(A27&amp;"")="","",IF(RIGHT(TRIM(A27),7)=" Equity",TRIM(A27),TRIM(A27)&amp;" Equity"))</f>
        <v/>
      </c>
      <c r="C27">
        <f>IF(OR(SwitchUniverse&lt;&gt;"ON",$B27=""),"",BDP($B27,"NAME"))</f>
        <v/>
      </c>
      <c r="D27">
        <f>IF(OR(SwitchUniverse&lt;&gt;"ON",$B27=""),"",BDP($B27,"GICS_SECTOR_NAME"))</f>
        <v/>
      </c>
    </row>
    <row r="28" spans="2:4">
      <c r="B28">
        <f>IF(TRIM(A28&amp;"")="","",IF(RIGHT(TRIM(A28),7)=" Equity",TRIM(A28),TRIM(A28)&amp;" Equity"))</f>
        <v/>
      </c>
      <c r="C28">
        <f>IF(OR(SwitchUniverse&lt;&gt;"ON",$B28=""),"",BDP($B28,"NAME"))</f>
        <v/>
      </c>
      <c r="D28">
        <f>IF(OR(SwitchUniverse&lt;&gt;"ON",$B28=""),"",BDP($B28,"GICS_SECTOR_NAME"))</f>
        <v/>
      </c>
    </row>
    <row r="29" spans="2:4">
      <c r="B29">
        <f>IF(TRIM(A29&amp;"")="","",IF(RIGHT(TRIM(A29),7)=" Equity",TRIM(A29),TRIM(A29)&amp;" Equity"))</f>
        <v/>
      </c>
      <c r="C29">
        <f>IF(OR(SwitchUniverse&lt;&gt;"ON",$B29=""),"",BDP($B29,"NAME"))</f>
        <v/>
      </c>
      <c r="D29">
        <f>IF(OR(SwitchUniverse&lt;&gt;"ON",$B29=""),"",BDP($B29,"GICS_SECTOR_NAME"))</f>
        <v/>
      </c>
    </row>
    <row r="30" spans="2:4">
      <c r="B30">
        <f>IF(TRIM(A30&amp;"")="","",IF(RIGHT(TRIM(A30),7)=" Equity",TRIM(A30),TRIM(A30)&amp;" Equity"))</f>
        <v/>
      </c>
      <c r="C30">
        <f>IF(OR(SwitchUniverse&lt;&gt;"ON",$B30=""),"",BDP($B30,"NAME"))</f>
        <v/>
      </c>
      <c r="D30">
        <f>IF(OR(SwitchUniverse&lt;&gt;"ON",$B30=""),"",BDP($B30,"GICS_SECTOR_NAME"))</f>
        <v/>
      </c>
    </row>
    <row r="31" spans="2:4">
      <c r="B31">
        <f>IF(TRIM(A31&amp;"")="","",IF(RIGHT(TRIM(A31),7)=" Equity",TRIM(A31),TRIM(A31)&amp;" Equity"))</f>
        <v/>
      </c>
      <c r="C31">
        <f>IF(OR(SwitchUniverse&lt;&gt;"ON",$B31=""),"",BDP($B31,"NAME"))</f>
        <v/>
      </c>
      <c r="D31">
        <f>IF(OR(SwitchUniverse&lt;&gt;"ON",$B31=""),"",BDP($B31,"GICS_SECTOR_NAME"))</f>
        <v/>
      </c>
    </row>
    <row r="32" spans="2:4">
      <c r="B32">
        <f>IF(TRIM(A32&amp;"")="","",IF(RIGHT(TRIM(A32),7)=" Equity",TRIM(A32),TRIM(A32)&amp;" Equity"))</f>
        <v/>
      </c>
      <c r="C32">
        <f>IF(OR(SwitchUniverse&lt;&gt;"ON",$B32=""),"",BDP($B32,"NAME"))</f>
        <v/>
      </c>
      <c r="D32">
        <f>IF(OR(SwitchUniverse&lt;&gt;"ON",$B32=""),"",BDP($B32,"GICS_SECTOR_NAME"))</f>
        <v/>
      </c>
    </row>
    <row r="33" spans="2:4">
      <c r="B33">
        <f>IF(TRIM(A33&amp;"")="","",IF(RIGHT(TRIM(A33),7)=" Equity",TRIM(A33),TRIM(A33)&amp;" Equity"))</f>
        <v/>
      </c>
      <c r="C33">
        <f>IF(OR(SwitchUniverse&lt;&gt;"ON",$B33=""),"",BDP($B33,"NAME"))</f>
        <v/>
      </c>
      <c r="D33">
        <f>IF(OR(SwitchUniverse&lt;&gt;"ON",$B33=""),"",BDP($B33,"GICS_SECTOR_NAME"))</f>
        <v/>
      </c>
    </row>
    <row r="34" spans="2:4">
      <c r="B34">
        <f>IF(TRIM(A34&amp;"")="","",IF(RIGHT(TRIM(A34),7)=" Equity",TRIM(A34),TRIM(A34)&amp;" Equity"))</f>
        <v/>
      </c>
      <c r="C34">
        <f>IF(OR(SwitchUniverse&lt;&gt;"ON",$B34=""),"",BDP($B34,"NAME"))</f>
        <v/>
      </c>
      <c r="D34">
        <f>IF(OR(SwitchUniverse&lt;&gt;"ON",$B34=""),"",BDP($B34,"GICS_SECTOR_NAME"))</f>
        <v/>
      </c>
    </row>
    <row r="35" spans="2:4">
      <c r="B35">
        <f>IF(TRIM(A35&amp;"")="","",IF(RIGHT(TRIM(A35),7)=" Equity",TRIM(A35),TRIM(A35)&amp;" Equity"))</f>
        <v/>
      </c>
      <c r="C35">
        <f>IF(OR(SwitchUniverse&lt;&gt;"ON",$B35=""),"",BDP($B35,"NAME"))</f>
        <v/>
      </c>
      <c r="D35">
        <f>IF(OR(SwitchUniverse&lt;&gt;"ON",$B35=""),"",BDP($B35,"GICS_SECTOR_NAME"))</f>
        <v/>
      </c>
    </row>
    <row r="36" spans="2:4">
      <c r="B36">
        <f>IF(TRIM(A36&amp;"")="","",IF(RIGHT(TRIM(A36),7)=" Equity",TRIM(A36),TRIM(A36)&amp;" Equity"))</f>
        <v/>
      </c>
      <c r="C36">
        <f>IF(OR(SwitchUniverse&lt;&gt;"ON",$B36=""),"",BDP($B36,"NAME"))</f>
        <v/>
      </c>
      <c r="D36">
        <f>IF(OR(SwitchUniverse&lt;&gt;"ON",$B36=""),"",BDP($B36,"GICS_SECTOR_NAME"))</f>
        <v/>
      </c>
    </row>
    <row r="37" spans="2:4">
      <c r="B37">
        <f>IF(TRIM(A37&amp;"")="","",IF(RIGHT(TRIM(A37),7)=" Equity",TRIM(A37),TRIM(A37)&amp;" Equity"))</f>
        <v/>
      </c>
      <c r="C37">
        <f>IF(OR(SwitchUniverse&lt;&gt;"ON",$B37=""),"",BDP($B37,"NAME"))</f>
        <v/>
      </c>
      <c r="D37">
        <f>IF(OR(SwitchUniverse&lt;&gt;"ON",$B37=""),"",BDP($B37,"GICS_SECTOR_NAME"))</f>
        <v/>
      </c>
    </row>
    <row r="38" spans="2:4">
      <c r="B38">
        <f>IF(TRIM(A38&amp;"")="","",IF(RIGHT(TRIM(A38),7)=" Equity",TRIM(A38),TRIM(A38)&amp;" Equity"))</f>
        <v/>
      </c>
      <c r="C38">
        <f>IF(OR(SwitchUniverse&lt;&gt;"ON",$B38=""),"",BDP($B38,"NAME"))</f>
        <v/>
      </c>
      <c r="D38">
        <f>IF(OR(SwitchUniverse&lt;&gt;"ON",$B38=""),"",BDP($B38,"GICS_SECTOR_NAME"))</f>
        <v/>
      </c>
    </row>
    <row r="39" spans="2:4">
      <c r="B39">
        <f>IF(TRIM(A39&amp;"")="","",IF(RIGHT(TRIM(A39),7)=" Equity",TRIM(A39),TRIM(A39)&amp;" Equity"))</f>
        <v/>
      </c>
      <c r="C39">
        <f>IF(OR(SwitchUniverse&lt;&gt;"ON",$B39=""),"",BDP($B39,"NAME"))</f>
        <v/>
      </c>
      <c r="D39">
        <f>IF(OR(SwitchUniverse&lt;&gt;"ON",$B39=""),"",BDP($B39,"GICS_SECTOR_NAME"))</f>
        <v/>
      </c>
    </row>
    <row r="40" spans="2:4">
      <c r="B40">
        <f>IF(TRIM(A40&amp;"")="","",IF(RIGHT(TRIM(A40),7)=" Equity",TRIM(A40),TRIM(A40)&amp;" Equity"))</f>
        <v/>
      </c>
      <c r="C40">
        <f>IF(OR(SwitchUniverse&lt;&gt;"ON",$B40=""),"",BDP($B40,"NAME"))</f>
        <v/>
      </c>
      <c r="D40">
        <f>IF(OR(SwitchUniverse&lt;&gt;"ON",$B40=""),"",BDP($B40,"GICS_SECTOR_NAME"))</f>
        <v/>
      </c>
    </row>
    <row r="41" spans="2:4">
      <c r="B41">
        <f>IF(TRIM(A41&amp;"")="","",IF(RIGHT(TRIM(A41),7)=" Equity",TRIM(A41),TRIM(A41)&amp;" Equity"))</f>
        <v/>
      </c>
      <c r="C41">
        <f>IF(OR(SwitchUniverse&lt;&gt;"ON",$B41=""),"",BDP($B41,"NAME"))</f>
        <v/>
      </c>
      <c r="D41">
        <f>IF(OR(SwitchUniverse&lt;&gt;"ON",$B41=""),"",BDP($B41,"GICS_SECTOR_NAME"))</f>
        <v/>
      </c>
    </row>
    <row r="42" spans="2:4">
      <c r="B42">
        <f>IF(TRIM(A42&amp;"")="","",IF(RIGHT(TRIM(A42),7)=" Equity",TRIM(A42),TRIM(A42)&amp;" Equity"))</f>
        <v/>
      </c>
      <c r="C42">
        <f>IF(OR(SwitchUniverse&lt;&gt;"ON",$B42=""),"",BDP($B42,"NAME"))</f>
        <v/>
      </c>
      <c r="D42">
        <f>IF(OR(SwitchUniverse&lt;&gt;"ON",$B42=""),"",BDP($B42,"GICS_SECTOR_NAME"))</f>
        <v/>
      </c>
    </row>
    <row r="43" spans="2:4">
      <c r="B43">
        <f>IF(TRIM(A43&amp;"")="","",IF(RIGHT(TRIM(A43),7)=" Equity",TRIM(A43),TRIM(A43)&amp;" Equity"))</f>
        <v/>
      </c>
      <c r="C43">
        <f>IF(OR(SwitchUniverse&lt;&gt;"ON",$B43=""),"",BDP($B43,"NAME"))</f>
        <v/>
      </c>
      <c r="D43">
        <f>IF(OR(SwitchUniverse&lt;&gt;"ON",$B43=""),"",BDP($B43,"GICS_SECTOR_NAME"))</f>
        <v/>
      </c>
    </row>
    <row r="44" spans="2:4">
      <c r="B44">
        <f>IF(TRIM(A44&amp;"")="","",IF(RIGHT(TRIM(A44),7)=" Equity",TRIM(A44),TRIM(A44)&amp;" Equity"))</f>
        <v/>
      </c>
      <c r="C44">
        <f>IF(OR(SwitchUniverse&lt;&gt;"ON",$B44=""),"",BDP($B44,"NAME"))</f>
        <v/>
      </c>
      <c r="D44">
        <f>IF(OR(SwitchUniverse&lt;&gt;"ON",$B44=""),"",BDP($B44,"GICS_SECTOR_NAME"))</f>
        <v/>
      </c>
    </row>
    <row r="45" spans="2:4">
      <c r="B45">
        <f>IF(TRIM(A45&amp;"")="","",IF(RIGHT(TRIM(A45),7)=" Equity",TRIM(A45),TRIM(A45)&amp;" Equity"))</f>
        <v/>
      </c>
      <c r="C45">
        <f>IF(OR(SwitchUniverse&lt;&gt;"ON",$B45=""),"",BDP($B45,"NAME"))</f>
        <v/>
      </c>
      <c r="D45">
        <f>IF(OR(SwitchUniverse&lt;&gt;"ON",$B45=""),"",BDP($B45,"GICS_SECTOR_NAME"))</f>
        <v/>
      </c>
    </row>
    <row r="46" spans="2:4">
      <c r="B46">
        <f>IF(TRIM(A46&amp;"")="","",IF(RIGHT(TRIM(A46),7)=" Equity",TRIM(A46),TRIM(A46)&amp;" Equity"))</f>
        <v/>
      </c>
      <c r="C46">
        <f>IF(OR(SwitchUniverse&lt;&gt;"ON",$B46=""),"",BDP($B46,"NAME"))</f>
        <v/>
      </c>
      <c r="D46">
        <f>IF(OR(SwitchUniverse&lt;&gt;"ON",$B46=""),"",BDP($B46,"GICS_SECTOR_NAME"))</f>
        <v/>
      </c>
    </row>
    <row r="47" spans="2:4">
      <c r="B47">
        <f>IF(TRIM(A47&amp;"")="","",IF(RIGHT(TRIM(A47),7)=" Equity",TRIM(A47),TRIM(A47)&amp;" Equity"))</f>
        <v/>
      </c>
      <c r="C47">
        <f>IF(OR(SwitchUniverse&lt;&gt;"ON",$B47=""),"",BDP($B47,"NAME"))</f>
        <v/>
      </c>
      <c r="D47">
        <f>IF(OR(SwitchUniverse&lt;&gt;"ON",$B47=""),"",BDP($B47,"GICS_SECTOR_NAME"))</f>
        <v/>
      </c>
    </row>
    <row r="48" spans="2:4">
      <c r="B48">
        <f>IF(TRIM(A48&amp;"")="","",IF(RIGHT(TRIM(A48),7)=" Equity",TRIM(A48),TRIM(A48)&amp;" Equity"))</f>
        <v/>
      </c>
      <c r="C48">
        <f>IF(OR(SwitchUniverse&lt;&gt;"ON",$B48=""),"",BDP($B48,"NAME"))</f>
        <v/>
      </c>
      <c r="D48">
        <f>IF(OR(SwitchUniverse&lt;&gt;"ON",$B48=""),"",BDP($B48,"GICS_SECTOR_NAME"))</f>
        <v/>
      </c>
    </row>
    <row r="49" spans="2:4">
      <c r="B49">
        <f>IF(TRIM(A49&amp;"")="","",IF(RIGHT(TRIM(A49),7)=" Equity",TRIM(A49),TRIM(A49)&amp;" Equity"))</f>
        <v/>
      </c>
      <c r="C49">
        <f>IF(OR(SwitchUniverse&lt;&gt;"ON",$B49=""),"",BDP($B49,"NAME"))</f>
        <v/>
      </c>
      <c r="D49">
        <f>IF(OR(SwitchUniverse&lt;&gt;"ON",$B49=""),"",BDP($B49,"GICS_SECTOR_NAME"))</f>
        <v/>
      </c>
    </row>
    <row r="50" spans="2:4">
      <c r="B50">
        <f>IF(TRIM(A50&amp;"")="","",IF(RIGHT(TRIM(A50),7)=" Equity",TRIM(A50),TRIM(A50)&amp;" Equity"))</f>
        <v/>
      </c>
      <c r="C50">
        <f>IF(OR(SwitchUniverse&lt;&gt;"ON",$B50=""),"",BDP($B50,"NAME"))</f>
        <v/>
      </c>
      <c r="D50">
        <f>IF(OR(SwitchUniverse&lt;&gt;"ON",$B50=""),"",BDP($B50,"GICS_SECTOR_NAME"))</f>
        <v/>
      </c>
    </row>
    <row r="51" spans="2:4">
      <c r="B51">
        <f>IF(TRIM(A51&amp;"")="","",IF(RIGHT(TRIM(A51),7)=" Equity",TRIM(A51),TRIM(A51)&amp;" Equity"))</f>
        <v/>
      </c>
      <c r="C51">
        <f>IF(OR(SwitchUniverse&lt;&gt;"ON",$B51=""),"",BDP($B51,"NAME"))</f>
        <v/>
      </c>
      <c r="D51">
        <f>IF(OR(SwitchUniverse&lt;&gt;"ON",$B51=""),"",BDP($B51,"GICS_SECTOR_NAME"))</f>
        <v/>
      </c>
    </row>
    <row r="52" spans="2:4">
      <c r="B52">
        <f>IF(TRIM(A52&amp;"")="","",IF(RIGHT(TRIM(A52),7)=" Equity",TRIM(A52),TRIM(A52)&amp;" Equity"))</f>
        <v/>
      </c>
      <c r="C52">
        <f>IF(OR(SwitchUniverse&lt;&gt;"ON",$B52=""),"",BDP($B52,"NAME"))</f>
        <v/>
      </c>
      <c r="D52">
        <f>IF(OR(SwitchUniverse&lt;&gt;"ON",$B52=""),"",BDP($B52,"GICS_SECTOR_NAME"))</f>
        <v/>
      </c>
    </row>
    <row r="53" spans="2:4">
      <c r="B53">
        <f>IF(TRIM(A53&amp;"")="","",IF(RIGHT(TRIM(A53),7)=" Equity",TRIM(A53),TRIM(A53)&amp;" Equity"))</f>
        <v/>
      </c>
      <c r="C53">
        <f>IF(OR(SwitchUniverse&lt;&gt;"ON",$B53=""),"",BDP($B53,"NAME"))</f>
        <v/>
      </c>
      <c r="D53">
        <f>IF(OR(SwitchUniverse&lt;&gt;"ON",$B53=""),"",BDP($B53,"GICS_SECTOR_NAME"))</f>
        <v/>
      </c>
    </row>
    <row r="54" spans="2:4">
      <c r="B54">
        <f>IF(TRIM(A54&amp;"")="","",IF(RIGHT(TRIM(A54),7)=" Equity",TRIM(A54),TRIM(A54)&amp;" Equity"))</f>
        <v/>
      </c>
      <c r="C54">
        <f>IF(OR(SwitchUniverse&lt;&gt;"ON",$B54=""),"",BDP($B54,"NAME"))</f>
        <v/>
      </c>
      <c r="D54">
        <f>IF(OR(SwitchUniverse&lt;&gt;"ON",$B54=""),"",BDP($B54,"GICS_SECTOR_NAME"))</f>
        <v/>
      </c>
    </row>
    <row r="55" spans="2:4">
      <c r="B55">
        <f>IF(TRIM(A55&amp;"")="","",IF(RIGHT(TRIM(A55),7)=" Equity",TRIM(A55),TRIM(A55)&amp;" Equity"))</f>
        <v/>
      </c>
      <c r="C55">
        <f>IF(OR(SwitchUniverse&lt;&gt;"ON",$B55=""),"",BDP($B55,"NAME"))</f>
        <v/>
      </c>
      <c r="D55">
        <f>IF(OR(SwitchUniverse&lt;&gt;"ON",$B55=""),"",BDP($B55,"GICS_SECTOR_NAME"))</f>
        <v/>
      </c>
    </row>
    <row r="56" spans="2:4">
      <c r="B56">
        <f>IF(TRIM(A56&amp;"")="","",IF(RIGHT(TRIM(A56),7)=" Equity",TRIM(A56),TRIM(A56)&amp;" Equity"))</f>
        <v/>
      </c>
      <c r="C56">
        <f>IF(OR(SwitchUniverse&lt;&gt;"ON",$B56=""),"",BDP($B56,"NAME"))</f>
        <v/>
      </c>
      <c r="D56">
        <f>IF(OR(SwitchUniverse&lt;&gt;"ON",$B56=""),"",BDP($B56,"GICS_SECTOR_NAME"))</f>
        <v/>
      </c>
    </row>
    <row r="57" spans="2:4">
      <c r="B57">
        <f>IF(TRIM(A57&amp;"")="","",IF(RIGHT(TRIM(A57),7)=" Equity",TRIM(A57),TRIM(A57)&amp;" Equity"))</f>
        <v/>
      </c>
      <c r="C57">
        <f>IF(OR(SwitchUniverse&lt;&gt;"ON",$B57=""),"",BDP($B57,"NAME"))</f>
        <v/>
      </c>
      <c r="D57">
        <f>IF(OR(SwitchUniverse&lt;&gt;"ON",$B57=""),"",BDP($B57,"GICS_SECTOR_NAME"))</f>
        <v/>
      </c>
    </row>
    <row r="58" spans="2:4">
      <c r="B58">
        <f>IF(TRIM(A58&amp;"")="","",IF(RIGHT(TRIM(A58),7)=" Equity",TRIM(A58),TRIM(A58)&amp;" Equity"))</f>
        <v/>
      </c>
      <c r="C58">
        <f>IF(OR(SwitchUniverse&lt;&gt;"ON",$B58=""),"",BDP($B58,"NAME"))</f>
        <v/>
      </c>
      <c r="D58">
        <f>IF(OR(SwitchUniverse&lt;&gt;"ON",$B58=""),"",BDP($B58,"GICS_SECTOR_NAME"))</f>
        <v/>
      </c>
    </row>
    <row r="59" spans="2:4">
      <c r="B59">
        <f>IF(TRIM(A59&amp;"")="","",IF(RIGHT(TRIM(A59),7)=" Equity",TRIM(A59),TRIM(A59)&amp;" Equity"))</f>
        <v/>
      </c>
      <c r="C59">
        <f>IF(OR(SwitchUniverse&lt;&gt;"ON",$B59=""),"",BDP($B59,"NAME"))</f>
        <v/>
      </c>
      <c r="D59">
        <f>IF(OR(SwitchUniverse&lt;&gt;"ON",$B59=""),"",BDP($B59,"GICS_SECTOR_NAME"))</f>
        <v/>
      </c>
    </row>
    <row r="60" spans="2:4">
      <c r="B60">
        <f>IF(TRIM(A60&amp;"")="","",IF(RIGHT(TRIM(A60),7)=" Equity",TRIM(A60),TRIM(A60)&amp;" Equity"))</f>
        <v/>
      </c>
      <c r="C60">
        <f>IF(OR(SwitchUniverse&lt;&gt;"ON",$B60=""),"",BDP($B60,"NAME"))</f>
        <v/>
      </c>
      <c r="D60">
        <f>IF(OR(SwitchUniverse&lt;&gt;"ON",$B60=""),"",BDP($B60,"GICS_SECTOR_NAME"))</f>
        <v/>
      </c>
    </row>
    <row r="61" spans="2:4">
      <c r="B61">
        <f>IF(TRIM(A61&amp;"")="","",IF(RIGHT(TRIM(A61),7)=" Equity",TRIM(A61),TRIM(A61)&amp;" Equity"))</f>
        <v/>
      </c>
      <c r="C61">
        <f>IF(OR(SwitchUniverse&lt;&gt;"ON",$B61=""),"",BDP($B61,"NAME"))</f>
        <v/>
      </c>
      <c r="D61">
        <f>IF(OR(SwitchUniverse&lt;&gt;"ON",$B61=""),"",BDP($B61,"GICS_SECTOR_NAME"))</f>
        <v/>
      </c>
    </row>
    <row r="62" spans="2:4">
      <c r="B62">
        <f>IF(TRIM(A62&amp;"")="","",IF(RIGHT(TRIM(A62),7)=" Equity",TRIM(A62),TRIM(A62)&amp;" Equity"))</f>
        <v/>
      </c>
      <c r="C62">
        <f>IF(OR(SwitchUniverse&lt;&gt;"ON",$B62=""),"",BDP($B62,"NAME"))</f>
        <v/>
      </c>
      <c r="D62">
        <f>IF(OR(SwitchUniverse&lt;&gt;"ON",$B62=""),"",BDP($B62,"GICS_SECTOR_NAME"))</f>
        <v/>
      </c>
    </row>
    <row r="63" spans="2:4">
      <c r="B63">
        <f>IF(TRIM(A63&amp;"")="","",IF(RIGHT(TRIM(A63),7)=" Equity",TRIM(A63),TRIM(A63)&amp;" Equity"))</f>
        <v/>
      </c>
      <c r="C63">
        <f>IF(OR(SwitchUniverse&lt;&gt;"ON",$B63=""),"",BDP($B63,"NAME"))</f>
        <v/>
      </c>
      <c r="D63">
        <f>IF(OR(SwitchUniverse&lt;&gt;"ON",$B63=""),"",BDP($B63,"GICS_SECTOR_NAME"))</f>
        <v/>
      </c>
    </row>
    <row r="64" spans="2:4">
      <c r="B64">
        <f>IF(TRIM(A64&amp;"")="","",IF(RIGHT(TRIM(A64),7)=" Equity",TRIM(A64),TRIM(A64)&amp;" Equity"))</f>
        <v/>
      </c>
      <c r="C64">
        <f>IF(OR(SwitchUniverse&lt;&gt;"ON",$B64=""),"",BDP($B64,"NAME"))</f>
        <v/>
      </c>
      <c r="D64">
        <f>IF(OR(SwitchUniverse&lt;&gt;"ON",$B64=""),"",BDP($B64,"GICS_SECTOR_NAME"))</f>
        <v/>
      </c>
    </row>
    <row r="65" spans="2:4">
      <c r="B65">
        <f>IF(TRIM(A65&amp;"")="","",IF(RIGHT(TRIM(A65),7)=" Equity",TRIM(A65),TRIM(A65)&amp;" Equity"))</f>
        <v/>
      </c>
      <c r="C65">
        <f>IF(OR(SwitchUniverse&lt;&gt;"ON",$B65=""),"",BDP($B65,"NAME"))</f>
        <v/>
      </c>
      <c r="D65">
        <f>IF(OR(SwitchUniverse&lt;&gt;"ON",$B65=""),"",BDP($B65,"GICS_SECTOR_NAME"))</f>
        <v/>
      </c>
    </row>
    <row r="66" spans="2:4">
      <c r="B66">
        <f>IF(TRIM(A66&amp;"")="","",IF(RIGHT(TRIM(A66),7)=" Equity",TRIM(A66),TRIM(A66)&amp;" Equity"))</f>
        <v/>
      </c>
      <c r="C66">
        <f>IF(OR(SwitchUniverse&lt;&gt;"ON",$B66=""),"",BDP($B66,"NAME"))</f>
        <v/>
      </c>
      <c r="D66">
        <f>IF(OR(SwitchUniverse&lt;&gt;"ON",$B66=""),"",BDP($B66,"GICS_SECTOR_NAME"))</f>
        <v/>
      </c>
    </row>
    <row r="67" spans="2:4">
      <c r="B67">
        <f>IF(TRIM(A67&amp;"")="","",IF(RIGHT(TRIM(A67),7)=" Equity",TRIM(A67),TRIM(A67)&amp;" Equity"))</f>
        <v/>
      </c>
      <c r="C67">
        <f>IF(OR(SwitchUniverse&lt;&gt;"ON",$B67=""),"",BDP($B67,"NAME"))</f>
        <v/>
      </c>
      <c r="D67">
        <f>IF(OR(SwitchUniverse&lt;&gt;"ON",$B67=""),"",BDP($B67,"GICS_SECTOR_NAME"))</f>
        <v/>
      </c>
    </row>
    <row r="68" spans="2:4">
      <c r="B68">
        <f>IF(TRIM(A68&amp;"")="","",IF(RIGHT(TRIM(A68),7)=" Equity",TRIM(A68),TRIM(A68)&amp;" Equity"))</f>
        <v/>
      </c>
      <c r="C68">
        <f>IF(OR(SwitchUniverse&lt;&gt;"ON",$B68=""),"",BDP($B68,"NAME"))</f>
        <v/>
      </c>
      <c r="D68">
        <f>IF(OR(SwitchUniverse&lt;&gt;"ON",$B68=""),"",BDP($B68,"GICS_SECTOR_NAME"))</f>
        <v/>
      </c>
    </row>
    <row r="69" spans="2:4">
      <c r="B69">
        <f>IF(TRIM(A69&amp;"")="","",IF(RIGHT(TRIM(A69),7)=" Equity",TRIM(A69),TRIM(A69)&amp;" Equity"))</f>
        <v/>
      </c>
      <c r="C69">
        <f>IF(OR(SwitchUniverse&lt;&gt;"ON",$B69=""),"",BDP($B69,"NAME"))</f>
        <v/>
      </c>
      <c r="D69">
        <f>IF(OR(SwitchUniverse&lt;&gt;"ON",$B69=""),"",BDP($B69,"GICS_SECTOR_NAME"))</f>
        <v/>
      </c>
    </row>
    <row r="70" spans="2:4">
      <c r="B70">
        <f>IF(TRIM(A70&amp;"")="","",IF(RIGHT(TRIM(A70),7)=" Equity",TRIM(A70),TRIM(A70)&amp;" Equity"))</f>
        <v/>
      </c>
      <c r="C70">
        <f>IF(OR(SwitchUniverse&lt;&gt;"ON",$B70=""),"",BDP($B70,"NAME"))</f>
        <v/>
      </c>
      <c r="D70">
        <f>IF(OR(SwitchUniverse&lt;&gt;"ON",$B70=""),"",BDP($B70,"GICS_SECTOR_NAME"))</f>
        <v/>
      </c>
    </row>
    <row r="71" spans="2:4">
      <c r="B71">
        <f>IF(TRIM(A71&amp;"")="","",IF(RIGHT(TRIM(A71),7)=" Equity",TRIM(A71),TRIM(A71)&amp;" Equity"))</f>
        <v/>
      </c>
      <c r="C71">
        <f>IF(OR(SwitchUniverse&lt;&gt;"ON",$B71=""),"",BDP($B71,"NAME"))</f>
        <v/>
      </c>
      <c r="D71">
        <f>IF(OR(SwitchUniverse&lt;&gt;"ON",$B71=""),"",BDP($B71,"GICS_SECTOR_NAME"))</f>
        <v/>
      </c>
    </row>
    <row r="72" spans="2:4">
      <c r="B72">
        <f>IF(TRIM(A72&amp;"")="","",IF(RIGHT(TRIM(A72),7)=" Equity",TRIM(A72),TRIM(A72)&amp;" Equity"))</f>
        <v/>
      </c>
      <c r="C72">
        <f>IF(OR(SwitchUniverse&lt;&gt;"ON",$B72=""),"",BDP($B72,"NAME"))</f>
        <v/>
      </c>
      <c r="D72">
        <f>IF(OR(SwitchUniverse&lt;&gt;"ON",$B72=""),"",BDP($B72,"GICS_SECTOR_NAME"))</f>
        <v/>
      </c>
    </row>
    <row r="73" spans="2:4">
      <c r="B73">
        <f>IF(TRIM(A73&amp;"")="","",IF(RIGHT(TRIM(A73),7)=" Equity",TRIM(A73),TRIM(A73)&amp;" Equity"))</f>
        <v/>
      </c>
      <c r="C73">
        <f>IF(OR(SwitchUniverse&lt;&gt;"ON",$B73=""),"",BDP($B73,"NAME"))</f>
        <v/>
      </c>
      <c r="D73">
        <f>IF(OR(SwitchUniverse&lt;&gt;"ON",$B73=""),"",BDP($B73,"GICS_SECTOR_NAME"))</f>
        <v/>
      </c>
    </row>
    <row r="74" spans="2:4">
      <c r="B74">
        <f>IF(TRIM(A74&amp;"")="","",IF(RIGHT(TRIM(A74),7)=" Equity",TRIM(A74),TRIM(A74)&amp;" Equity"))</f>
        <v/>
      </c>
      <c r="C74">
        <f>IF(OR(SwitchUniverse&lt;&gt;"ON",$B74=""),"",BDP($B74,"NAME"))</f>
        <v/>
      </c>
      <c r="D74">
        <f>IF(OR(SwitchUniverse&lt;&gt;"ON",$B74=""),"",BDP($B74,"GICS_SECTOR_NAME"))</f>
        <v/>
      </c>
    </row>
    <row r="75" spans="2:4">
      <c r="B75">
        <f>IF(TRIM(A75&amp;"")="","",IF(RIGHT(TRIM(A75),7)=" Equity",TRIM(A75),TRIM(A75)&amp;" Equity"))</f>
        <v/>
      </c>
      <c r="C75">
        <f>IF(OR(SwitchUniverse&lt;&gt;"ON",$B75=""),"",BDP($B75,"NAME"))</f>
        <v/>
      </c>
      <c r="D75">
        <f>IF(OR(SwitchUniverse&lt;&gt;"ON",$B75=""),"",BDP($B75,"GICS_SECTOR_NAME"))</f>
        <v/>
      </c>
    </row>
    <row r="76" spans="2:4">
      <c r="B76">
        <f>IF(TRIM(A76&amp;"")="","",IF(RIGHT(TRIM(A76),7)=" Equity",TRIM(A76),TRIM(A76)&amp;" Equity"))</f>
        <v/>
      </c>
      <c r="C76">
        <f>IF(OR(SwitchUniverse&lt;&gt;"ON",$B76=""),"",BDP($B76,"NAME"))</f>
        <v/>
      </c>
      <c r="D76">
        <f>IF(OR(SwitchUniverse&lt;&gt;"ON",$B76=""),"",BDP($B76,"GICS_SECTOR_NAME"))</f>
        <v/>
      </c>
    </row>
    <row r="77" spans="2:4">
      <c r="B77">
        <f>IF(TRIM(A77&amp;"")="","",IF(RIGHT(TRIM(A77),7)=" Equity",TRIM(A77),TRIM(A77)&amp;" Equity"))</f>
        <v/>
      </c>
      <c r="C77">
        <f>IF(OR(SwitchUniverse&lt;&gt;"ON",$B77=""),"",BDP($B77,"NAME"))</f>
        <v/>
      </c>
      <c r="D77">
        <f>IF(OR(SwitchUniverse&lt;&gt;"ON",$B77=""),"",BDP($B77,"GICS_SECTOR_NAME"))</f>
        <v/>
      </c>
    </row>
    <row r="78" spans="2:4">
      <c r="B78">
        <f>IF(TRIM(A78&amp;"")="","",IF(RIGHT(TRIM(A78),7)=" Equity",TRIM(A78),TRIM(A78)&amp;" Equity"))</f>
        <v/>
      </c>
      <c r="C78">
        <f>IF(OR(SwitchUniverse&lt;&gt;"ON",$B78=""),"",BDP($B78,"NAME"))</f>
        <v/>
      </c>
      <c r="D78">
        <f>IF(OR(SwitchUniverse&lt;&gt;"ON",$B78=""),"",BDP($B78,"GICS_SECTOR_NAME"))</f>
        <v/>
      </c>
    </row>
    <row r="79" spans="2:4">
      <c r="B79">
        <f>IF(TRIM(A79&amp;"")="","",IF(RIGHT(TRIM(A79),7)=" Equity",TRIM(A79),TRIM(A79)&amp;" Equity"))</f>
        <v/>
      </c>
      <c r="C79">
        <f>IF(OR(SwitchUniverse&lt;&gt;"ON",$B79=""),"",BDP($B79,"NAME"))</f>
        <v/>
      </c>
      <c r="D79">
        <f>IF(OR(SwitchUniverse&lt;&gt;"ON",$B79=""),"",BDP($B79,"GICS_SECTOR_NAME"))</f>
        <v/>
      </c>
    </row>
    <row r="80" spans="2:4">
      <c r="B80">
        <f>IF(TRIM(A80&amp;"")="","",IF(RIGHT(TRIM(A80),7)=" Equity",TRIM(A80),TRIM(A80)&amp;" Equity"))</f>
        <v/>
      </c>
      <c r="C80">
        <f>IF(OR(SwitchUniverse&lt;&gt;"ON",$B80=""),"",BDP($B80,"NAME"))</f>
        <v/>
      </c>
      <c r="D80">
        <f>IF(OR(SwitchUniverse&lt;&gt;"ON",$B80=""),"",BDP($B80,"GICS_SECTOR_NAME"))</f>
        <v/>
      </c>
    </row>
    <row r="81" spans="2:4">
      <c r="B81">
        <f>IF(TRIM(A81&amp;"")="","",IF(RIGHT(TRIM(A81),7)=" Equity",TRIM(A81),TRIM(A81)&amp;" Equity"))</f>
        <v/>
      </c>
      <c r="C81">
        <f>IF(OR(SwitchUniverse&lt;&gt;"ON",$B81=""),"",BDP($B81,"NAME"))</f>
        <v/>
      </c>
      <c r="D81">
        <f>IF(OR(SwitchUniverse&lt;&gt;"ON",$B81=""),"",BDP($B81,"GICS_SECTOR_NAME"))</f>
        <v/>
      </c>
    </row>
    <row r="82" spans="2:4">
      <c r="B82">
        <f>IF(TRIM(A82&amp;"")="","",IF(RIGHT(TRIM(A82),7)=" Equity",TRIM(A82),TRIM(A82)&amp;" Equity"))</f>
        <v/>
      </c>
      <c r="C82">
        <f>IF(OR(SwitchUniverse&lt;&gt;"ON",$B82=""),"",BDP($B82,"NAME"))</f>
        <v/>
      </c>
      <c r="D82">
        <f>IF(OR(SwitchUniverse&lt;&gt;"ON",$B82=""),"",BDP($B82,"GICS_SECTOR_NAME"))</f>
        <v/>
      </c>
    </row>
    <row r="83" spans="2:4">
      <c r="B83">
        <f>IF(TRIM(A83&amp;"")="","",IF(RIGHT(TRIM(A83),7)=" Equity",TRIM(A83),TRIM(A83)&amp;" Equity"))</f>
        <v/>
      </c>
      <c r="C83">
        <f>IF(OR(SwitchUniverse&lt;&gt;"ON",$B83=""),"",BDP($B83,"NAME"))</f>
        <v/>
      </c>
      <c r="D83">
        <f>IF(OR(SwitchUniverse&lt;&gt;"ON",$B83=""),"",BDP($B83,"GICS_SECTOR_NAME"))</f>
        <v/>
      </c>
    </row>
    <row r="84" spans="2:4">
      <c r="B84">
        <f>IF(TRIM(A84&amp;"")="","",IF(RIGHT(TRIM(A84),7)=" Equity",TRIM(A84),TRIM(A84)&amp;" Equity"))</f>
        <v/>
      </c>
      <c r="C84">
        <f>IF(OR(SwitchUniverse&lt;&gt;"ON",$B84=""),"",BDP($B84,"NAME"))</f>
        <v/>
      </c>
      <c r="D84">
        <f>IF(OR(SwitchUniverse&lt;&gt;"ON",$B84=""),"",BDP($B84,"GICS_SECTOR_NAME"))</f>
        <v/>
      </c>
    </row>
    <row r="85" spans="2:4">
      <c r="B85">
        <f>IF(TRIM(A85&amp;"")="","",IF(RIGHT(TRIM(A85),7)=" Equity",TRIM(A85),TRIM(A85)&amp;" Equity"))</f>
        <v/>
      </c>
      <c r="C85">
        <f>IF(OR(SwitchUniverse&lt;&gt;"ON",$B85=""),"",BDP($B85,"NAME"))</f>
        <v/>
      </c>
      <c r="D85">
        <f>IF(OR(SwitchUniverse&lt;&gt;"ON",$B85=""),"",BDP($B85,"GICS_SECTOR_NAME"))</f>
        <v/>
      </c>
    </row>
    <row r="86" spans="2:4">
      <c r="B86">
        <f>IF(TRIM(A86&amp;"")="","",IF(RIGHT(TRIM(A86),7)=" Equity",TRIM(A86),TRIM(A86)&amp;" Equity"))</f>
        <v/>
      </c>
      <c r="C86">
        <f>IF(OR(SwitchUniverse&lt;&gt;"ON",$B86=""),"",BDP($B86,"NAME"))</f>
        <v/>
      </c>
      <c r="D86">
        <f>IF(OR(SwitchUniverse&lt;&gt;"ON",$B86=""),"",BDP($B86,"GICS_SECTOR_NAME"))</f>
        <v/>
      </c>
    </row>
    <row r="87" spans="2:4">
      <c r="B87">
        <f>IF(TRIM(A87&amp;"")="","",IF(RIGHT(TRIM(A87),7)=" Equity",TRIM(A87),TRIM(A87)&amp;" Equity"))</f>
        <v/>
      </c>
      <c r="C87">
        <f>IF(OR(SwitchUniverse&lt;&gt;"ON",$B87=""),"",BDP($B87,"NAME"))</f>
        <v/>
      </c>
      <c r="D87">
        <f>IF(OR(SwitchUniverse&lt;&gt;"ON",$B87=""),"",BDP($B87,"GICS_SECTOR_NAME"))</f>
        <v/>
      </c>
    </row>
    <row r="88" spans="2:4">
      <c r="B88">
        <f>IF(TRIM(A88&amp;"")="","",IF(RIGHT(TRIM(A88),7)=" Equity",TRIM(A88),TRIM(A88)&amp;" Equity"))</f>
        <v/>
      </c>
      <c r="C88">
        <f>IF(OR(SwitchUniverse&lt;&gt;"ON",$B88=""),"",BDP($B88,"NAME"))</f>
        <v/>
      </c>
      <c r="D88">
        <f>IF(OR(SwitchUniverse&lt;&gt;"ON",$B88=""),"",BDP($B88,"GICS_SECTOR_NAME"))</f>
        <v/>
      </c>
    </row>
    <row r="89" spans="2:4">
      <c r="B89">
        <f>IF(TRIM(A89&amp;"")="","",IF(RIGHT(TRIM(A89),7)=" Equity",TRIM(A89),TRIM(A89)&amp;" Equity"))</f>
        <v/>
      </c>
      <c r="C89">
        <f>IF(OR(SwitchUniverse&lt;&gt;"ON",$B89=""),"",BDP($B89,"NAME"))</f>
        <v/>
      </c>
      <c r="D89">
        <f>IF(OR(SwitchUniverse&lt;&gt;"ON",$B89=""),"",BDP($B89,"GICS_SECTOR_NAME"))</f>
        <v/>
      </c>
    </row>
    <row r="90" spans="2:4">
      <c r="B90">
        <f>IF(TRIM(A90&amp;"")="","",IF(RIGHT(TRIM(A90),7)=" Equity",TRIM(A90),TRIM(A90)&amp;" Equity"))</f>
        <v/>
      </c>
      <c r="C90">
        <f>IF(OR(SwitchUniverse&lt;&gt;"ON",$B90=""),"",BDP($B90,"NAME"))</f>
        <v/>
      </c>
      <c r="D90">
        <f>IF(OR(SwitchUniverse&lt;&gt;"ON",$B90=""),"",BDP($B90,"GICS_SECTOR_NAME"))</f>
        <v/>
      </c>
    </row>
    <row r="91" spans="2:4">
      <c r="B91">
        <f>IF(TRIM(A91&amp;"")="","",IF(RIGHT(TRIM(A91),7)=" Equity",TRIM(A91),TRIM(A91)&amp;" Equity"))</f>
        <v/>
      </c>
      <c r="C91">
        <f>IF(OR(SwitchUniverse&lt;&gt;"ON",$B91=""),"",BDP($B91,"NAME"))</f>
        <v/>
      </c>
      <c r="D91">
        <f>IF(OR(SwitchUniverse&lt;&gt;"ON",$B91=""),"",BDP($B91,"GICS_SECTOR_NAME"))</f>
        <v/>
      </c>
    </row>
    <row r="92" spans="2:4">
      <c r="B92">
        <f>IF(TRIM(A92&amp;"")="","",IF(RIGHT(TRIM(A92),7)=" Equity",TRIM(A92),TRIM(A92)&amp;" Equity"))</f>
        <v/>
      </c>
      <c r="C92">
        <f>IF(OR(SwitchUniverse&lt;&gt;"ON",$B92=""),"",BDP($B92,"NAME"))</f>
        <v/>
      </c>
      <c r="D92">
        <f>IF(OR(SwitchUniverse&lt;&gt;"ON",$B92=""),"",BDP($B92,"GICS_SECTOR_NAME"))</f>
        <v/>
      </c>
    </row>
    <row r="93" spans="2:4">
      <c r="B93">
        <f>IF(TRIM(A93&amp;"")="","",IF(RIGHT(TRIM(A93),7)=" Equity",TRIM(A93),TRIM(A93)&amp;" Equity"))</f>
        <v/>
      </c>
      <c r="C93">
        <f>IF(OR(SwitchUniverse&lt;&gt;"ON",$B93=""),"",BDP($B93,"NAME"))</f>
        <v/>
      </c>
      <c r="D93">
        <f>IF(OR(SwitchUniverse&lt;&gt;"ON",$B93=""),"",BDP($B93,"GICS_SECTOR_NAME"))</f>
        <v/>
      </c>
    </row>
    <row r="94" spans="2:4">
      <c r="B94">
        <f>IF(TRIM(A94&amp;"")="","",IF(RIGHT(TRIM(A94),7)=" Equity",TRIM(A94),TRIM(A94)&amp;" Equity"))</f>
        <v/>
      </c>
      <c r="C94">
        <f>IF(OR(SwitchUniverse&lt;&gt;"ON",$B94=""),"",BDP($B94,"NAME"))</f>
        <v/>
      </c>
      <c r="D94">
        <f>IF(OR(SwitchUniverse&lt;&gt;"ON",$B94=""),"",BDP($B94,"GICS_SECTOR_NAME"))</f>
        <v/>
      </c>
    </row>
    <row r="95" spans="2:4">
      <c r="B95">
        <f>IF(TRIM(A95&amp;"")="","",IF(RIGHT(TRIM(A95),7)=" Equity",TRIM(A95),TRIM(A95)&amp;" Equity"))</f>
        <v/>
      </c>
      <c r="C95">
        <f>IF(OR(SwitchUniverse&lt;&gt;"ON",$B95=""),"",BDP($B95,"NAME"))</f>
        <v/>
      </c>
      <c r="D95">
        <f>IF(OR(SwitchUniverse&lt;&gt;"ON",$B95=""),"",BDP($B95,"GICS_SECTOR_NAME"))</f>
        <v/>
      </c>
    </row>
    <row r="96" spans="2:4">
      <c r="B96">
        <f>IF(TRIM(A96&amp;"")="","",IF(RIGHT(TRIM(A96),7)=" Equity",TRIM(A96),TRIM(A96)&amp;" Equity"))</f>
        <v/>
      </c>
      <c r="C96">
        <f>IF(OR(SwitchUniverse&lt;&gt;"ON",$B96=""),"",BDP($B96,"NAME"))</f>
        <v/>
      </c>
      <c r="D96">
        <f>IF(OR(SwitchUniverse&lt;&gt;"ON",$B96=""),"",BDP($B96,"GICS_SECTOR_NAME"))</f>
        <v/>
      </c>
    </row>
    <row r="97" spans="2:4">
      <c r="B97">
        <f>IF(TRIM(A97&amp;"")="","",IF(RIGHT(TRIM(A97),7)=" Equity",TRIM(A97),TRIM(A97)&amp;" Equity"))</f>
        <v/>
      </c>
      <c r="C97">
        <f>IF(OR(SwitchUniverse&lt;&gt;"ON",$B97=""),"",BDP($B97,"NAME"))</f>
        <v/>
      </c>
      <c r="D97">
        <f>IF(OR(SwitchUniverse&lt;&gt;"ON",$B97=""),"",BDP($B97,"GICS_SECTOR_NAME"))</f>
        <v/>
      </c>
    </row>
    <row r="98" spans="2:4">
      <c r="B98">
        <f>IF(TRIM(A98&amp;"")="","",IF(RIGHT(TRIM(A98),7)=" Equity",TRIM(A98),TRIM(A98)&amp;" Equity"))</f>
        <v/>
      </c>
      <c r="C98">
        <f>IF(OR(SwitchUniverse&lt;&gt;"ON",$B98=""),"",BDP($B98,"NAME"))</f>
        <v/>
      </c>
      <c r="D98">
        <f>IF(OR(SwitchUniverse&lt;&gt;"ON",$B98=""),"",BDP($B98,"GICS_SECTOR_NAME"))</f>
        <v/>
      </c>
    </row>
    <row r="99" spans="2:4">
      <c r="B99">
        <f>IF(TRIM(A99&amp;"")="","",IF(RIGHT(TRIM(A99),7)=" Equity",TRIM(A99),TRIM(A99)&amp;" Equity"))</f>
        <v/>
      </c>
      <c r="C99">
        <f>IF(OR(SwitchUniverse&lt;&gt;"ON",$B99=""),"",BDP($B99,"NAME"))</f>
        <v/>
      </c>
      <c r="D99">
        <f>IF(OR(SwitchUniverse&lt;&gt;"ON",$B99=""),"",BDP($B99,"GICS_SECTOR_NAME"))</f>
        <v/>
      </c>
    </row>
    <row r="100" spans="2:4">
      <c r="B100">
        <f>IF(TRIM(A100&amp;"")="","",IF(RIGHT(TRIM(A100),7)=" Equity",TRIM(A100),TRIM(A100)&amp;" Equity"))</f>
        <v/>
      </c>
      <c r="C100">
        <f>IF(OR(SwitchUniverse&lt;&gt;"ON",$B100=""),"",BDP($B100,"NAME"))</f>
        <v/>
      </c>
      <c r="D100">
        <f>IF(OR(SwitchUniverse&lt;&gt;"ON",$B100=""),"",BDP($B100,"GICS_SECTOR_NAME"))</f>
        <v/>
      </c>
    </row>
    <row r="101" spans="2:4">
      <c r="B101">
        <f>IF(TRIM(A101&amp;"")="","",IF(RIGHT(TRIM(A101),7)=" Equity",TRIM(A101),TRIM(A101)&amp;" Equity"))</f>
        <v/>
      </c>
      <c r="C101">
        <f>IF(OR(SwitchUniverse&lt;&gt;"ON",$B101=""),"",BDP($B101,"NAME"))</f>
        <v/>
      </c>
      <c r="D101">
        <f>IF(OR(SwitchUniverse&lt;&gt;"ON",$B101=""),"",BDP($B101,"GICS_SECTOR_NAME"))</f>
        <v/>
      </c>
    </row>
    <row r="102" spans="2:4">
      <c r="B102">
        <f>IF(TRIM(A102&amp;"")="","",IF(RIGHT(TRIM(A102),7)=" Equity",TRIM(A102),TRIM(A102)&amp;" Equity"))</f>
        <v/>
      </c>
      <c r="C102">
        <f>IF(OR(SwitchUniverse&lt;&gt;"ON",$B102=""),"",BDP($B102,"NAME"))</f>
        <v/>
      </c>
      <c r="D102">
        <f>IF(OR(SwitchUniverse&lt;&gt;"ON",$B102=""),"",BDP($B102,"GICS_SECTOR_NAME"))</f>
        <v/>
      </c>
    </row>
    <row r="103" spans="2:4">
      <c r="B103">
        <f>IF(TRIM(A103&amp;"")="","",IF(RIGHT(TRIM(A103),7)=" Equity",TRIM(A103),TRIM(A103)&amp;" Equity"))</f>
        <v/>
      </c>
      <c r="C103">
        <f>IF(OR(SwitchUniverse&lt;&gt;"ON",$B103=""),"",BDP($B103,"NAME"))</f>
        <v/>
      </c>
      <c r="D103">
        <f>IF(OR(SwitchUniverse&lt;&gt;"ON",$B103=""),"",BDP($B103,"GICS_SECTOR_NAME"))</f>
        <v/>
      </c>
    </row>
    <row r="104" spans="2:4">
      <c r="B104">
        <f>IF(TRIM(A104&amp;"")="","",IF(RIGHT(TRIM(A104),7)=" Equity",TRIM(A104),TRIM(A104)&amp;" Equity"))</f>
        <v/>
      </c>
      <c r="C104">
        <f>IF(OR(SwitchUniverse&lt;&gt;"ON",$B104=""),"",BDP($B104,"NAME"))</f>
        <v/>
      </c>
      <c r="D104">
        <f>IF(OR(SwitchUniverse&lt;&gt;"ON",$B104=""),"",BDP($B104,"GICS_SECTOR_NAME"))</f>
        <v/>
      </c>
    </row>
    <row r="105" spans="2:4">
      <c r="B105">
        <f>IF(TRIM(A105&amp;"")="","",IF(RIGHT(TRIM(A105),7)=" Equity",TRIM(A105),TRIM(A105)&amp;" Equity"))</f>
        <v/>
      </c>
      <c r="C105">
        <f>IF(OR(SwitchUniverse&lt;&gt;"ON",$B105=""),"",BDP($B105,"NAME"))</f>
        <v/>
      </c>
      <c r="D105">
        <f>IF(OR(SwitchUniverse&lt;&gt;"ON",$B105=""),"",BDP($B105,"GICS_SECTOR_NAME"))</f>
        <v/>
      </c>
    </row>
    <row r="106" spans="2:4">
      <c r="B106">
        <f>IF(TRIM(A106&amp;"")="","",IF(RIGHT(TRIM(A106),7)=" Equity",TRIM(A106),TRIM(A106)&amp;" Equity"))</f>
        <v/>
      </c>
      <c r="C106">
        <f>IF(OR(SwitchUniverse&lt;&gt;"ON",$B106=""),"",BDP($B106,"NAME"))</f>
        <v/>
      </c>
      <c r="D106">
        <f>IF(OR(SwitchUniverse&lt;&gt;"ON",$B106=""),"",BDP($B106,"GICS_SECTOR_NAME"))</f>
        <v/>
      </c>
    </row>
    <row r="107" spans="2:4">
      <c r="B107">
        <f>IF(TRIM(A107&amp;"")="","",IF(RIGHT(TRIM(A107),7)=" Equity",TRIM(A107),TRIM(A107)&amp;" Equity"))</f>
        <v/>
      </c>
      <c r="C107">
        <f>IF(OR(SwitchUniverse&lt;&gt;"ON",$B107=""),"",BDP($B107,"NAME"))</f>
        <v/>
      </c>
      <c r="D107">
        <f>IF(OR(SwitchUniverse&lt;&gt;"ON",$B107=""),"",BDP($B107,"GICS_SECTOR_NAME"))</f>
        <v/>
      </c>
    </row>
    <row r="108" spans="2:4">
      <c r="B108">
        <f>IF(TRIM(A108&amp;"")="","",IF(RIGHT(TRIM(A108),7)=" Equity",TRIM(A108),TRIM(A108)&amp;" Equity"))</f>
        <v/>
      </c>
      <c r="C108">
        <f>IF(OR(SwitchUniverse&lt;&gt;"ON",$B108=""),"",BDP($B108,"NAME"))</f>
        <v/>
      </c>
      <c r="D108">
        <f>IF(OR(SwitchUniverse&lt;&gt;"ON",$B108=""),"",BDP($B108,"GICS_SECTOR_NAME"))</f>
        <v/>
      </c>
    </row>
    <row r="109" spans="2:4">
      <c r="B109">
        <f>IF(TRIM(A109&amp;"")="","",IF(RIGHT(TRIM(A109),7)=" Equity",TRIM(A109),TRIM(A109)&amp;" Equity"))</f>
        <v/>
      </c>
      <c r="C109">
        <f>IF(OR(SwitchUniverse&lt;&gt;"ON",$B109=""),"",BDP($B109,"NAME"))</f>
        <v/>
      </c>
      <c r="D109">
        <f>IF(OR(SwitchUniverse&lt;&gt;"ON",$B109=""),"",BDP($B109,"GICS_SECTOR_NAME"))</f>
        <v/>
      </c>
    </row>
    <row r="110" spans="2:4">
      <c r="B110">
        <f>IF(TRIM(A110&amp;"")="","",IF(RIGHT(TRIM(A110),7)=" Equity",TRIM(A110),TRIM(A110)&amp;" Equity"))</f>
        <v/>
      </c>
      <c r="C110">
        <f>IF(OR(SwitchUniverse&lt;&gt;"ON",$B110=""),"",BDP($B110,"NAME"))</f>
        <v/>
      </c>
      <c r="D110">
        <f>IF(OR(SwitchUniverse&lt;&gt;"ON",$B110=""),"",BDP($B110,"GICS_SECTOR_NAME"))</f>
        <v/>
      </c>
    </row>
    <row r="111" spans="2:4">
      <c r="B111">
        <f>IF(TRIM(A111&amp;"")="","",IF(RIGHT(TRIM(A111),7)=" Equity",TRIM(A111),TRIM(A111)&amp;" Equity"))</f>
        <v/>
      </c>
      <c r="C111">
        <f>IF(OR(SwitchUniverse&lt;&gt;"ON",$B111=""),"",BDP($B111,"NAME"))</f>
        <v/>
      </c>
      <c r="D111">
        <f>IF(OR(SwitchUniverse&lt;&gt;"ON",$B111=""),"",BDP($B111,"GICS_SECTOR_NAME"))</f>
        <v/>
      </c>
    </row>
    <row r="112" spans="2:4">
      <c r="B112">
        <f>IF(TRIM(A112&amp;"")="","",IF(RIGHT(TRIM(A112),7)=" Equity",TRIM(A112),TRIM(A112)&amp;" Equity"))</f>
        <v/>
      </c>
      <c r="C112">
        <f>IF(OR(SwitchUniverse&lt;&gt;"ON",$B112=""),"",BDP($B112,"NAME"))</f>
        <v/>
      </c>
      <c r="D112">
        <f>IF(OR(SwitchUniverse&lt;&gt;"ON",$B112=""),"",BDP($B112,"GICS_SECTOR_NAME"))</f>
        <v/>
      </c>
    </row>
    <row r="113" spans="2:4">
      <c r="B113">
        <f>IF(TRIM(A113&amp;"")="","",IF(RIGHT(TRIM(A113),7)=" Equity",TRIM(A113),TRIM(A113)&amp;" Equity"))</f>
        <v/>
      </c>
      <c r="C113">
        <f>IF(OR(SwitchUniverse&lt;&gt;"ON",$B113=""),"",BDP($B113,"NAME"))</f>
        <v/>
      </c>
      <c r="D113">
        <f>IF(OR(SwitchUniverse&lt;&gt;"ON",$B113=""),"",BDP($B113,"GICS_SECTOR_NAME"))</f>
        <v/>
      </c>
    </row>
    <row r="114" spans="2:4">
      <c r="B114">
        <f>IF(TRIM(A114&amp;"")="","",IF(RIGHT(TRIM(A114),7)=" Equity",TRIM(A114),TRIM(A114)&amp;" Equity"))</f>
        <v/>
      </c>
      <c r="C114">
        <f>IF(OR(SwitchUniverse&lt;&gt;"ON",$B114=""),"",BDP($B114,"NAME"))</f>
        <v/>
      </c>
      <c r="D114">
        <f>IF(OR(SwitchUniverse&lt;&gt;"ON",$B114=""),"",BDP($B114,"GICS_SECTOR_NAME"))</f>
        <v/>
      </c>
    </row>
    <row r="115" spans="2:4">
      <c r="B115">
        <f>IF(TRIM(A115&amp;"")="","",IF(RIGHT(TRIM(A115),7)=" Equity",TRIM(A115),TRIM(A115)&amp;" Equity"))</f>
        <v/>
      </c>
      <c r="C115">
        <f>IF(OR(SwitchUniverse&lt;&gt;"ON",$B115=""),"",BDP($B115,"NAME"))</f>
        <v/>
      </c>
      <c r="D115">
        <f>IF(OR(SwitchUniverse&lt;&gt;"ON",$B115=""),"",BDP($B115,"GICS_SECTOR_NAME"))</f>
        <v/>
      </c>
    </row>
    <row r="116" spans="2:4">
      <c r="B116">
        <f>IF(TRIM(A116&amp;"")="","",IF(RIGHT(TRIM(A116),7)=" Equity",TRIM(A116),TRIM(A116)&amp;" Equity"))</f>
        <v/>
      </c>
      <c r="C116">
        <f>IF(OR(SwitchUniverse&lt;&gt;"ON",$B116=""),"",BDP($B116,"NAME"))</f>
        <v/>
      </c>
      <c r="D116">
        <f>IF(OR(SwitchUniverse&lt;&gt;"ON",$B116=""),"",BDP($B116,"GICS_SECTOR_NAME"))</f>
        <v/>
      </c>
    </row>
    <row r="117" spans="2:4">
      <c r="B117">
        <f>IF(TRIM(A117&amp;"")="","",IF(RIGHT(TRIM(A117),7)=" Equity",TRIM(A117),TRIM(A117)&amp;" Equity"))</f>
        <v/>
      </c>
      <c r="C117">
        <f>IF(OR(SwitchUniverse&lt;&gt;"ON",$B117=""),"",BDP($B117,"NAME"))</f>
        <v/>
      </c>
      <c r="D117">
        <f>IF(OR(SwitchUniverse&lt;&gt;"ON",$B117=""),"",BDP($B117,"GICS_SECTOR_NAME"))</f>
        <v/>
      </c>
    </row>
    <row r="118" spans="2:4">
      <c r="B118">
        <f>IF(TRIM(A118&amp;"")="","",IF(RIGHT(TRIM(A118),7)=" Equity",TRIM(A118),TRIM(A118)&amp;" Equity"))</f>
        <v/>
      </c>
      <c r="C118">
        <f>IF(OR(SwitchUniverse&lt;&gt;"ON",$B118=""),"",BDP($B118,"NAME"))</f>
        <v/>
      </c>
      <c r="D118">
        <f>IF(OR(SwitchUniverse&lt;&gt;"ON",$B118=""),"",BDP($B118,"GICS_SECTOR_NAME"))</f>
        <v/>
      </c>
    </row>
    <row r="119" spans="2:4">
      <c r="B119">
        <f>IF(TRIM(A119&amp;"")="","",IF(RIGHT(TRIM(A119),7)=" Equity",TRIM(A119),TRIM(A119)&amp;" Equity"))</f>
        <v/>
      </c>
      <c r="C119">
        <f>IF(OR(SwitchUniverse&lt;&gt;"ON",$B119=""),"",BDP($B119,"NAME"))</f>
        <v/>
      </c>
      <c r="D119">
        <f>IF(OR(SwitchUniverse&lt;&gt;"ON",$B119=""),"",BDP($B119,"GICS_SECTOR_NAME"))</f>
        <v/>
      </c>
    </row>
    <row r="120" spans="2:4">
      <c r="B120">
        <f>IF(TRIM(A120&amp;"")="","",IF(RIGHT(TRIM(A120),7)=" Equity",TRIM(A120),TRIM(A120)&amp;" Equity"))</f>
        <v/>
      </c>
      <c r="C120">
        <f>IF(OR(SwitchUniverse&lt;&gt;"ON",$B120=""),"",BDP($B120,"NAME"))</f>
        <v/>
      </c>
      <c r="D120">
        <f>IF(OR(SwitchUniverse&lt;&gt;"ON",$B120=""),"",BDP($B120,"GICS_SECTOR_NAME"))</f>
        <v/>
      </c>
    </row>
    <row r="121" spans="2:4">
      <c r="B121">
        <f>IF(TRIM(A121&amp;"")="","",IF(RIGHT(TRIM(A121),7)=" Equity",TRIM(A121),TRIM(A121)&amp;" Equity"))</f>
        <v/>
      </c>
      <c r="C121">
        <f>IF(OR(SwitchUniverse&lt;&gt;"ON",$B121=""),"",BDP($B121,"NAME"))</f>
        <v/>
      </c>
      <c r="D121">
        <f>IF(OR(SwitchUniverse&lt;&gt;"ON",$B121=""),"",BDP($B121,"GICS_SECTOR_NAME"))</f>
        <v/>
      </c>
    </row>
    <row r="122" spans="2:4">
      <c r="B122">
        <f>IF(TRIM(A122&amp;"")="","",IF(RIGHT(TRIM(A122),7)=" Equity",TRIM(A122),TRIM(A122)&amp;" Equity"))</f>
        <v/>
      </c>
      <c r="C122">
        <f>IF(OR(SwitchUniverse&lt;&gt;"ON",$B122=""),"",BDP($B122,"NAME"))</f>
        <v/>
      </c>
      <c r="D122">
        <f>IF(OR(SwitchUniverse&lt;&gt;"ON",$B122=""),"",BDP($B122,"GICS_SECTOR_NAME"))</f>
        <v/>
      </c>
    </row>
    <row r="123" spans="2:4">
      <c r="B123">
        <f>IF(TRIM(A123&amp;"")="","",IF(RIGHT(TRIM(A123),7)=" Equity",TRIM(A123),TRIM(A123)&amp;" Equity"))</f>
        <v/>
      </c>
      <c r="C123">
        <f>IF(OR(SwitchUniverse&lt;&gt;"ON",$B123=""),"",BDP($B123,"NAME"))</f>
        <v/>
      </c>
      <c r="D123">
        <f>IF(OR(SwitchUniverse&lt;&gt;"ON",$B123=""),"",BDP($B123,"GICS_SECTOR_NAME"))</f>
        <v/>
      </c>
    </row>
    <row r="124" spans="2:4">
      <c r="B124">
        <f>IF(TRIM(A124&amp;"")="","",IF(RIGHT(TRIM(A124),7)=" Equity",TRIM(A124),TRIM(A124)&amp;" Equity"))</f>
        <v/>
      </c>
      <c r="C124">
        <f>IF(OR(SwitchUniverse&lt;&gt;"ON",$B124=""),"",BDP($B124,"NAME"))</f>
        <v/>
      </c>
      <c r="D124">
        <f>IF(OR(SwitchUniverse&lt;&gt;"ON",$B124=""),"",BDP($B124,"GICS_SECTOR_NAME"))</f>
        <v/>
      </c>
    </row>
    <row r="125" spans="2:4">
      <c r="B125">
        <f>IF(TRIM(A125&amp;"")="","",IF(RIGHT(TRIM(A125),7)=" Equity",TRIM(A125),TRIM(A125)&amp;" Equity"))</f>
        <v/>
      </c>
      <c r="C125">
        <f>IF(OR(SwitchUniverse&lt;&gt;"ON",$B125=""),"",BDP($B125,"NAME"))</f>
        <v/>
      </c>
      <c r="D125">
        <f>IF(OR(SwitchUniverse&lt;&gt;"ON",$B125=""),"",BDP($B125,"GICS_SECTOR_NAME"))</f>
        <v/>
      </c>
    </row>
    <row r="126" spans="2:4">
      <c r="B126">
        <f>IF(TRIM(A126&amp;"")="","",IF(RIGHT(TRIM(A126),7)=" Equity",TRIM(A126),TRIM(A126)&amp;" Equity"))</f>
        <v/>
      </c>
      <c r="C126">
        <f>IF(OR(SwitchUniverse&lt;&gt;"ON",$B126=""),"",BDP($B126,"NAME"))</f>
        <v/>
      </c>
      <c r="D126">
        <f>IF(OR(SwitchUniverse&lt;&gt;"ON",$B126=""),"",BDP($B126,"GICS_SECTOR_NAME"))</f>
        <v/>
      </c>
    </row>
    <row r="127" spans="2:4">
      <c r="B127">
        <f>IF(TRIM(A127&amp;"")="","",IF(RIGHT(TRIM(A127),7)=" Equity",TRIM(A127),TRIM(A127)&amp;" Equity"))</f>
        <v/>
      </c>
      <c r="C127">
        <f>IF(OR(SwitchUniverse&lt;&gt;"ON",$B127=""),"",BDP($B127,"NAME"))</f>
        <v/>
      </c>
      <c r="D127">
        <f>IF(OR(SwitchUniverse&lt;&gt;"ON",$B127=""),"",BDP($B127,"GICS_SECTOR_NAME"))</f>
        <v/>
      </c>
    </row>
    <row r="128" spans="2:4">
      <c r="B128">
        <f>IF(TRIM(A128&amp;"")="","",IF(RIGHT(TRIM(A128),7)=" Equity",TRIM(A128),TRIM(A128)&amp;" Equity"))</f>
        <v/>
      </c>
      <c r="C128">
        <f>IF(OR(SwitchUniverse&lt;&gt;"ON",$B128=""),"",BDP($B128,"NAME"))</f>
        <v/>
      </c>
      <c r="D128">
        <f>IF(OR(SwitchUniverse&lt;&gt;"ON",$B128=""),"",BDP($B128,"GICS_SECTOR_NAME"))</f>
        <v/>
      </c>
    </row>
    <row r="129" spans="2:4">
      <c r="B129">
        <f>IF(TRIM(A129&amp;"")="","",IF(RIGHT(TRIM(A129),7)=" Equity",TRIM(A129),TRIM(A129)&amp;" Equity"))</f>
        <v/>
      </c>
      <c r="C129">
        <f>IF(OR(SwitchUniverse&lt;&gt;"ON",$B129=""),"",BDP($B129,"NAME"))</f>
        <v/>
      </c>
      <c r="D129">
        <f>IF(OR(SwitchUniverse&lt;&gt;"ON",$B129=""),"",BDP($B129,"GICS_SECTOR_NAME"))</f>
        <v/>
      </c>
    </row>
    <row r="130" spans="2:4">
      <c r="B130">
        <f>IF(TRIM(A130&amp;"")="","",IF(RIGHT(TRIM(A130),7)=" Equity",TRIM(A130),TRIM(A130)&amp;" Equity"))</f>
        <v/>
      </c>
      <c r="C130">
        <f>IF(OR(SwitchUniverse&lt;&gt;"ON",$B130=""),"",BDP($B130,"NAME"))</f>
        <v/>
      </c>
      <c r="D130">
        <f>IF(OR(SwitchUniverse&lt;&gt;"ON",$B130=""),"",BDP($B130,"GICS_SECTOR_NAME"))</f>
        <v/>
      </c>
    </row>
    <row r="131" spans="2:4">
      <c r="B131">
        <f>IF(TRIM(A131&amp;"")="","",IF(RIGHT(TRIM(A131),7)=" Equity",TRIM(A131),TRIM(A131)&amp;" Equity"))</f>
        <v/>
      </c>
      <c r="C131">
        <f>IF(OR(SwitchUniverse&lt;&gt;"ON",$B131=""),"",BDP($B131,"NAME"))</f>
        <v/>
      </c>
      <c r="D131">
        <f>IF(OR(SwitchUniverse&lt;&gt;"ON",$B131=""),"",BDP($B131,"GICS_SECTOR_NAME"))</f>
        <v/>
      </c>
    </row>
    <row r="132" spans="2:4">
      <c r="B132">
        <f>IF(TRIM(A132&amp;"")="","",IF(RIGHT(TRIM(A132),7)=" Equity",TRIM(A132),TRIM(A132)&amp;" Equity"))</f>
        <v/>
      </c>
      <c r="C132">
        <f>IF(OR(SwitchUniverse&lt;&gt;"ON",$B132=""),"",BDP($B132,"NAME"))</f>
        <v/>
      </c>
      <c r="D132">
        <f>IF(OR(SwitchUniverse&lt;&gt;"ON",$B132=""),"",BDP($B132,"GICS_SECTOR_NAME"))</f>
        <v/>
      </c>
    </row>
    <row r="133" spans="2:4">
      <c r="B133">
        <f>IF(TRIM(A133&amp;"")="","",IF(RIGHT(TRIM(A133),7)=" Equity",TRIM(A133),TRIM(A133)&amp;" Equity"))</f>
        <v/>
      </c>
      <c r="C133">
        <f>IF(OR(SwitchUniverse&lt;&gt;"ON",$B133=""),"",BDP($B133,"NAME"))</f>
        <v/>
      </c>
      <c r="D133">
        <f>IF(OR(SwitchUniverse&lt;&gt;"ON",$B133=""),"",BDP($B133,"GICS_SECTOR_NAME"))</f>
        <v/>
      </c>
    </row>
    <row r="134" spans="2:4">
      <c r="B134">
        <f>IF(TRIM(A134&amp;"")="","",IF(RIGHT(TRIM(A134),7)=" Equity",TRIM(A134),TRIM(A134)&amp;" Equity"))</f>
        <v/>
      </c>
      <c r="C134">
        <f>IF(OR(SwitchUniverse&lt;&gt;"ON",$B134=""),"",BDP($B134,"NAME"))</f>
        <v/>
      </c>
      <c r="D134">
        <f>IF(OR(SwitchUniverse&lt;&gt;"ON",$B134=""),"",BDP($B134,"GICS_SECTOR_NAME"))</f>
        <v/>
      </c>
    </row>
    <row r="135" spans="2:4">
      <c r="B135">
        <f>IF(TRIM(A135&amp;"")="","",IF(RIGHT(TRIM(A135),7)=" Equity",TRIM(A135),TRIM(A135)&amp;" Equity"))</f>
        <v/>
      </c>
      <c r="C135">
        <f>IF(OR(SwitchUniverse&lt;&gt;"ON",$B135=""),"",BDP($B135,"NAME"))</f>
        <v/>
      </c>
      <c r="D135">
        <f>IF(OR(SwitchUniverse&lt;&gt;"ON",$B135=""),"",BDP($B135,"GICS_SECTOR_NAME"))</f>
        <v/>
      </c>
    </row>
    <row r="136" spans="2:4">
      <c r="B136">
        <f>IF(TRIM(A136&amp;"")="","",IF(RIGHT(TRIM(A136),7)=" Equity",TRIM(A136),TRIM(A136)&amp;" Equity"))</f>
        <v/>
      </c>
      <c r="C136">
        <f>IF(OR(SwitchUniverse&lt;&gt;"ON",$B136=""),"",BDP($B136,"NAME"))</f>
        <v/>
      </c>
      <c r="D136">
        <f>IF(OR(SwitchUniverse&lt;&gt;"ON",$B136=""),"",BDP($B136,"GICS_SECTOR_NAME"))</f>
        <v/>
      </c>
    </row>
    <row r="137" spans="2:4">
      <c r="B137">
        <f>IF(TRIM(A137&amp;"")="","",IF(RIGHT(TRIM(A137),7)=" Equity",TRIM(A137),TRIM(A137)&amp;" Equity"))</f>
        <v/>
      </c>
      <c r="C137">
        <f>IF(OR(SwitchUniverse&lt;&gt;"ON",$B137=""),"",BDP($B137,"NAME"))</f>
        <v/>
      </c>
      <c r="D137">
        <f>IF(OR(SwitchUniverse&lt;&gt;"ON",$B137=""),"",BDP($B137,"GICS_SECTOR_NAME"))</f>
        <v/>
      </c>
    </row>
    <row r="138" spans="2:4">
      <c r="B138">
        <f>IF(TRIM(A138&amp;"")="","",IF(RIGHT(TRIM(A138),7)=" Equity",TRIM(A138),TRIM(A138)&amp;" Equity"))</f>
        <v/>
      </c>
      <c r="C138">
        <f>IF(OR(SwitchUniverse&lt;&gt;"ON",$B138=""),"",BDP($B138,"NAME"))</f>
        <v/>
      </c>
      <c r="D138">
        <f>IF(OR(SwitchUniverse&lt;&gt;"ON",$B138=""),"",BDP($B138,"GICS_SECTOR_NAME"))</f>
        <v/>
      </c>
    </row>
    <row r="139" spans="2:4">
      <c r="B139">
        <f>IF(TRIM(A139&amp;"")="","",IF(RIGHT(TRIM(A139),7)=" Equity",TRIM(A139),TRIM(A139)&amp;" Equity"))</f>
        <v/>
      </c>
      <c r="C139">
        <f>IF(OR(SwitchUniverse&lt;&gt;"ON",$B139=""),"",BDP($B139,"NAME"))</f>
        <v/>
      </c>
      <c r="D139">
        <f>IF(OR(SwitchUniverse&lt;&gt;"ON",$B139=""),"",BDP($B139,"GICS_SECTOR_NAME"))</f>
        <v/>
      </c>
    </row>
    <row r="140" spans="2:4">
      <c r="B140">
        <f>IF(TRIM(A140&amp;"")="","",IF(RIGHT(TRIM(A140),7)=" Equity",TRIM(A140),TRIM(A140)&amp;" Equity"))</f>
        <v/>
      </c>
      <c r="C140">
        <f>IF(OR(SwitchUniverse&lt;&gt;"ON",$B140=""),"",BDP($B140,"NAME"))</f>
        <v/>
      </c>
      <c r="D140">
        <f>IF(OR(SwitchUniverse&lt;&gt;"ON",$B140=""),"",BDP($B140,"GICS_SECTOR_NAME"))</f>
        <v/>
      </c>
    </row>
    <row r="141" spans="2:4">
      <c r="B141">
        <f>IF(TRIM(A141&amp;"")="","",IF(RIGHT(TRIM(A141),7)=" Equity",TRIM(A141),TRIM(A141)&amp;" Equity"))</f>
        <v/>
      </c>
      <c r="C141">
        <f>IF(OR(SwitchUniverse&lt;&gt;"ON",$B141=""),"",BDP($B141,"NAME"))</f>
        <v/>
      </c>
      <c r="D141">
        <f>IF(OR(SwitchUniverse&lt;&gt;"ON",$B141=""),"",BDP($B141,"GICS_SECTOR_NAME"))</f>
        <v/>
      </c>
    </row>
    <row r="142" spans="2:4">
      <c r="B142">
        <f>IF(TRIM(A142&amp;"")="","",IF(RIGHT(TRIM(A142),7)=" Equity",TRIM(A142),TRIM(A142)&amp;" Equity"))</f>
        <v/>
      </c>
      <c r="C142">
        <f>IF(OR(SwitchUniverse&lt;&gt;"ON",$B142=""),"",BDP($B142,"NAME"))</f>
        <v/>
      </c>
      <c r="D142">
        <f>IF(OR(SwitchUniverse&lt;&gt;"ON",$B142=""),"",BDP($B142,"GICS_SECTOR_NAME"))</f>
        <v/>
      </c>
    </row>
    <row r="143" spans="2:4">
      <c r="B143">
        <f>IF(TRIM(A143&amp;"")="","",IF(RIGHT(TRIM(A143),7)=" Equity",TRIM(A143),TRIM(A143)&amp;" Equity"))</f>
        <v/>
      </c>
      <c r="C143">
        <f>IF(OR(SwitchUniverse&lt;&gt;"ON",$B143=""),"",BDP($B143,"NAME"))</f>
        <v/>
      </c>
      <c r="D143">
        <f>IF(OR(SwitchUniverse&lt;&gt;"ON",$B143=""),"",BDP($B143,"GICS_SECTOR_NAME"))</f>
        <v/>
      </c>
    </row>
    <row r="144" spans="2:4">
      <c r="B144">
        <f>IF(TRIM(A144&amp;"")="","",IF(RIGHT(TRIM(A144),7)=" Equity",TRIM(A144),TRIM(A144)&amp;" Equity"))</f>
        <v/>
      </c>
      <c r="C144">
        <f>IF(OR(SwitchUniverse&lt;&gt;"ON",$B144=""),"",BDP($B144,"NAME"))</f>
        <v/>
      </c>
      <c r="D144">
        <f>IF(OR(SwitchUniverse&lt;&gt;"ON",$B144=""),"",BDP($B144,"GICS_SECTOR_NAME"))</f>
        <v/>
      </c>
    </row>
    <row r="145" spans="2:4">
      <c r="B145">
        <f>IF(TRIM(A145&amp;"")="","",IF(RIGHT(TRIM(A145),7)=" Equity",TRIM(A145),TRIM(A145)&amp;" Equity"))</f>
        <v/>
      </c>
      <c r="C145">
        <f>IF(OR(SwitchUniverse&lt;&gt;"ON",$B145=""),"",BDP($B145,"NAME"))</f>
        <v/>
      </c>
      <c r="D145">
        <f>IF(OR(SwitchUniverse&lt;&gt;"ON",$B145=""),"",BDP($B145,"GICS_SECTOR_NAME"))</f>
        <v/>
      </c>
    </row>
    <row r="146" spans="2:4">
      <c r="B146">
        <f>IF(TRIM(A146&amp;"")="","",IF(RIGHT(TRIM(A146),7)=" Equity",TRIM(A146),TRIM(A146)&amp;" Equity"))</f>
        <v/>
      </c>
      <c r="C146">
        <f>IF(OR(SwitchUniverse&lt;&gt;"ON",$B146=""),"",BDP($B146,"NAME"))</f>
        <v/>
      </c>
      <c r="D146">
        <f>IF(OR(SwitchUniverse&lt;&gt;"ON",$B146=""),"",BDP($B146,"GICS_SECTOR_NAME"))</f>
        <v/>
      </c>
    </row>
    <row r="147" spans="2:4">
      <c r="B147">
        <f>IF(TRIM(A147&amp;"")="","",IF(RIGHT(TRIM(A147),7)=" Equity",TRIM(A147),TRIM(A147)&amp;" Equity"))</f>
        <v/>
      </c>
      <c r="C147">
        <f>IF(OR(SwitchUniverse&lt;&gt;"ON",$B147=""),"",BDP($B147,"NAME"))</f>
        <v/>
      </c>
      <c r="D147">
        <f>IF(OR(SwitchUniverse&lt;&gt;"ON",$B147=""),"",BDP($B147,"GICS_SECTOR_NAME"))</f>
        <v/>
      </c>
    </row>
    <row r="148" spans="2:4">
      <c r="B148">
        <f>IF(TRIM(A148&amp;"")="","",IF(RIGHT(TRIM(A148),7)=" Equity",TRIM(A148),TRIM(A148)&amp;" Equity"))</f>
        <v/>
      </c>
      <c r="C148">
        <f>IF(OR(SwitchUniverse&lt;&gt;"ON",$B148=""),"",BDP($B148,"NAME"))</f>
        <v/>
      </c>
      <c r="D148">
        <f>IF(OR(SwitchUniverse&lt;&gt;"ON",$B148=""),"",BDP($B148,"GICS_SECTOR_NAME"))</f>
        <v/>
      </c>
    </row>
    <row r="149" spans="2:4">
      <c r="B149">
        <f>IF(TRIM(A149&amp;"")="","",IF(RIGHT(TRIM(A149),7)=" Equity",TRIM(A149),TRIM(A149)&amp;" Equity"))</f>
        <v/>
      </c>
      <c r="C149">
        <f>IF(OR(SwitchUniverse&lt;&gt;"ON",$B149=""),"",BDP($B149,"NAME"))</f>
        <v/>
      </c>
      <c r="D149">
        <f>IF(OR(SwitchUniverse&lt;&gt;"ON",$B149=""),"",BDP($B149,"GICS_SECTOR_NAME"))</f>
        <v/>
      </c>
    </row>
    <row r="150" spans="2:4">
      <c r="B150">
        <f>IF(TRIM(A150&amp;"")="","",IF(RIGHT(TRIM(A150),7)=" Equity",TRIM(A150),TRIM(A150)&amp;" Equity"))</f>
        <v/>
      </c>
      <c r="C150">
        <f>IF(OR(SwitchUniverse&lt;&gt;"ON",$B150=""),"",BDP($B150,"NAME"))</f>
        <v/>
      </c>
      <c r="D150">
        <f>IF(OR(SwitchUniverse&lt;&gt;"ON",$B150=""),"",BDP($B150,"GICS_SECTOR_NAME"))</f>
        <v/>
      </c>
    </row>
    <row r="151" spans="2:4">
      <c r="B151">
        <f>IF(TRIM(A151&amp;"")="","",IF(RIGHT(TRIM(A151),7)=" Equity",TRIM(A151),TRIM(A151)&amp;" Equity"))</f>
        <v/>
      </c>
      <c r="C151">
        <f>IF(OR(SwitchUniverse&lt;&gt;"ON",$B151=""),"",BDP($B151,"NAME"))</f>
        <v/>
      </c>
      <c r="D151">
        <f>IF(OR(SwitchUniverse&lt;&gt;"ON",$B151=""),"",BDP($B151,"GICS_SECTOR_NAME"))</f>
        <v/>
      </c>
    </row>
    <row r="152" spans="2:4">
      <c r="B152">
        <f>IF(TRIM(A152&amp;"")="","",IF(RIGHT(TRIM(A152),7)=" Equity",TRIM(A152),TRIM(A152)&amp;" Equity"))</f>
        <v/>
      </c>
      <c r="C152">
        <f>IF(OR(SwitchUniverse&lt;&gt;"ON",$B152=""),"",BDP($B152,"NAME"))</f>
        <v/>
      </c>
      <c r="D152">
        <f>IF(OR(SwitchUniverse&lt;&gt;"ON",$B152=""),"",BDP($B152,"GICS_SECTOR_NAME"))</f>
        <v/>
      </c>
    </row>
    <row r="153" spans="2:4">
      <c r="B153">
        <f>IF(TRIM(A153&amp;"")="","",IF(RIGHT(TRIM(A153),7)=" Equity",TRIM(A153),TRIM(A153)&amp;" Equity"))</f>
        <v/>
      </c>
      <c r="C153">
        <f>IF(OR(SwitchUniverse&lt;&gt;"ON",$B153=""),"",BDP($B153,"NAME"))</f>
        <v/>
      </c>
      <c r="D153">
        <f>IF(OR(SwitchUniverse&lt;&gt;"ON",$B153=""),"",BDP($B153,"GICS_SECTOR_NAME"))</f>
        <v/>
      </c>
    </row>
    <row r="154" spans="2:4">
      <c r="B154">
        <f>IF(TRIM(A154&amp;"")="","",IF(RIGHT(TRIM(A154),7)=" Equity",TRIM(A154),TRIM(A154)&amp;" Equity"))</f>
        <v/>
      </c>
      <c r="C154">
        <f>IF(OR(SwitchUniverse&lt;&gt;"ON",$B154=""),"",BDP($B154,"NAME"))</f>
        <v/>
      </c>
      <c r="D154">
        <f>IF(OR(SwitchUniverse&lt;&gt;"ON",$B154=""),"",BDP($B154,"GICS_SECTOR_NAME"))</f>
        <v/>
      </c>
    </row>
    <row r="155" spans="2:4">
      <c r="B155">
        <f>IF(TRIM(A155&amp;"")="","",IF(RIGHT(TRIM(A155),7)=" Equity",TRIM(A155),TRIM(A155)&amp;" Equity"))</f>
        <v/>
      </c>
      <c r="C155">
        <f>IF(OR(SwitchUniverse&lt;&gt;"ON",$B155=""),"",BDP($B155,"NAME"))</f>
        <v/>
      </c>
      <c r="D155">
        <f>IF(OR(SwitchUniverse&lt;&gt;"ON",$B155=""),"",BDP($B155,"GICS_SECTOR_NAME"))</f>
        <v/>
      </c>
    </row>
    <row r="156" spans="2:4">
      <c r="B156">
        <f>IF(TRIM(A156&amp;"")="","",IF(RIGHT(TRIM(A156),7)=" Equity",TRIM(A156),TRIM(A156)&amp;" Equity"))</f>
        <v/>
      </c>
      <c r="C156">
        <f>IF(OR(SwitchUniverse&lt;&gt;"ON",$B156=""),"",BDP($B156,"NAME"))</f>
        <v/>
      </c>
      <c r="D156">
        <f>IF(OR(SwitchUniverse&lt;&gt;"ON",$B156=""),"",BDP($B156,"GICS_SECTOR_NAME"))</f>
        <v/>
      </c>
    </row>
    <row r="157" spans="2:4">
      <c r="B157">
        <f>IF(TRIM(A157&amp;"")="","",IF(RIGHT(TRIM(A157),7)=" Equity",TRIM(A157),TRIM(A157)&amp;" Equity"))</f>
        <v/>
      </c>
      <c r="C157">
        <f>IF(OR(SwitchUniverse&lt;&gt;"ON",$B157=""),"",BDP($B157,"NAME"))</f>
        <v/>
      </c>
      <c r="D157">
        <f>IF(OR(SwitchUniverse&lt;&gt;"ON",$B157=""),"",BDP($B157,"GICS_SECTOR_NAME"))</f>
        <v/>
      </c>
    </row>
    <row r="158" spans="2:4">
      <c r="B158">
        <f>IF(TRIM(A158&amp;"")="","",IF(RIGHT(TRIM(A158),7)=" Equity",TRIM(A158),TRIM(A158)&amp;" Equity"))</f>
        <v/>
      </c>
      <c r="C158">
        <f>IF(OR(SwitchUniverse&lt;&gt;"ON",$B158=""),"",BDP($B158,"NAME"))</f>
        <v/>
      </c>
      <c r="D158">
        <f>IF(OR(SwitchUniverse&lt;&gt;"ON",$B158=""),"",BDP($B158,"GICS_SECTOR_NAME"))</f>
        <v/>
      </c>
    </row>
    <row r="159" spans="2:4">
      <c r="B159">
        <f>IF(TRIM(A159&amp;"")="","",IF(RIGHT(TRIM(A159),7)=" Equity",TRIM(A159),TRIM(A159)&amp;" Equity"))</f>
        <v/>
      </c>
      <c r="C159">
        <f>IF(OR(SwitchUniverse&lt;&gt;"ON",$B159=""),"",BDP($B159,"NAME"))</f>
        <v/>
      </c>
      <c r="D159">
        <f>IF(OR(SwitchUniverse&lt;&gt;"ON",$B159=""),"",BDP($B159,"GICS_SECTOR_NAME"))</f>
        <v/>
      </c>
    </row>
    <row r="160" spans="2:4">
      <c r="B160">
        <f>IF(TRIM(A160&amp;"")="","",IF(RIGHT(TRIM(A160),7)=" Equity",TRIM(A160),TRIM(A160)&amp;" Equity"))</f>
        <v/>
      </c>
      <c r="C160">
        <f>IF(OR(SwitchUniverse&lt;&gt;"ON",$B160=""),"",BDP($B160,"NAME"))</f>
        <v/>
      </c>
      <c r="D160">
        <f>IF(OR(SwitchUniverse&lt;&gt;"ON",$B160=""),"",BDP($B160,"GICS_SECTOR_NAME"))</f>
        <v/>
      </c>
    </row>
    <row r="161" spans="2:4">
      <c r="B161">
        <f>IF(TRIM(A161&amp;"")="","",IF(RIGHT(TRIM(A161),7)=" Equity",TRIM(A161),TRIM(A161)&amp;" Equity"))</f>
        <v/>
      </c>
      <c r="C161">
        <f>IF(OR(SwitchUniverse&lt;&gt;"ON",$B161=""),"",BDP($B161,"NAME"))</f>
        <v/>
      </c>
      <c r="D161">
        <f>IF(OR(SwitchUniverse&lt;&gt;"ON",$B161=""),"",BDP($B161,"GICS_SECTOR_NAME"))</f>
        <v/>
      </c>
    </row>
    <row r="162" spans="2:4">
      <c r="B162">
        <f>IF(TRIM(A162&amp;"")="","",IF(RIGHT(TRIM(A162),7)=" Equity",TRIM(A162),TRIM(A162)&amp;" Equity"))</f>
        <v/>
      </c>
      <c r="C162">
        <f>IF(OR(SwitchUniverse&lt;&gt;"ON",$B162=""),"",BDP($B162,"NAME"))</f>
        <v/>
      </c>
      <c r="D162">
        <f>IF(OR(SwitchUniverse&lt;&gt;"ON",$B162=""),"",BDP($B162,"GICS_SECTOR_NAME"))</f>
        <v/>
      </c>
    </row>
    <row r="163" spans="2:4">
      <c r="B163">
        <f>IF(TRIM(A163&amp;"")="","",IF(RIGHT(TRIM(A163),7)=" Equity",TRIM(A163),TRIM(A163)&amp;" Equity"))</f>
        <v/>
      </c>
      <c r="C163">
        <f>IF(OR(SwitchUniverse&lt;&gt;"ON",$B163=""),"",BDP($B163,"NAME"))</f>
        <v/>
      </c>
      <c r="D163">
        <f>IF(OR(SwitchUniverse&lt;&gt;"ON",$B163=""),"",BDP($B163,"GICS_SECTOR_NAME"))</f>
        <v/>
      </c>
    </row>
    <row r="164" spans="2:4">
      <c r="B164">
        <f>IF(TRIM(A164&amp;"")="","",IF(RIGHT(TRIM(A164),7)=" Equity",TRIM(A164),TRIM(A164)&amp;" Equity"))</f>
        <v/>
      </c>
      <c r="C164">
        <f>IF(OR(SwitchUniverse&lt;&gt;"ON",$B164=""),"",BDP($B164,"NAME"))</f>
        <v/>
      </c>
      <c r="D164">
        <f>IF(OR(SwitchUniverse&lt;&gt;"ON",$B164=""),"",BDP($B164,"GICS_SECTOR_NAME"))</f>
        <v/>
      </c>
    </row>
    <row r="165" spans="2:4">
      <c r="B165">
        <f>IF(TRIM(A165&amp;"")="","",IF(RIGHT(TRIM(A165),7)=" Equity",TRIM(A165),TRIM(A165)&amp;" Equity"))</f>
        <v/>
      </c>
      <c r="C165">
        <f>IF(OR(SwitchUniverse&lt;&gt;"ON",$B165=""),"",BDP($B165,"NAME"))</f>
        <v/>
      </c>
      <c r="D165">
        <f>IF(OR(SwitchUniverse&lt;&gt;"ON",$B165=""),"",BDP($B165,"GICS_SECTOR_NAME"))</f>
        <v/>
      </c>
    </row>
    <row r="166" spans="2:4">
      <c r="B166">
        <f>IF(TRIM(A166&amp;"")="","",IF(RIGHT(TRIM(A166),7)=" Equity",TRIM(A166),TRIM(A166)&amp;" Equity"))</f>
        <v/>
      </c>
      <c r="C166">
        <f>IF(OR(SwitchUniverse&lt;&gt;"ON",$B166=""),"",BDP($B166,"NAME"))</f>
        <v/>
      </c>
      <c r="D166">
        <f>IF(OR(SwitchUniverse&lt;&gt;"ON",$B166=""),"",BDP($B166,"GICS_SECTOR_NAME"))</f>
        <v/>
      </c>
    </row>
    <row r="167" spans="2:4">
      <c r="B167">
        <f>IF(TRIM(A167&amp;"")="","",IF(RIGHT(TRIM(A167),7)=" Equity",TRIM(A167),TRIM(A167)&amp;" Equity"))</f>
        <v/>
      </c>
      <c r="C167">
        <f>IF(OR(SwitchUniverse&lt;&gt;"ON",$B167=""),"",BDP($B167,"NAME"))</f>
        <v/>
      </c>
      <c r="D167">
        <f>IF(OR(SwitchUniverse&lt;&gt;"ON",$B167=""),"",BDP($B167,"GICS_SECTOR_NAME"))</f>
        <v/>
      </c>
    </row>
    <row r="168" spans="2:4">
      <c r="B168">
        <f>IF(TRIM(A168&amp;"")="","",IF(RIGHT(TRIM(A168),7)=" Equity",TRIM(A168),TRIM(A168)&amp;" Equity"))</f>
        <v/>
      </c>
      <c r="C168">
        <f>IF(OR(SwitchUniverse&lt;&gt;"ON",$B168=""),"",BDP($B168,"NAME"))</f>
        <v/>
      </c>
      <c r="D168">
        <f>IF(OR(SwitchUniverse&lt;&gt;"ON",$B168=""),"",BDP($B168,"GICS_SECTOR_NAME"))</f>
        <v/>
      </c>
    </row>
    <row r="169" spans="2:4">
      <c r="B169">
        <f>IF(TRIM(A169&amp;"")="","",IF(RIGHT(TRIM(A169),7)=" Equity",TRIM(A169),TRIM(A169)&amp;" Equity"))</f>
        <v/>
      </c>
      <c r="C169">
        <f>IF(OR(SwitchUniverse&lt;&gt;"ON",$B169=""),"",BDP($B169,"NAME"))</f>
        <v/>
      </c>
      <c r="D169">
        <f>IF(OR(SwitchUniverse&lt;&gt;"ON",$B169=""),"",BDP($B169,"GICS_SECTOR_NAME"))</f>
        <v/>
      </c>
    </row>
    <row r="170" spans="2:4">
      <c r="B170">
        <f>IF(TRIM(A170&amp;"")="","",IF(RIGHT(TRIM(A170),7)=" Equity",TRIM(A170),TRIM(A170)&amp;" Equity"))</f>
        <v/>
      </c>
      <c r="C170">
        <f>IF(OR(SwitchUniverse&lt;&gt;"ON",$B170=""),"",BDP($B170,"NAME"))</f>
        <v/>
      </c>
      <c r="D170">
        <f>IF(OR(SwitchUniverse&lt;&gt;"ON",$B170=""),"",BDP($B170,"GICS_SECTOR_NAME"))</f>
        <v/>
      </c>
    </row>
    <row r="171" spans="2:4">
      <c r="B171">
        <f>IF(TRIM(A171&amp;"")="","",IF(RIGHT(TRIM(A171),7)=" Equity",TRIM(A171),TRIM(A171)&amp;" Equity"))</f>
        <v/>
      </c>
      <c r="C171">
        <f>IF(OR(SwitchUniverse&lt;&gt;"ON",$B171=""),"",BDP($B171,"NAME"))</f>
        <v/>
      </c>
      <c r="D171">
        <f>IF(OR(SwitchUniverse&lt;&gt;"ON",$B171=""),"",BDP($B171,"GICS_SECTOR_NAME"))</f>
        <v/>
      </c>
    </row>
    <row r="172" spans="2:4">
      <c r="B172">
        <f>IF(TRIM(A172&amp;"")="","",IF(RIGHT(TRIM(A172),7)=" Equity",TRIM(A172),TRIM(A172)&amp;" Equity"))</f>
        <v/>
      </c>
      <c r="C172">
        <f>IF(OR(SwitchUniverse&lt;&gt;"ON",$B172=""),"",BDP($B172,"NAME"))</f>
        <v/>
      </c>
      <c r="D172">
        <f>IF(OR(SwitchUniverse&lt;&gt;"ON",$B172=""),"",BDP($B172,"GICS_SECTOR_NAME"))</f>
        <v/>
      </c>
    </row>
    <row r="173" spans="2:4">
      <c r="B173">
        <f>IF(TRIM(A173&amp;"")="","",IF(RIGHT(TRIM(A173),7)=" Equity",TRIM(A173),TRIM(A173)&amp;" Equity"))</f>
        <v/>
      </c>
      <c r="C173">
        <f>IF(OR(SwitchUniverse&lt;&gt;"ON",$B173=""),"",BDP($B173,"NAME"))</f>
        <v/>
      </c>
      <c r="D173">
        <f>IF(OR(SwitchUniverse&lt;&gt;"ON",$B173=""),"",BDP($B173,"GICS_SECTOR_NAME"))</f>
        <v/>
      </c>
    </row>
    <row r="174" spans="2:4">
      <c r="B174">
        <f>IF(TRIM(A174&amp;"")="","",IF(RIGHT(TRIM(A174),7)=" Equity",TRIM(A174),TRIM(A174)&amp;" Equity"))</f>
        <v/>
      </c>
      <c r="C174">
        <f>IF(OR(SwitchUniverse&lt;&gt;"ON",$B174=""),"",BDP($B174,"NAME"))</f>
        <v/>
      </c>
      <c r="D174">
        <f>IF(OR(SwitchUniverse&lt;&gt;"ON",$B174=""),"",BDP($B174,"GICS_SECTOR_NAME"))</f>
        <v/>
      </c>
    </row>
    <row r="175" spans="2:4">
      <c r="B175">
        <f>IF(TRIM(A175&amp;"")="","",IF(RIGHT(TRIM(A175),7)=" Equity",TRIM(A175),TRIM(A175)&amp;" Equity"))</f>
        <v/>
      </c>
      <c r="C175">
        <f>IF(OR(SwitchUniverse&lt;&gt;"ON",$B175=""),"",BDP($B175,"NAME"))</f>
        <v/>
      </c>
      <c r="D175">
        <f>IF(OR(SwitchUniverse&lt;&gt;"ON",$B175=""),"",BDP($B175,"GICS_SECTOR_NAME"))</f>
        <v/>
      </c>
    </row>
    <row r="176" spans="2:4">
      <c r="B176">
        <f>IF(TRIM(A176&amp;"")="","",IF(RIGHT(TRIM(A176),7)=" Equity",TRIM(A176),TRIM(A176)&amp;" Equity"))</f>
        <v/>
      </c>
      <c r="C176">
        <f>IF(OR(SwitchUniverse&lt;&gt;"ON",$B176=""),"",BDP($B176,"NAME"))</f>
        <v/>
      </c>
      <c r="D176">
        <f>IF(OR(SwitchUniverse&lt;&gt;"ON",$B176=""),"",BDP($B176,"GICS_SECTOR_NAME"))</f>
        <v/>
      </c>
    </row>
    <row r="177" spans="2:4">
      <c r="B177">
        <f>IF(TRIM(A177&amp;"")="","",IF(RIGHT(TRIM(A177),7)=" Equity",TRIM(A177),TRIM(A177)&amp;" Equity"))</f>
        <v/>
      </c>
      <c r="C177">
        <f>IF(OR(SwitchUniverse&lt;&gt;"ON",$B177=""),"",BDP($B177,"NAME"))</f>
        <v/>
      </c>
      <c r="D177">
        <f>IF(OR(SwitchUniverse&lt;&gt;"ON",$B177=""),"",BDP($B177,"GICS_SECTOR_NAME"))</f>
        <v/>
      </c>
    </row>
    <row r="178" spans="2:4">
      <c r="B178">
        <f>IF(TRIM(A178&amp;"")="","",IF(RIGHT(TRIM(A178),7)=" Equity",TRIM(A178),TRIM(A178)&amp;" Equity"))</f>
        <v/>
      </c>
      <c r="C178">
        <f>IF(OR(SwitchUniverse&lt;&gt;"ON",$B178=""),"",BDP($B178,"NAME"))</f>
        <v/>
      </c>
      <c r="D178">
        <f>IF(OR(SwitchUniverse&lt;&gt;"ON",$B178=""),"",BDP($B178,"GICS_SECTOR_NAME"))</f>
        <v/>
      </c>
    </row>
    <row r="179" spans="2:4">
      <c r="B179">
        <f>IF(TRIM(A179&amp;"")="","",IF(RIGHT(TRIM(A179),7)=" Equity",TRIM(A179),TRIM(A179)&amp;" Equity"))</f>
        <v/>
      </c>
      <c r="C179">
        <f>IF(OR(SwitchUniverse&lt;&gt;"ON",$B179=""),"",BDP($B179,"NAME"))</f>
        <v/>
      </c>
      <c r="D179">
        <f>IF(OR(SwitchUniverse&lt;&gt;"ON",$B179=""),"",BDP($B179,"GICS_SECTOR_NAME"))</f>
        <v/>
      </c>
    </row>
    <row r="180" spans="2:4">
      <c r="B180">
        <f>IF(TRIM(A180&amp;"")="","",IF(RIGHT(TRIM(A180),7)=" Equity",TRIM(A180),TRIM(A180)&amp;" Equity"))</f>
        <v/>
      </c>
      <c r="C180">
        <f>IF(OR(SwitchUniverse&lt;&gt;"ON",$B180=""),"",BDP($B180,"NAME"))</f>
        <v/>
      </c>
      <c r="D180">
        <f>IF(OR(SwitchUniverse&lt;&gt;"ON",$B180=""),"",BDP($B180,"GICS_SECTOR_NAME"))</f>
        <v/>
      </c>
    </row>
    <row r="181" spans="2:4">
      <c r="B181">
        <f>IF(TRIM(A181&amp;"")="","",IF(RIGHT(TRIM(A181),7)=" Equity",TRIM(A181),TRIM(A181)&amp;" Equity"))</f>
        <v/>
      </c>
      <c r="C181">
        <f>IF(OR(SwitchUniverse&lt;&gt;"ON",$B181=""),"",BDP($B181,"NAME"))</f>
        <v/>
      </c>
      <c r="D181">
        <f>IF(OR(SwitchUniverse&lt;&gt;"ON",$B181=""),"",BDP($B181,"GICS_SECTOR_NAME"))</f>
        <v/>
      </c>
    </row>
    <row r="182" spans="2:4">
      <c r="B182">
        <f>IF(TRIM(A182&amp;"")="","",IF(RIGHT(TRIM(A182),7)=" Equity",TRIM(A182),TRIM(A182)&amp;" Equity"))</f>
        <v/>
      </c>
      <c r="C182">
        <f>IF(OR(SwitchUniverse&lt;&gt;"ON",$B182=""),"",BDP($B182,"NAME"))</f>
        <v/>
      </c>
      <c r="D182">
        <f>IF(OR(SwitchUniverse&lt;&gt;"ON",$B182=""),"",BDP($B182,"GICS_SECTOR_NAME"))</f>
        <v/>
      </c>
    </row>
    <row r="183" spans="2:4">
      <c r="B183">
        <f>IF(TRIM(A183&amp;"")="","",IF(RIGHT(TRIM(A183),7)=" Equity",TRIM(A183),TRIM(A183)&amp;" Equity"))</f>
        <v/>
      </c>
      <c r="C183">
        <f>IF(OR(SwitchUniverse&lt;&gt;"ON",$B183=""),"",BDP($B183,"NAME"))</f>
        <v/>
      </c>
      <c r="D183">
        <f>IF(OR(SwitchUniverse&lt;&gt;"ON",$B183=""),"",BDP($B183,"GICS_SECTOR_NAME"))</f>
        <v/>
      </c>
    </row>
    <row r="184" spans="2:4">
      <c r="B184">
        <f>IF(TRIM(A184&amp;"")="","",IF(RIGHT(TRIM(A184),7)=" Equity",TRIM(A184),TRIM(A184)&amp;" Equity"))</f>
        <v/>
      </c>
      <c r="C184">
        <f>IF(OR(SwitchUniverse&lt;&gt;"ON",$B184=""),"",BDP($B184,"NAME"))</f>
        <v/>
      </c>
      <c r="D184">
        <f>IF(OR(SwitchUniverse&lt;&gt;"ON",$B184=""),"",BDP($B184,"GICS_SECTOR_NAME"))</f>
        <v/>
      </c>
    </row>
    <row r="185" spans="2:4">
      <c r="B185">
        <f>IF(TRIM(A185&amp;"")="","",IF(RIGHT(TRIM(A185),7)=" Equity",TRIM(A185),TRIM(A185)&amp;" Equity"))</f>
        <v/>
      </c>
      <c r="C185">
        <f>IF(OR(SwitchUniverse&lt;&gt;"ON",$B185=""),"",BDP($B185,"NAME"))</f>
        <v/>
      </c>
      <c r="D185">
        <f>IF(OR(SwitchUniverse&lt;&gt;"ON",$B185=""),"",BDP($B185,"GICS_SECTOR_NAME"))</f>
        <v/>
      </c>
    </row>
    <row r="186" spans="2:4">
      <c r="B186">
        <f>IF(TRIM(A186&amp;"")="","",IF(RIGHT(TRIM(A186),7)=" Equity",TRIM(A186),TRIM(A186)&amp;" Equity"))</f>
        <v/>
      </c>
      <c r="C186">
        <f>IF(OR(SwitchUniverse&lt;&gt;"ON",$B186=""),"",BDP($B186,"NAME"))</f>
        <v/>
      </c>
      <c r="D186">
        <f>IF(OR(SwitchUniverse&lt;&gt;"ON",$B186=""),"",BDP($B186,"GICS_SECTOR_NAME"))</f>
        <v/>
      </c>
    </row>
    <row r="187" spans="2:4">
      <c r="B187">
        <f>IF(TRIM(A187&amp;"")="","",IF(RIGHT(TRIM(A187),7)=" Equity",TRIM(A187),TRIM(A187)&amp;" Equity"))</f>
        <v/>
      </c>
      <c r="C187">
        <f>IF(OR(SwitchUniverse&lt;&gt;"ON",$B187=""),"",BDP($B187,"NAME"))</f>
        <v/>
      </c>
      <c r="D187">
        <f>IF(OR(SwitchUniverse&lt;&gt;"ON",$B187=""),"",BDP($B187,"GICS_SECTOR_NAME"))</f>
        <v/>
      </c>
    </row>
    <row r="188" spans="2:4">
      <c r="B188">
        <f>IF(TRIM(A188&amp;"")="","",IF(RIGHT(TRIM(A188),7)=" Equity",TRIM(A188),TRIM(A188)&amp;" Equity"))</f>
        <v/>
      </c>
      <c r="C188">
        <f>IF(OR(SwitchUniverse&lt;&gt;"ON",$B188=""),"",BDP($B188,"NAME"))</f>
        <v/>
      </c>
      <c r="D188">
        <f>IF(OR(SwitchUniverse&lt;&gt;"ON",$B188=""),"",BDP($B188,"GICS_SECTOR_NAME"))</f>
        <v/>
      </c>
    </row>
    <row r="189" spans="2:4">
      <c r="B189">
        <f>IF(TRIM(A189&amp;"")="","",IF(RIGHT(TRIM(A189),7)=" Equity",TRIM(A189),TRIM(A189)&amp;" Equity"))</f>
        <v/>
      </c>
      <c r="C189">
        <f>IF(OR(SwitchUniverse&lt;&gt;"ON",$B189=""),"",BDP($B189,"NAME"))</f>
        <v/>
      </c>
      <c r="D189">
        <f>IF(OR(SwitchUniverse&lt;&gt;"ON",$B189=""),"",BDP($B189,"GICS_SECTOR_NAME"))</f>
        <v/>
      </c>
    </row>
    <row r="190" spans="2:4">
      <c r="B190">
        <f>IF(TRIM(A190&amp;"")="","",IF(RIGHT(TRIM(A190),7)=" Equity",TRIM(A190),TRIM(A190)&amp;" Equity"))</f>
        <v/>
      </c>
      <c r="C190">
        <f>IF(OR(SwitchUniverse&lt;&gt;"ON",$B190=""),"",BDP($B190,"NAME"))</f>
        <v/>
      </c>
      <c r="D190">
        <f>IF(OR(SwitchUniverse&lt;&gt;"ON",$B190=""),"",BDP($B190,"GICS_SECTOR_NAME"))</f>
        <v/>
      </c>
    </row>
    <row r="191" spans="2:4">
      <c r="B191">
        <f>IF(TRIM(A191&amp;"")="","",IF(RIGHT(TRIM(A191),7)=" Equity",TRIM(A191),TRIM(A191)&amp;" Equity"))</f>
        <v/>
      </c>
      <c r="C191">
        <f>IF(OR(SwitchUniverse&lt;&gt;"ON",$B191=""),"",BDP($B191,"NAME"))</f>
        <v/>
      </c>
      <c r="D191">
        <f>IF(OR(SwitchUniverse&lt;&gt;"ON",$B191=""),"",BDP($B191,"GICS_SECTOR_NAME"))</f>
        <v/>
      </c>
    </row>
    <row r="192" spans="2:4">
      <c r="B192">
        <f>IF(TRIM(A192&amp;"")="","",IF(RIGHT(TRIM(A192),7)=" Equity",TRIM(A192),TRIM(A192)&amp;" Equity"))</f>
        <v/>
      </c>
      <c r="C192">
        <f>IF(OR(SwitchUniverse&lt;&gt;"ON",$B192=""),"",BDP($B192,"NAME"))</f>
        <v/>
      </c>
      <c r="D192">
        <f>IF(OR(SwitchUniverse&lt;&gt;"ON",$B192=""),"",BDP($B192,"GICS_SECTOR_NAME"))</f>
        <v/>
      </c>
    </row>
    <row r="193" spans="2:4">
      <c r="B193">
        <f>IF(TRIM(A193&amp;"")="","",IF(RIGHT(TRIM(A193),7)=" Equity",TRIM(A193),TRIM(A193)&amp;" Equity"))</f>
        <v/>
      </c>
      <c r="C193">
        <f>IF(OR(SwitchUniverse&lt;&gt;"ON",$B193=""),"",BDP($B193,"NAME"))</f>
        <v/>
      </c>
      <c r="D193">
        <f>IF(OR(SwitchUniverse&lt;&gt;"ON",$B193=""),"",BDP($B193,"GICS_SECTOR_NAME"))</f>
        <v/>
      </c>
    </row>
    <row r="194" spans="2:4">
      <c r="B194">
        <f>IF(TRIM(A194&amp;"")="","",IF(RIGHT(TRIM(A194),7)=" Equity",TRIM(A194),TRIM(A194)&amp;" Equity"))</f>
        <v/>
      </c>
      <c r="C194">
        <f>IF(OR(SwitchUniverse&lt;&gt;"ON",$B194=""),"",BDP($B194,"NAME"))</f>
        <v/>
      </c>
      <c r="D194">
        <f>IF(OR(SwitchUniverse&lt;&gt;"ON",$B194=""),"",BDP($B194,"GICS_SECTOR_NAME"))</f>
        <v/>
      </c>
    </row>
    <row r="195" spans="2:4">
      <c r="B195">
        <f>IF(TRIM(A195&amp;"")="","",IF(RIGHT(TRIM(A195),7)=" Equity",TRIM(A195),TRIM(A195)&amp;" Equity"))</f>
        <v/>
      </c>
      <c r="C195">
        <f>IF(OR(SwitchUniverse&lt;&gt;"ON",$B195=""),"",BDP($B195,"NAME"))</f>
        <v/>
      </c>
      <c r="D195">
        <f>IF(OR(SwitchUniverse&lt;&gt;"ON",$B195=""),"",BDP($B195,"GICS_SECTOR_NAME"))</f>
        <v/>
      </c>
    </row>
    <row r="196" spans="2:4">
      <c r="B196">
        <f>IF(TRIM(A196&amp;"")="","",IF(RIGHT(TRIM(A196),7)=" Equity",TRIM(A196),TRIM(A196)&amp;" Equity"))</f>
        <v/>
      </c>
      <c r="C196">
        <f>IF(OR(SwitchUniverse&lt;&gt;"ON",$B196=""),"",BDP($B196,"NAME"))</f>
        <v/>
      </c>
      <c r="D196">
        <f>IF(OR(SwitchUniverse&lt;&gt;"ON",$B196=""),"",BDP($B196,"GICS_SECTOR_NAME"))</f>
        <v/>
      </c>
    </row>
    <row r="197" spans="2:4">
      <c r="B197">
        <f>IF(TRIM(A197&amp;"")="","",IF(RIGHT(TRIM(A197),7)=" Equity",TRIM(A197),TRIM(A197)&amp;" Equity"))</f>
        <v/>
      </c>
      <c r="C197">
        <f>IF(OR(SwitchUniverse&lt;&gt;"ON",$B197=""),"",BDP($B197,"NAME"))</f>
        <v/>
      </c>
      <c r="D197">
        <f>IF(OR(SwitchUniverse&lt;&gt;"ON",$B197=""),"",BDP($B197,"GICS_SECTOR_NAME"))</f>
        <v/>
      </c>
    </row>
    <row r="198" spans="2:4">
      <c r="B198">
        <f>IF(TRIM(A198&amp;"")="","",IF(RIGHT(TRIM(A198),7)=" Equity",TRIM(A198),TRIM(A198)&amp;" Equity"))</f>
        <v/>
      </c>
      <c r="C198">
        <f>IF(OR(SwitchUniverse&lt;&gt;"ON",$B198=""),"",BDP($B198,"NAME"))</f>
        <v/>
      </c>
      <c r="D198">
        <f>IF(OR(SwitchUniverse&lt;&gt;"ON",$B198=""),"",BDP($B198,"GICS_SECTOR_NAME"))</f>
        <v/>
      </c>
    </row>
    <row r="199" spans="2:4">
      <c r="B199">
        <f>IF(TRIM(A199&amp;"")="","",IF(RIGHT(TRIM(A199),7)=" Equity",TRIM(A199),TRIM(A199)&amp;" Equity"))</f>
        <v/>
      </c>
      <c r="C199">
        <f>IF(OR(SwitchUniverse&lt;&gt;"ON",$B199=""),"",BDP($B199,"NAME"))</f>
        <v/>
      </c>
      <c r="D199">
        <f>IF(OR(SwitchUniverse&lt;&gt;"ON",$B199=""),"",BDP($B199,"GICS_SECTOR_NAME"))</f>
        <v/>
      </c>
    </row>
    <row r="200" spans="2:4">
      <c r="B200">
        <f>IF(TRIM(A200&amp;"")="","",IF(RIGHT(TRIM(A200),7)=" Equity",TRIM(A200),TRIM(A200)&amp;" Equity"))</f>
        <v/>
      </c>
      <c r="C200">
        <f>IF(OR(SwitchUniverse&lt;&gt;"ON",$B200=""),"",BDP($B200,"NAME"))</f>
        <v/>
      </c>
      <c r="D200">
        <f>IF(OR(SwitchUniverse&lt;&gt;"ON",$B200=""),"",BDP($B200,"GICS_SECTOR_NAME"))</f>
        <v/>
      </c>
    </row>
    <row r="201" spans="2:4">
      <c r="B201">
        <f>IF(TRIM(A201&amp;"")="","",IF(RIGHT(TRIM(A201),7)=" Equity",TRIM(A201),TRIM(A201)&amp;" Equity"))</f>
        <v/>
      </c>
      <c r="C201">
        <f>IF(OR(SwitchUniverse&lt;&gt;"ON",$B201=""),"",BDP($B201,"NAME"))</f>
        <v/>
      </c>
      <c r="D201">
        <f>IF(OR(SwitchUniverse&lt;&gt;"ON",$B201=""),"",BDP($B201,"GICS_SECTOR_NAME"))</f>
        <v/>
      </c>
    </row>
    <row r="202" spans="2:4">
      <c r="B202">
        <f>IF(TRIM(A202&amp;"")="","",IF(RIGHT(TRIM(A202),7)=" Equity",TRIM(A202),TRIM(A202)&amp;" Equity"))</f>
        <v/>
      </c>
      <c r="C202">
        <f>IF(OR(SwitchUniverse&lt;&gt;"ON",$B202=""),"",BDP($B202,"NAME"))</f>
        <v/>
      </c>
      <c r="D202">
        <f>IF(OR(SwitchUniverse&lt;&gt;"ON",$B202=""),"",BDP($B202,"GICS_SECTOR_NAME"))</f>
        <v/>
      </c>
    </row>
    <row r="203" spans="2:4">
      <c r="B203">
        <f>IF(TRIM(A203&amp;"")="","",IF(RIGHT(TRIM(A203),7)=" Equity",TRIM(A203),TRIM(A203)&amp;" Equity"))</f>
        <v/>
      </c>
      <c r="C203">
        <f>IF(OR(SwitchUniverse&lt;&gt;"ON",$B203=""),"",BDP($B203,"NAME"))</f>
        <v/>
      </c>
      <c r="D203">
        <f>IF(OR(SwitchUniverse&lt;&gt;"ON",$B203=""),"",BDP($B203,"GICS_SECTOR_NAME"))</f>
        <v/>
      </c>
    </row>
    <row r="204" spans="2:4">
      <c r="B204">
        <f>IF(TRIM(A204&amp;"")="","",IF(RIGHT(TRIM(A204),7)=" Equity",TRIM(A204),TRIM(A204)&amp;" Equity"))</f>
        <v/>
      </c>
      <c r="C204">
        <f>IF(OR(SwitchUniverse&lt;&gt;"ON",$B204=""),"",BDP($B204,"NAME"))</f>
        <v/>
      </c>
      <c r="D204">
        <f>IF(OR(SwitchUniverse&lt;&gt;"ON",$B204=""),"",BDP($B204,"GICS_SECTOR_NAME"))</f>
        <v/>
      </c>
    </row>
    <row r="205" spans="2:4">
      <c r="B205">
        <f>IF(TRIM(A205&amp;"")="","",IF(RIGHT(TRIM(A205),7)=" Equity",TRIM(A205),TRIM(A205)&amp;" Equity"))</f>
        <v/>
      </c>
      <c r="C205">
        <f>IF(OR(SwitchUniverse&lt;&gt;"ON",$B205=""),"",BDP($B205,"NAME"))</f>
        <v/>
      </c>
      <c r="D205">
        <f>IF(OR(SwitchUniverse&lt;&gt;"ON",$B205=""),"",BDP($B205,"GICS_SECTOR_NAME"))</f>
        <v/>
      </c>
    </row>
    <row r="206" spans="2:4">
      <c r="B206">
        <f>IF(TRIM(A206&amp;"")="","",IF(RIGHT(TRIM(A206),7)=" Equity",TRIM(A206),TRIM(A206)&amp;" Equity"))</f>
        <v/>
      </c>
      <c r="C206">
        <f>IF(OR(SwitchUniverse&lt;&gt;"ON",$B206=""),"",BDP($B206,"NAME"))</f>
        <v/>
      </c>
      <c r="D206">
        <f>IF(OR(SwitchUniverse&lt;&gt;"ON",$B206=""),"",BDP($B206,"GICS_SECTOR_NAME"))</f>
        <v/>
      </c>
    </row>
    <row r="207" spans="2:4">
      <c r="B207">
        <f>IF(TRIM(A207&amp;"")="","",IF(RIGHT(TRIM(A207),7)=" Equity",TRIM(A207),TRIM(A207)&amp;" Equity"))</f>
        <v/>
      </c>
      <c r="C207">
        <f>IF(OR(SwitchUniverse&lt;&gt;"ON",$B207=""),"",BDP($B207,"NAME"))</f>
        <v/>
      </c>
      <c r="D207">
        <f>IF(OR(SwitchUniverse&lt;&gt;"ON",$B207=""),"",BDP($B207,"GICS_SECTOR_NAME"))</f>
        <v/>
      </c>
    </row>
    <row r="208" spans="2:4">
      <c r="B208">
        <f>IF(TRIM(A208&amp;"")="","",IF(RIGHT(TRIM(A208),7)=" Equity",TRIM(A208),TRIM(A208)&amp;" Equity"))</f>
        <v/>
      </c>
      <c r="C208">
        <f>IF(OR(SwitchUniverse&lt;&gt;"ON",$B208=""),"",BDP($B208,"NAME"))</f>
        <v/>
      </c>
      <c r="D208">
        <f>IF(OR(SwitchUniverse&lt;&gt;"ON",$B208=""),"",BDP($B208,"GICS_SECTOR_NAME"))</f>
        <v/>
      </c>
    </row>
    <row r="209" spans="2:4">
      <c r="B209">
        <f>IF(TRIM(A209&amp;"")="","",IF(RIGHT(TRIM(A209),7)=" Equity",TRIM(A209),TRIM(A209)&amp;" Equity"))</f>
        <v/>
      </c>
      <c r="C209">
        <f>IF(OR(SwitchUniverse&lt;&gt;"ON",$B209=""),"",BDP($B209,"NAME"))</f>
        <v/>
      </c>
      <c r="D209">
        <f>IF(OR(SwitchUniverse&lt;&gt;"ON",$B209=""),"",BDP($B209,"GICS_SECTOR_NAME"))</f>
        <v/>
      </c>
    </row>
    <row r="210" spans="2:4">
      <c r="B210">
        <f>IF(TRIM(A210&amp;"")="","",IF(RIGHT(TRIM(A210),7)=" Equity",TRIM(A210),TRIM(A210)&amp;" Equity"))</f>
        <v/>
      </c>
      <c r="C210">
        <f>IF(OR(SwitchUniverse&lt;&gt;"ON",$B210=""),"",BDP($B210,"NAME"))</f>
        <v/>
      </c>
      <c r="D210">
        <f>IF(OR(SwitchUniverse&lt;&gt;"ON",$B210=""),"",BDP($B210,"GICS_SECTOR_NAME"))</f>
        <v/>
      </c>
    </row>
    <row r="211" spans="2:4">
      <c r="B211">
        <f>IF(TRIM(A211&amp;"")="","",IF(RIGHT(TRIM(A211),7)=" Equity",TRIM(A211),TRIM(A211)&amp;" Equity"))</f>
        <v/>
      </c>
      <c r="C211">
        <f>IF(OR(SwitchUniverse&lt;&gt;"ON",$B211=""),"",BDP($B211,"NAME"))</f>
        <v/>
      </c>
      <c r="D211">
        <f>IF(OR(SwitchUniverse&lt;&gt;"ON",$B211=""),"",BDP($B211,"GICS_SECTOR_NAME"))</f>
        <v/>
      </c>
    </row>
    <row r="212" spans="2:4">
      <c r="B212">
        <f>IF(TRIM(A212&amp;"")="","",IF(RIGHT(TRIM(A212),7)=" Equity",TRIM(A212),TRIM(A212)&amp;" Equity"))</f>
        <v/>
      </c>
      <c r="C212">
        <f>IF(OR(SwitchUniverse&lt;&gt;"ON",$B212=""),"",BDP($B212,"NAME"))</f>
        <v/>
      </c>
      <c r="D212">
        <f>IF(OR(SwitchUniverse&lt;&gt;"ON",$B212=""),"",BDP($B212,"GICS_SECTOR_NAME"))</f>
        <v/>
      </c>
    </row>
    <row r="213" spans="2:4">
      <c r="B213">
        <f>IF(TRIM(A213&amp;"")="","",IF(RIGHT(TRIM(A213),7)=" Equity",TRIM(A213),TRIM(A213)&amp;" Equity"))</f>
        <v/>
      </c>
      <c r="C213">
        <f>IF(OR(SwitchUniverse&lt;&gt;"ON",$B213=""),"",BDP($B213,"NAME"))</f>
        <v/>
      </c>
      <c r="D213">
        <f>IF(OR(SwitchUniverse&lt;&gt;"ON",$B213=""),"",BDP($B213,"GICS_SECTOR_NAME"))</f>
        <v/>
      </c>
    </row>
    <row r="214" spans="2:4">
      <c r="B214">
        <f>IF(TRIM(A214&amp;"")="","",IF(RIGHT(TRIM(A214),7)=" Equity",TRIM(A214),TRIM(A214)&amp;" Equity"))</f>
        <v/>
      </c>
      <c r="C214">
        <f>IF(OR(SwitchUniverse&lt;&gt;"ON",$B214=""),"",BDP($B214,"NAME"))</f>
        <v/>
      </c>
      <c r="D214">
        <f>IF(OR(SwitchUniverse&lt;&gt;"ON",$B214=""),"",BDP($B214,"GICS_SECTOR_NAME"))</f>
        <v/>
      </c>
    </row>
    <row r="215" spans="2:4">
      <c r="B215">
        <f>IF(TRIM(A215&amp;"")="","",IF(RIGHT(TRIM(A215),7)=" Equity",TRIM(A215),TRIM(A215)&amp;" Equity"))</f>
        <v/>
      </c>
      <c r="C215">
        <f>IF(OR(SwitchUniverse&lt;&gt;"ON",$B215=""),"",BDP($B215,"NAME"))</f>
        <v/>
      </c>
      <c r="D215">
        <f>IF(OR(SwitchUniverse&lt;&gt;"ON",$B215=""),"",BDP($B215,"GICS_SECTOR_NAME"))</f>
        <v/>
      </c>
    </row>
    <row r="216" spans="2:4">
      <c r="B216">
        <f>IF(TRIM(A216&amp;"")="","",IF(RIGHT(TRIM(A216),7)=" Equity",TRIM(A216),TRIM(A216)&amp;" Equity"))</f>
        <v/>
      </c>
      <c r="C216">
        <f>IF(OR(SwitchUniverse&lt;&gt;"ON",$B216=""),"",BDP($B216,"NAME"))</f>
        <v/>
      </c>
      <c r="D216">
        <f>IF(OR(SwitchUniverse&lt;&gt;"ON",$B216=""),"",BDP($B216,"GICS_SECTOR_NAME"))</f>
        <v/>
      </c>
    </row>
    <row r="217" spans="2:4">
      <c r="B217">
        <f>IF(TRIM(A217&amp;"")="","",IF(RIGHT(TRIM(A217),7)=" Equity",TRIM(A217),TRIM(A217)&amp;" Equity"))</f>
        <v/>
      </c>
      <c r="C217">
        <f>IF(OR(SwitchUniverse&lt;&gt;"ON",$B217=""),"",BDP($B217,"NAME"))</f>
        <v/>
      </c>
      <c r="D217">
        <f>IF(OR(SwitchUniverse&lt;&gt;"ON",$B217=""),"",BDP($B217,"GICS_SECTOR_NAME"))</f>
        <v/>
      </c>
    </row>
    <row r="218" spans="2:4">
      <c r="B218">
        <f>IF(TRIM(A218&amp;"")="","",IF(RIGHT(TRIM(A218),7)=" Equity",TRIM(A218),TRIM(A218)&amp;" Equity"))</f>
        <v/>
      </c>
      <c r="C218">
        <f>IF(OR(SwitchUniverse&lt;&gt;"ON",$B218=""),"",BDP($B218,"NAME"))</f>
        <v/>
      </c>
      <c r="D218">
        <f>IF(OR(SwitchUniverse&lt;&gt;"ON",$B218=""),"",BDP($B218,"GICS_SECTOR_NAME"))</f>
        <v/>
      </c>
    </row>
    <row r="219" spans="2:4">
      <c r="B219">
        <f>IF(TRIM(A219&amp;"")="","",IF(RIGHT(TRIM(A219),7)=" Equity",TRIM(A219),TRIM(A219)&amp;" Equity"))</f>
        <v/>
      </c>
      <c r="C219">
        <f>IF(OR(SwitchUniverse&lt;&gt;"ON",$B219=""),"",BDP($B219,"NAME"))</f>
        <v/>
      </c>
      <c r="D219">
        <f>IF(OR(SwitchUniverse&lt;&gt;"ON",$B219=""),"",BDP($B219,"GICS_SECTOR_NAME"))</f>
        <v/>
      </c>
    </row>
    <row r="220" spans="2:4">
      <c r="B220">
        <f>IF(TRIM(A220&amp;"")="","",IF(RIGHT(TRIM(A220),7)=" Equity",TRIM(A220),TRIM(A220)&amp;" Equity"))</f>
        <v/>
      </c>
      <c r="C220">
        <f>IF(OR(SwitchUniverse&lt;&gt;"ON",$B220=""),"",BDP($B220,"NAME"))</f>
        <v/>
      </c>
      <c r="D220">
        <f>IF(OR(SwitchUniverse&lt;&gt;"ON",$B220=""),"",BDP($B220,"GICS_SECTOR_NAME"))</f>
        <v/>
      </c>
    </row>
    <row r="221" spans="2:4">
      <c r="B221">
        <f>IF(TRIM(A221&amp;"")="","",IF(RIGHT(TRIM(A221),7)=" Equity",TRIM(A221),TRIM(A221)&amp;" Equity"))</f>
        <v/>
      </c>
      <c r="C221">
        <f>IF(OR(SwitchUniverse&lt;&gt;"ON",$B221=""),"",BDP($B221,"NAME"))</f>
        <v/>
      </c>
      <c r="D221">
        <f>IF(OR(SwitchUniverse&lt;&gt;"ON",$B221=""),"",BDP($B221,"GICS_SECTOR_NAME"))</f>
        <v/>
      </c>
    </row>
    <row r="222" spans="2:4">
      <c r="B222">
        <f>IF(TRIM(A222&amp;"")="","",IF(RIGHT(TRIM(A222),7)=" Equity",TRIM(A222),TRIM(A222)&amp;" Equity"))</f>
        <v/>
      </c>
      <c r="C222">
        <f>IF(OR(SwitchUniverse&lt;&gt;"ON",$B222=""),"",BDP($B222,"NAME"))</f>
        <v/>
      </c>
      <c r="D222">
        <f>IF(OR(SwitchUniverse&lt;&gt;"ON",$B222=""),"",BDP($B222,"GICS_SECTOR_NAME"))</f>
        <v/>
      </c>
    </row>
    <row r="223" spans="2:4">
      <c r="B223">
        <f>IF(TRIM(A223&amp;"")="","",IF(RIGHT(TRIM(A223),7)=" Equity",TRIM(A223),TRIM(A223)&amp;" Equity"))</f>
        <v/>
      </c>
      <c r="C223">
        <f>IF(OR(SwitchUniverse&lt;&gt;"ON",$B223=""),"",BDP($B223,"NAME"))</f>
        <v/>
      </c>
      <c r="D223">
        <f>IF(OR(SwitchUniverse&lt;&gt;"ON",$B223=""),"",BDP($B223,"GICS_SECTOR_NAME"))</f>
        <v/>
      </c>
    </row>
    <row r="224" spans="2:4">
      <c r="B224">
        <f>IF(TRIM(A224&amp;"")="","",IF(RIGHT(TRIM(A224),7)=" Equity",TRIM(A224),TRIM(A224)&amp;" Equity"))</f>
        <v/>
      </c>
      <c r="C224">
        <f>IF(OR(SwitchUniverse&lt;&gt;"ON",$B224=""),"",BDP($B224,"NAME"))</f>
        <v/>
      </c>
      <c r="D224">
        <f>IF(OR(SwitchUniverse&lt;&gt;"ON",$B224=""),"",BDP($B224,"GICS_SECTOR_NAME"))</f>
        <v/>
      </c>
    </row>
    <row r="225" spans="2:4">
      <c r="B225">
        <f>IF(TRIM(A225&amp;"")="","",IF(RIGHT(TRIM(A225),7)=" Equity",TRIM(A225),TRIM(A225)&amp;" Equity"))</f>
        <v/>
      </c>
      <c r="C225">
        <f>IF(OR(SwitchUniverse&lt;&gt;"ON",$B225=""),"",BDP($B225,"NAME"))</f>
        <v/>
      </c>
      <c r="D225">
        <f>IF(OR(SwitchUniverse&lt;&gt;"ON",$B225=""),"",BDP($B225,"GICS_SECTOR_NAME"))</f>
        <v/>
      </c>
    </row>
    <row r="226" spans="2:4">
      <c r="B226">
        <f>IF(TRIM(A226&amp;"")="","",IF(RIGHT(TRIM(A226),7)=" Equity",TRIM(A226),TRIM(A226)&amp;" Equity"))</f>
        <v/>
      </c>
      <c r="C226">
        <f>IF(OR(SwitchUniverse&lt;&gt;"ON",$B226=""),"",BDP($B226,"NAME"))</f>
        <v/>
      </c>
      <c r="D226">
        <f>IF(OR(SwitchUniverse&lt;&gt;"ON",$B226=""),"",BDP($B226,"GICS_SECTOR_NAME"))</f>
        <v/>
      </c>
    </row>
    <row r="227" spans="2:4">
      <c r="B227">
        <f>IF(TRIM(A227&amp;"")="","",IF(RIGHT(TRIM(A227),7)=" Equity",TRIM(A227),TRIM(A227)&amp;" Equity"))</f>
        <v/>
      </c>
      <c r="C227">
        <f>IF(OR(SwitchUniverse&lt;&gt;"ON",$B227=""),"",BDP($B227,"NAME"))</f>
        <v/>
      </c>
      <c r="D227">
        <f>IF(OR(SwitchUniverse&lt;&gt;"ON",$B227=""),"",BDP($B227,"GICS_SECTOR_NAME"))</f>
        <v/>
      </c>
    </row>
    <row r="228" spans="2:4">
      <c r="B228">
        <f>IF(TRIM(A228&amp;"")="","",IF(RIGHT(TRIM(A228),7)=" Equity",TRIM(A228),TRIM(A228)&amp;" Equity"))</f>
        <v/>
      </c>
      <c r="C228">
        <f>IF(OR(SwitchUniverse&lt;&gt;"ON",$B228=""),"",BDP($B228,"NAME"))</f>
        <v/>
      </c>
      <c r="D228">
        <f>IF(OR(SwitchUniverse&lt;&gt;"ON",$B228=""),"",BDP($B228,"GICS_SECTOR_NAME"))</f>
        <v/>
      </c>
    </row>
    <row r="229" spans="2:4">
      <c r="B229">
        <f>IF(TRIM(A229&amp;"")="","",IF(RIGHT(TRIM(A229),7)=" Equity",TRIM(A229),TRIM(A229)&amp;" Equity"))</f>
        <v/>
      </c>
      <c r="C229">
        <f>IF(OR(SwitchUniverse&lt;&gt;"ON",$B229=""),"",BDP($B229,"NAME"))</f>
        <v/>
      </c>
      <c r="D229">
        <f>IF(OR(SwitchUniverse&lt;&gt;"ON",$B229=""),"",BDP($B229,"GICS_SECTOR_NAME"))</f>
        <v/>
      </c>
    </row>
    <row r="230" spans="2:4">
      <c r="B230">
        <f>IF(TRIM(A230&amp;"")="","",IF(RIGHT(TRIM(A230),7)=" Equity",TRIM(A230),TRIM(A230)&amp;" Equity"))</f>
        <v/>
      </c>
      <c r="C230">
        <f>IF(OR(SwitchUniverse&lt;&gt;"ON",$B230=""),"",BDP($B230,"NAME"))</f>
        <v/>
      </c>
      <c r="D230">
        <f>IF(OR(SwitchUniverse&lt;&gt;"ON",$B230=""),"",BDP($B230,"GICS_SECTOR_NAME"))</f>
        <v/>
      </c>
    </row>
    <row r="231" spans="2:4">
      <c r="B231">
        <f>IF(TRIM(A231&amp;"")="","",IF(RIGHT(TRIM(A231),7)=" Equity",TRIM(A231),TRIM(A231)&amp;" Equity"))</f>
        <v/>
      </c>
      <c r="C231">
        <f>IF(OR(SwitchUniverse&lt;&gt;"ON",$B231=""),"",BDP($B231,"NAME"))</f>
        <v/>
      </c>
      <c r="D231">
        <f>IF(OR(SwitchUniverse&lt;&gt;"ON",$B231=""),"",BDP($B231,"GICS_SECTOR_NAME"))</f>
        <v/>
      </c>
    </row>
    <row r="232" spans="2:4">
      <c r="B232">
        <f>IF(TRIM(A232&amp;"")="","",IF(RIGHT(TRIM(A232),7)=" Equity",TRIM(A232),TRIM(A232)&amp;" Equity"))</f>
        <v/>
      </c>
      <c r="C232">
        <f>IF(OR(SwitchUniverse&lt;&gt;"ON",$B232=""),"",BDP($B232,"NAME"))</f>
        <v/>
      </c>
      <c r="D232">
        <f>IF(OR(SwitchUniverse&lt;&gt;"ON",$B232=""),"",BDP($B232,"GICS_SECTOR_NAME"))</f>
        <v/>
      </c>
    </row>
    <row r="233" spans="2:4">
      <c r="B233">
        <f>IF(TRIM(A233&amp;"")="","",IF(RIGHT(TRIM(A233),7)=" Equity",TRIM(A233),TRIM(A233)&amp;" Equity"))</f>
        <v/>
      </c>
      <c r="C233">
        <f>IF(OR(SwitchUniverse&lt;&gt;"ON",$B233=""),"",BDP($B233,"NAME"))</f>
        <v/>
      </c>
      <c r="D233">
        <f>IF(OR(SwitchUniverse&lt;&gt;"ON",$B233=""),"",BDP($B233,"GICS_SECTOR_NAME"))</f>
        <v/>
      </c>
    </row>
    <row r="234" spans="2:4">
      <c r="B234">
        <f>IF(TRIM(A234&amp;"")="","",IF(RIGHT(TRIM(A234),7)=" Equity",TRIM(A234),TRIM(A234)&amp;" Equity"))</f>
        <v/>
      </c>
      <c r="C234">
        <f>IF(OR(SwitchUniverse&lt;&gt;"ON",$B234=""),"",BDP($B234,"NAME"))</f>
        <v/>
      </c>
      <c r="D234">
        <f>IF(OR(SwitchUniverse&lt;&gt;"ON",$B234=""),"",BDP($B234,"GICS_SECTOR_NAME"))</f>
        <v/>
      </c>
    </row>
    <row r="235" spans="2:4">
      <c r="B235">
        <f>IF(TRIM(A235&amp;"")="","",IF(RIGHT(TRIM(A235),7)=" Equity",TRIM(A235),TRIM(A235)&amp;" Equity"))</f>
        <v/>
      </c>
      <c r="C235">
        <f>IF(OR(SwitchUniverse&lt;&gt;"ON",$B235=""),"",BDP($B235,"NAME"))</f>
        <v/>
      </c>
      <c r="D235">
        <f>IF(OR(SwitchUniverse&lt;&gt;"ON",$B235=""),"",BDP($B235,"GICS_SECTOR_NAME"))</f>
        <v/>
      </c>
    </row>
    <row r="236" spans="2:4">
      <c r="B236">
        <f>IF(TRIM(A236&amp;"")="","",IF(RIGHT(TRIM(A236),7)=" Equity",TRIM(A236),TRIM(A236)&amp;" Equity"))</f>
        <v/>
      </c>
      <c r="C236">
        <f>IF(OR(SwitchUniverse&lt;&gt;"ON",$B236=""),"",BDP($B236,"NAME"))</f>
        <v/>
      </c>
      <c r="D236">
        <f>IF(OR(SwitchUniverse&lt;&gt;"ON",$B236=""),"",BDP($B236,"GICS_SECTOR_NAME"))</f>
        <v/>
      </c>
    </row>
    <row r="237" spans="2:4">
      <c r="B237">
        <f>IF(TRIM(A237&amp;"")="","",IF(RIGHT(TRIM(A237),7)=" Equity",TRIM(A237),TRIM(A237)&amp;" Equity"))</f>
        <v/>
      </c>
      <c r="C237">
        <f>IF(OR(SwitchUniverse&lt;&gt;"ON",$B237=""),"",BDP($B237,"NAME"))</f>
        <v/>
      </c>
      <c r="D237">
        <f>IF(OR(SwitchUniverse&lt;&gt;"ON",$B237=""),"",BDP($B237,"GICS_SECTOR_NAME"))</f>
        <v/>
      </c>
    </row>
    <row r="238" spans="2:4">
      <c r="B238">
        <f>IF(TRIM(A238&amp;"")="","",IF(RIGHT(TRIM(A238),7)=" Equity",TRIM(A238),TRIM(A238)&amp;" Equity"))</f>
        <v/>
      </c>
      <c r="C238">
        <f>IF(OR(SwitchUniverse&lt;&gt;"ON",$B238=""),"",BDP($B238,"NAME"))</f>
        <v/>
      </c>
      <c r="D238">
        <f>IF(OR(SwitchUniverse&lt;&gt;"ON",$B238=""),"",BDP($B238,"GICS_SECTOR_NAME"))</f>
        <v/>
      </c>
    </row>
    <row r="239" spans="2:4">
      <c r="B239">
        <f>IF(TRIM(A239&amp;"")="","",IF(RIGHT(TRIM(A239),7)=" Equity",TRIM(A239),TRIM(A239)&amp;" Equity"))</f>
        <v/>
      </c>
      <c r="C239">
        <f>IF(OR(SwitchUniverse&lt;&gt;"ON",$B239=""),"",BDP($B239,"NAME"))</f>
        <v/>
      </c>
      <c r="D239">
        <f>IF(OR(SwitchUniverse&lt;&gt;"ON",$B239=""),"",BDP($B239,"GICS_SECTOR_NAME"))</f>
        <v/>
      </c>
    </row>
    <row r="240" spans="2:4">
      <c r="B240">
        <f>IF(TRIM(A240&amp;"")="","",IF(RIGHT(TRIM(A240),7)=" Equity",TRIM(A240),TRIM(A240)&amp;" Equity"))</f>
        <v/>
      </c>
      <c r="C240">
        <f>IF(OR(SwitchUniverse&lt;&gt;"ON",$B240=""),"",BDP($B240,"NAME"))</f>
        <v/>
      </c>
      <c r="D240">
        <f>IF(OR(SwitchUniverse&lt;&gt;"ON",$B240=""),"",BDP($B240,"GICS_SECTOR_NAME"))</f>
        <v/>
      </c>
    </row>
    <row r="241" spans="2:4">
      <c r="B241">
        <f>IF(TRIM(A241&amp;"")="","",IF(RIGHT(TRIM(A241),7)=" Equity",TRIM(A241),TRIM(A241)&amp;" Equity"))</f>
        <v/>
      </c>
      <c r="C241">
        <f>IF(OR(SwitchUniverse&lt;&gt;"ON",$B241=""),"",BDP($B241,"NAME"))</f>
        <v/>
      </c>
      <c r="D241">
        <f>IF(OR(SwitchUniverse&lt;&gt;"ON",$B241=""),"",BDP($B241,"GICS_SECTOR_NAME"))</f>
        <v/>
      </c>
    </row>
    <row r="242" spans="2:4">
      <c r="B242">
        <f>IF(TRIM(A242&amp;"")="","",IF(RIGHT(TRIM(A242),7)=" Equity",TRIM(A242),TRIM(A242)&amp;" Equity"))</f>
        <v/>
      </c>
      <c r="C242">
        <f>IF(OR(SwitchUniverse&lt;&gt;"ON",$B242=""),"",BDP($B242,"NAME"))</f>
        <v/>
      </c>
      <c r="D242">
        <f>IF(OR(SwitchUniverse&lt;&gt;"ON",$B242=""),"",BDP($B242,"GICS_SECTOR_NAME"))</f>
        <v/>
      </c>
    </row>
    <row r="243" spans="2:4">
      <c r="B243">
        <f>IF(TRIM(A243&amp;"")="","",IF(RIGHT(TRIM(A243),7)=" Equity",TRIM(A243),TRIM(A243)&amp;" Equity"))</f>
        <v/>
      </c>
      <c r="C243">
        <f>IF(OR(SwitchUniverse&lt;&gt;"ON",$B243=""),"",BDP($B243,"NAME"))</f>
        <v/>
      </c>
      <c r="D243">
        <f>IF(OR(SwitchUniverse&lt;&gt;"ON",$B243=""),"",BDP($B243,"GICS_SECTOR_NAME"))</f>
        <v/>
      </c>
    </row>
    <row r="244" spans="2:4">
      <c r="B244">
        <f>IF(TRIM(A244&amp;"")="","",IF(RIGHT(TRIM(A244),7)=" Equity",TRIM(A244),TRIM(A244)&amp;" Equity"))</f>
        <v/>
      </c>
      <c r="C244">
        <f>IF(OR(SwitchUniverse&lt;&gt;"ON",$B244=""),"",BDP($B244,"NAME"))</f>
        <v/>
      </c>
      <c r="D244">
        <f>IF(OR(SwitchUniverse&lt;&gt;"ON",$B244=""),"",BDP($B244,"GICS_SECTOR_NAME"))</f>
        <v/>
      </c>
    </row>
    <row r="245" spans="2:4">
      <c r="B245">
        <f>IF(TRIM(A245&amp;"")="","",IF(RIGHT(TRIM(A245),7)=" Equity",TRIM(A245),TRIM(A245)&amp;" Equity"))</f>
        <v/>
      </c>
      <c r="C245">
        <f>IF(OR(SwitchUniverse&lt;&gt;"ON",$B245=""),"",BDP($B245,"NAME"))</f>
        <v/>
      </c>
      <c r="D245">
        <f>IF(OR(SwitchUniverse&lt;&gt;"ON",$B245=""),"",BDP($B245,"GICS_SECTOR_NAME"))</f>
        <v/>
      </c>
    </row>
    <row r="246" spans="2:4">
      <c r="B246">
        <f>IF(TRIM(A246&amp;"")="","",IF(RIGHT(TRIM(A246),7)=" Equity",TRIM(A246),TRIM(A246)&amp;" Equity"))</f>
        <v/>
      </c>
      <c r="C246">
        <f>IF(OR(SwitchUniverse&lt;&gt;"ON",$B246=""),"",BDP($B246,"NAME"))</f>
        <v/>
      </c>
      <c r="D246">
        <f>IF(OR(SwitchUniverse&lt;&gt;"ON",$B246=""),"",BDP($B246,"GICS_SECTOR_NAME"))</f>
        <v/>
      </c>
    </row>
    <row r="247" spans="2:4">
      <c r="B247">
        <f>IF(TRIM(A247&amp;"")="","",IF(RIGHT(TRIM(A247),7)=" Equity",TRIM(A247),TRIM(A247)&amp;" Equity"))</f>
        <v/>
      </c>
      <c r="C247">
        <f>IF(OR(SwitchUniverse&lt;&gt;"ON",$B247=""),"",BDP($B247,"NAME"))</f>
        <v/>
      </c>
      <c r="D247">
        <f>IF(OR(SwitchUniverse&lt;&gt;"ON",$B247=""),"",BDP($B247,"GICS_SECTOR_NAME"))</f>
        <v/>
      </c>
    </row>
    <row r="248" spans="2:4">
      <c r="B248">
        <f>IF(TRIM(A248&amp;"")="","",IF(RIGHT(TRIM(A248),7)=" Equity",TRIM(A248),TRIM(A248)&amp;" Equity"))</f>
        <v/>
      </c>
      <c r="C248">
        <f>IF(OR(SwitchUniverse&lt;&gt;"ON",$B248=""),"",BDP($B248,"NAME"))</f>
        <v/>
      </c>
      <c r="D248">
        <f>IF(OR(SwitchUniverse&lt;&gt;"ON",$B248=""),"",BDP($B248,"GICS_SECTOR_NAME"))</f>
        <v/>
      </c>
    </row>
    <row r="249" spans="2:4">
      <c r="B249">
        <f>IF(TRIM(A249&amp;"")="","",IF(RIGHT(TRIM(A249),7)=" Equity",TRIM(A249),TRIM(A249)&amp;" Equity"))</f>
        <v/>
      </c>
      <c r="C249">
        <f>IF(OR(SwitchUniverse&lt;&gt;"ON",$B249=""),"",BDP($B249,"NAME"))</f>
        <v/>
      </c>
      <c r="D249">
        <f>IF(OR(SwitchUniverse&lt;&gt;"ON",$B249=""),"",BDP($B249,"GICS_SECTOR_NAME"))</f>
        <v/>
      </c>
    </row>
    <row r="250" spans="2:4">
      <c r="B250">
        <f>IF(TRIM(A250&amp;"")="","",IF(RIGHT(TRIM(A250),7)=" Equity",TRIM(A250),TRIM(A250)&amp;" Equity"))</f>
        <v/>
      </c>
      <c r="C250">
        <f>IF(OR(SwitchUniverse&lt;&gt;"ON",$B250=""),"",BDP($B250,"NAME"))</f>
        <v/>
      </c>
      <c r="D250">
        <f>IF(OR(SwitchUniverse&lt;&gt;"ON",$B250=""),"",BDP($B250,"GICS_SECTOR_NAME"))</f>
        <v/>
      </c>
    </row>
    <row r="251" spans="2:4">
      <c r="B251">
        <f>IF(TRIM(A251&amp;"")="","",IF(RIGHT(TRIM(A251),7)=" Equity",TRIM(A251),TRIM(A251)&amp;" Equity"))</f>
        <v/>
      </c>
      <c r="C251">
        <f>IF(OR(SwitchUniverse&lt;&gt;"ON",$B251=""),"",BDP($B251,"NAME"))</f>
        <v/>
      </c>
      <c r="D251">
        <f>IF(OR(SwitchUniverse&lt;&gt;"ON",$B251=""),"",BDP($B251,"GICS_SECTOR_NAME"))</f>
        <v/>
      </c>
    </row>
    <row r="252" spans="2:4">
      <c r="B252">
        <f>IF(TRIM(A252&amp;"")="","",IF(RIGHT(TRIM(A252),7)=" Equity",TRIM(A252),TRIM(A252)&amp;" Equity"))</f>
        <v/>
      </c>
      <c r="C252">
        <f>IF(OR(SwitchUniverse&lt;&gt;"ON",$B252=""),"",BDP($B252,"NAME"))</f>
        <v/>
      </c>
      <c r="D252">
        <f>IF(OR(SwitchUniverse&lt;&gt;"ON",$B252=""),"",BDP($B252,"GICS_SECTOR_NAME"))</f>
        <v/>
      </c>
    </row>
    <row r="253" spans="2:4">
      <c r="B253">
        <f>IF(TRIM(A253&amp;"")="","",IF(RIGHT(TRIM(A253),7)=" Equity",TRIM(A253),TRIM(A253)&amp;" Equity"))</f>
        <v/>
      </c>
      <c r="C253">
        <f>IF(OR(SwitchUniverse&lt;&gt;"ON",$B253=""),"",BDP($B253,"NAME"))</f>
        <v/>
      </c>
      <c r="D253">
        <f>IF(OR(SwitchUniverse&lt;&gt;"ON",$B253=""),"",BDP($B253,"GICS_SECTOR_NAME"))</f>
        <v/>
      </c>
    </row>
    <row r="254" spans="2:4">
      <c r="B254">
        <f>IF(TRIM(A254&amp;"")="","",IF(RIGHT(TRIM(A254),7)=" Equity",TRIM(A254),TRIM(A254)&amp;" Equity"))</f>
        <v/>
      </c>
      <c r="C254">
        <f>IF(OR(SwitchUniverse&lt;&gt;"ON",$B254=""),"",BDP($B254,"NAME"))</f>
        <v/>
      </c>
      <c r="D254">
        <f>IF(OR(SwitchUniverse&lt;&gt;"ON",$B254=""),"",BDP($B254,"GICS_SECTOR_NAME"))</f>
        <v/>
      </c>
    </row>
    <row r="255" spans="2:4">
      <c r="B255">
        <f>IF(TRIM(A255&amp;"")="","",IF(RIGHT(TRIM(A255),7)=" Equity",TRIM(A255),TRIM(A255)&amp;" Equity"))</f>
        <v/>
      </c>
      <c r="C255">
        <f>IF(OR(SwitchUniverse&lt;&gt;"ON",$B255=""),"",BDP($B255,"NAME"))</f>
        <v/>
      </c>
      <c r="D255">
        <f>IF(OR(SwitchUniverse&lt;&gt;"ON",$B255=""),"",BDP($B255,"GICS_SECTOR_NAME"))</f>
        <v/>
      </c>
    </row>
    <row r="256" spans="2:4">
      <c r="B256">
        <f>IF(TRIM(A256&amp;"")="","",IF(RIGHT(TRIM(A256),7)=" Equity",TRIM(A256),TRIM(A256)&amp;" Equity"))</f>
        <v/>
      </c>
      <c r="C256">
        <f>IF(OR(SwitchUniverse&lt;&gt;"ON",$B256=""),"",BDP($B256,"NAME"))</f>
        <v/>
      </c>
      <c r="D256">
        <f>IF(OR(SwitchUniverse&lt;&gt;"ON",$B256=""),"",BDP($B256,"GICS_SECTOR_NAME"))</f>
        <v/>
      </c>
    </row>
    <row r="257" spans="2:4">
      <c r="B257">
        <f>IF(TRIM(A257&amp;"")="","",IF(RIGHT(TRIM(A257),7)=" Equity",TRIM(A257),TRIM(A257)&amp;" Equity"))</f>
        <v/>
      </c>
      <c r="C257">
        <f>IF(OR(SwitchUniverse&lt;&gt;"ON",$B257=""),"",BDP($B257,"NAME"))</f>
        <v/>
      </c>
      <c r="D257">
        <f>IF(OR(SwitchUniverse&lt;&gt;"ON",$B257=""),"",BDP($B257,"GICS_SECTOR_NAME"))</f>
        <v/>
      </c>
    </row>
    <row r="258" spans="2:4">
      <c r="B258">
        <f>IF(TRIM(A258&amp;"")="","",IF(RIGHT(TRIM(A258),7)=" Equity",TRIM(A258),TRIM(A258)&amp;" Equity"))</f>
        <v/>
      </c>
      <c r="C258">
        <f>IF(OR(SwitchUniverse&lt;&gt;"ON",$B258=""),"",BDP($B258,"NAME"))</f>
        <v/>
      </c>
      <c r="D258">
        <f>IF(OR(SwitchUniverse&lt;&gt;"ON",$B258=""),"",BDP($B258,"GICS_SECTOR_NAME"))</f>
        <v/>
      </c>
    </row>
    <row r="259" spans="2:4">
      <c r="B259">
        <f>IF(TRIM(A259&amp;"")="","",IF(RIGHT(TRIM(A259),7)=" Equity",TRIM(A259),TRIM(A259)&amp;" Equity"))</f>
        <v/>
      </c>
      <c r="C259">
        <f>IF(OR(SwitchUniverse&lt;&gt;"ON",$B259=""),"",BDP($B259,"NAME"))</f>
        <v/>
      </c>
      <c r="D259">
        <f>IF(OR(SwitchUniverse&lt;&gt;"ON",$B259=""),"",BDP($B259,"GICS_SECTOR_NAME"))</f>
        <v/>
      </c>
    </row>
    <row r="260" spans="2:4">
      <c r="B260">
        <f>IF(TRIM(A260&amp;"")="","",IF(RIGHT(TRIM(A260),7)=" Equity",TRIM(A260),TRIM(A260)&amp;" Equity"))</f>
        <v/>
      </c>
      <c r="C260">
        <f>IF(OR(SwitchUniverse&lt;&gt;"ON",$B260=""),"",BDP($B260,"NAME"))</f>
        <v/>
      </c>
      <c r="D260">
        <f>IF(OR(SwitchUniverse&lt;&gt;"ON",$B260=""),"",BDP($B260,"GICS_SECTOR_NAME"))</f>
        <v/>
      </c>
    </row>
    <row r="261" spans="2:4">
      <c r="B261">
        <f>IF(TRIM(A261&amp;"")="","",IF(RIGHT(TRIM(A261),7)=" Equity",TRIM(A261),TRIM(A261)&amp;" Equity"))</f>
        <v/>
      </c>
      <c r="C261">
        <f>IF(OR(SwitchUniverse&lt;&gt;"ON",$B261=""),"",BDP($B261,"NAME"))</f>
        <v/>
      </c>
      <c r="D261">
        <f>IF(OR(SwitchUniverse&lt;&gt;"ON",$B261=""),"",BDP($B261,"GICS_SECTOR_NAME"))</f>
        <v/>
      </c>
    </row>
    <row r="262" spans="2:4">
      <c r="B262">
        <f>IF(TRIM(A262&amp;"")="","",IF(RIGHT(TRIM(A262),7)=" Equity",TRIM(A262),TRIM(A262)&amp;" Equity"))</f>
        <v/>
      </c>
      <c r="C262">
        <f>IF(OR(SwitchUniverse&lt;&gt;"ON",$B262=""),"",BDP($B262,"NAME"))</f>
        <v/>
      </c>
      <c r="D262">
        <f>IF(OR(SwitchUniverse&lt;&gt;"ON",$B262=""),"",BDP($B262,"GICS_SECTOR_NAME"))</f>
        <v/>
      </c>
    </row>
    <row r="263" spans="2:4">
      <c r="B263">
        <f>IF(TRIM(A263&amp;"")="","",IF(RIGHT(TRIM(A263),7)=" Equity",TRIM(A263),TRIM(A263)&amp;" Equity"))</f>
        <v/>
      </c>
      <c r="C263">
        <f>IF(OR(SwitchUniverse&lt;&gt;"ON",$B263=""),"",BDP($B263,"NAME"))</f>
        <v/>
      </c>
      <c r="D263">
        <f>IF(OR(SwitchUniverse&lt;&gt;"ON",$B263=""),"",BDP($B263,"GICS_SECTOR_NAME"))</f>
        <v/>
      </c>
    </row>
    <row r="264" spans="2:4">
      <c r="B264">
        <f>IF(TRIM(A264&amp;"")="","",IF(RIGHT(TRIM(A264),7)=" Equity",TRIM(A264),TRIM(A264)&amp;" Equity"))</f>
        <v/>
      </c>
      <c r="C264">
        <f>IF(OR(SwitchUniverse&lt;&gt;"ON",$B264=""),"",BDP($B264,"NAME"))</f>
        <v/>
      </c>
      <c r="D264">
        <f>IF(OR(SwitchUniverse&lt;&gt;"ON",$B264=""),"",BDP($B264,"GICS_SECTOR_NAME"))</f>
        <v/>
      </c>
    </row>
    <row r="265" spans="2:4">
      <c r="B265">
        <f>IF(TRIM(A265&amp;"")="","",IF(RIGHT(TRIM(A265),7)=" Equity",TRIM(A265),TRIM(A265)&amp;" Equity"))</f>
        <v/>
      </c>
      <c r="C265">
        <f>IF(OR(SwitchUniverse&lt;&gt;"ON",$B265=""),"",BDP($B265,"NAME"))</f>
        <v/>
      </c>
      <c r="D265">
        <f>IF(OR(SwitchUniverse&lt;&gt;"ON",$B265=""),"",BDP($B265,"GICS_SECTOR_NAME"))</f>
        <v/>
      </c>
    </row>
    <row r="266" spans="2:4">
      <c r="B266">
        <f>IF(TRIM(A266&amp;"")="","",IF(RIGHT(TRIM(A266),7)=" Equity",TRIM(A266),TRIM(A266)&amp;" Equity"))</f>
        <v/>
      </c>
      <c r="C266">
        <f>IF(OR(SwitchUniverse&lt;&gt;"ON",$B266=""),"",BDP($B266,"NAME"))</f>
        <v/>
      </c>
      <c r="D266">
        <f>IF(OR(SwitchUniverse&lt;&gt;"ON",$B266=""),"",BDP($B266,"GICS_SECTOR_NAME"))</f>
        <v/>
      </c>
    </row>
    <row r="267" spans="2:4">
      <c r="B267">
        <f>IF(TRIM(A267&amp;"")="","",IF(RIGHT(TRIM(A267),7)=" Equity",TRIM(A267),TRIM(A267)&amp;" Equity"))</f>
        <v/>
      </c>
      <c r="C267">
        <f>IF(OR(SwitchUniverse&lt;&gt;"ON",$B267=""),"",BDP($B267,"NAME"))</f>
        <v/>
      </c>
      <c r="D267">
        <f>IF(OR(SwitchUniverse&lt;&gt;"ON",$B267=""),"",BDP($B267,"GICS_SECTOR_NAME"))</f>
        <v/>
      </c>
    </row>
    <row r="268" spans="2:4">
      <c r="B268">
        <f>IF(TRIM(A268&amp;"")="","",IF(RIGHT(TRIM(A268),7)=" Equity",TRIM(A268),TRIM(A268)&amp;" Equity"))</f>
        <v/>
      </c>
      <c r="C268">
        <f>IF(OR(SwitchUniverse&lt;&gt;"ON",$B268=""),"",BDP($B268,"NAME"))</f>
        <v/>
      </c>
      <c r="D268">
        <f>IF(OR(SwitchUniverse&lt;&gt;"ON",$B268=""),"",BDP($B268,"GICS_SECTOR_NAME"))</f>
        <v/>
      </c>
    </row>
    <row r="269" spans="2:4">
      <c r="B269">
        <f>IF(TRIM(A269&amp;"")="","",IF(RIGHT(TRIM(A269),7)=" Equity",TRIM(A269),TRIM(A269)&amp;" Equity"))</f>
        <v/>
      </c>
      <c r="C269">
        <f>IF(OR(SwitchUniverse&lt;&gt;"ON",$B269=""),"",BDP($B269,"NAME"))</f>
        <v/>
      </c>
      <c r="D269">
        <f>IF(OR(SwitchUniverse&lt;&gt;"ON",$B269=""),"",BDP($B269,"GICS_SECTOR_NAME"))</f>
        <v/>
      </c>
    </row>
    <row r="270" spans="2:4">
      <c r="B270">
        <f>IF(TRIM(A270&amp;"")="","",IF(RIGHT(TRIM(A270),7)=" Equity",TRIM(A270),TRIM(A270)&amp;" Equity"))</f>
        <v/>
      </c>
      <c r="C270">
        <f>IF(OR(SwitchUniverse&lt;&gt;"ON",$B270=""),"",BDP($B270,"NAME"))</f>
        <v/>
      </c>
      <c r="D270">
        <f>IF(OR(SwitchUniverse&lt;&gt;"ON",$B270=""),"",BDP($B270,"GICS_SECTOR_NAME"))</f>
        <v/>
      </c>
    </row>
    <row r="271" spans="2:4">
      <c r="B271">
        <f>IF(TRIM(A271&amp;"")="","",IF(RIGHT(TRIM(A271),7)=" Equity",TRIM(A271),TRIM(A271)&amp;" Equity"))</f>
        <v/>
      </c>
      <c r="C271">
        <f>IF(OR(SwitchUniverse&lt;&gt;"ON",$B271=""),"",BDP($B271,"NAME"))</f>
        <v/>
      </c>
      <c r="D271">
        <f>IF(OR(SwitchUniverse&lt;&gt;"ON",$B271=""),"",BDP($B271,"GICS_SECTOR_NAME"))</f>
        <v/>
      </c>
    </row>
    <row r="272" spans="2:4">
      <c r="B272">
        <f>IF(TRIM(A272&amp;"")="","",IF(RIGHT(TRIM(A272),7)=" Equity",TRIM(A272),TRIM(A272)&amp;" Equity"))</f>
        <v/>
      </c>
      <c r="C272">
        <f>IF(OR(SwitchUniverse&lt;&gt;"ON",$B272=""),"",BDP($B272,"NAME"))</f>
        <v/>
      </c>
      <c r="D272">
        <f>IF(OR(SwitchUniverse&lt;&gt;"ON",$B272=""),"",BDP($B272,"GICS_SECTOR_NAME"))</f>
        <v/>
      </c>
    </row>
    <row r="273" spans="2:4">
      <c r="B273">
        <f>IF(TRIM(A273&amp;"")="","",IF(RIGHT(TRIM(A273),7)=" Equity",TRIM(A273),TRIM(A273)&amp;" Equity"))</f>
        <v/>
      </c>
      <c r="C273">
        <f>IF(OR(SwitchUniverse&lt;&gt;"ON",$B273=""),"",BDP($B273,"NAME"))</f>
        <v/>
      </c>
      <c r="D273">
        <f>IF(OR(SwitchUniverse&lt;&gt;"ON",$B273=""),"",BDP($B273,"GICS_SECTOR_NAME"))</f>
        <v/>
      </c>
    </row>
    <row r="274" spans="2:4">
      <c r="B274">
        <f>IF(TRIM(A274&amp;"")="","",IF(RIGHT(TRIM(A274),7)=" Equity",TRIM(A274),TRIM(A274)&amp;" Equity"))</f>
        <v/>
      </c>
      <c r="C274">
        <f>IF(OR(SwitchUniverse&lt;&gt;"ON",$B274=""),"",BDP($B274,"NAME"))</f>
        <v/>
      </c>
      <c r="D274">
        <f>IF(OR(SwitchUniverse&lt;&gt;"ON",$B274=""),"",BDP($B274,"GICS_SECTOR_NAME"))</f>
        <v/>
      </c>
    </row>
    <row r="275" spans="2:4">
      <c r="B275">
        <f>IF(TRIM(A275&amp;"")="","",IF(RIGHT(TRIM(A275),7)=" Equity",TRIM(A275),TRIM(A275)&amp;" Equity"))</f>
        <v/>
      </c>
      <c r="C275">
        <f>IF(OR(SwitchUniverse&lt;&gt;"ON",$B275=""),"",BDP($B275,"NAME"))</f>
        <v/>
      </c>
      <c r="D275">
        <f>IF(OR(SwitchUniverse&lt;&gt;"ON",$B275=""),"",BDP($B275,"GICS_SECTOR_NAME"))</f>
        <v/>
      </c>
    </row>
    <row r="276" spans="2:4">
      <c r="B276">
        <f>IF(TRIM(A276&amp;"")="","",IF(RIGHT(TRIM(A276),7)=" Equity",TRIM(A276),TRIM(A276)&amp;" Equity"))</f>
        <v/>
      </c>
      <c r="C276">
        <f>IF(OR(SwitchUniverse&lt;&gt;"ON",$B276=""),"",BDP($B276,"NAME"))</f>
        <v/>
      </c>
      <c r="D276">
        <f>IF(OR(SwitchUniverse&lt;&gt;"ON",$B276=""),"",BDP($B276,"GICS_SECTOR_NAME"))</f>
        <v/>
      </c>
    </row>
    <row r="277" spans="2:4">
      <c r="B277">
        <f>IF(TRIM(A277&amp;"")="","",IF(RIGHT(TRIM(A277),7)=" Equity",TRIM(A277),TRIM(A277)&amp;" Equity"))</f>
        <v/>
      </c>
      <c r="C277">
        <f>IF(OR(SwitchUniverse&lt;&gt;"ON",$B277=""),"",BDP($B277,"NAME"))</f>
        <v/>
      </c>
      <c r="D277">
        <f>IF(OR(SwitchUniverse&lt;&gt;"ON",$B277=""),"",BDP($B277,"GICS_SECTOR_NAME"))</f>
        <v/>
      </c>
    </row>
    <row r="278" spans="2:4">
      <c r="B278">
        <f>IF(TRIM(A278&amp;"")="","",IF(RIGHT(TRIM(A278),7)=" Equity",TRIM(A278),TRIM(A278)&amp;" Equity"))</f>
        <v/>
      </c>
      <c r="C278">
        <f>IF(OR(SwitchUniverse&lt;&gt;"ON",$B278=""),"",BDP($B278,"NAME"))</f>
        <v/>
      </c>
      <c r="D278">
        <f>IF(OR(SwitchUniverse&lt;&gt;"ON",$B278=""),"",BDP($B278,"GICS_SECTOR_NAME"))</f>
        <v/>
      </c>
    </row>
    <row r="279" spans="2:4">
      <c r="B279">
        <f>IF(TRIM(A279&amp;"")="","",IF(RIGHT(TRIM(A279),7)=" Equity",TRIM(A279),TRIM(A279)&amp;" Equity"))</f>
        <v/>
      </c>
      <c r="C279">
        <f>IF(OR(SwitchUniverse&lt;&gt;"ON",$B279=""),"",BDP($B279,"NAME"))</f>
        <v/>
      </c>
      <c r="D279">
        <f>IF(OR(SwitchUniverse&lt;&gt;"ON",$B279=""),"",BDP($B279,"GICS_SECTOR_NAME"))</f>
        <v/>
      </c>
    </row>
    <row r="280" spans="2:4">
      <c r="B280">
        <f>IF(TRIM(A280&amp;"")="","",IF(RIGHT(TRIM(A280),7)=" Equity",TRIM(A280),TRIM(A280)&amp;" Equity"))</f>
        <v/>
      </c>
      <c r="C280">
        <f>IF(OR(SwitchUniverse&lt;&gt;"ON",$B280=""),"",BDP($B280,"NAME"))</f>
        <v/>
      </c>
      <c r="D280">
        <f>IF(OR(SwitchUniverse&lt;&gt;"ON",$B280=""),"",BDP($B280,"GICS_SECTOR_NAME"))</f>
        <v/>
      </c>
    </row>
    <row r="281" spans="2:4">
      <c r="B281">
        <f>IF(TRIM(A281&amp;"")="","",IF(RIGHT(TRIM(A281),7)=" Equity",TRIM(A281),TRIM(A281)&amp;" Equity"))</f>
        <v/>
      </c>
      <c r="C281">
        <f>IF(OR(SwitchUniverse&lt;&gt;"ON",$B281=""),"",BDP($B281,"NAME"))</f>
        <v/>
      </c>
      <c r="D281">
        <f>IF(OR(SwitchUniverse&lt;&gt;"ON",$B281=""),"",BDP($B281,"GICS_SECTOR_NAME"))</f>
        <v/>
      </c>
    </row>
    <row r="282" spans="2:4">
      <c r="B282">
        <f>IF(TRIM(A282&amp;"")="","",IF(RIGHT(TRIM(A282),7)=" Equity",TRIM(A282),TRIM(A282)&amp;" Equity"))</f>
        <v/>
      </c>
      <c r="C282">
        <f>IF(OR(SwitchUniverse&lt;&gt;"ON",$B282=""),"",BDP($B282,"NAME"))</f>
        <v/>
      </c>
      <c r="D282">
        <f>IF(OR(SwitchUniverse&lt;&gt;"ON",$B282=""),"",BDP($B282,"GICS_SECTOR_NAME"))</f>
        <v/>
      </c>
    </row>
    <row r="283" spans="2:4">
      <c r="B283">
        <f>IF(TRIM(A283&amp;"")="","",IF(RIGHT(TRIM(A283),7)=" Equity",TRIM(A283),TRIM(A283)&amp;" Equity"))</f>
        <v/>
      </c>
      <c r="C283">
        <f>IF(OR(SwitchUniverse&lt;&gt;"ON",$B283=""),"",BDP($B283,"NAME"))</f>
        <v/>
      </c>
      <c r="D283">
        <f>IF(OR(SwitchUniverse&lt;&gt;"ON",$B283=""),"",BDP($B283,"GICS_SECTOR_NAME"))</f>
        <v/>
      </c>
    </row>
    <row r="284" spans="2:4">
      <c r="B284">
        <f>IF(TRIM(A284&amp;"")="","",IF(RIGHT(TRIM(A284),7)=" Equity",TRIM(A284),TRIM(A284)&amp;" Equity"))</f>
        <v/>
      </c>
      <c r="C284">
        <f>IF(OR(SwitchUniverse&lt;&gt;"ON",$B284=""),"",BDP($B284,"NAME"))</f>
        <v/>
      </c>
      <c r="D284">
        <f>IF(OR(SwitchUniverse&lt;&gt;"ON",$B284=""),"",BDP($B284,"GICS_SECTOR_NAME"))</f>
        <v/>
      </c>
    </row>
    <row r="285" spans="2:4">
      <c r="B285">
        <f>IF(TRIM(A285&amp;"")="","",IF(RIGHT(TRIM(A285),7)=" Equity",TRIM(A285),TRIM(A285)&amp;" Equity"))</f>
        <v/>
      </c>
      <c r="C285">
        <f>IF(OR(SwitchUniverse&lt;&gt;"ON",$B285=""),"",BDP($B285,"NAME"))</f>
        <v/>
      </c>
      <c r="D285">
        <f>IF(OR(SwitchUniverse&lt;&gt;"ON",$B285=""),"",BDP($B285,"GICS_SECTOR_NAME"))</f>
        <v/>
      </c>
    </row>
    <row r="286" spans="2:4">
      <c r="B286">
        <f>IF(TRIM(A286&amp;"")="","",IF(RIGHT(TRIM(A286),7)=" Equity",TRIM(A286),TRIM(A286)&amp;" Equity"))</f>
        <v/>
      </c>
      <c r="C286">
        <f>IF(OR(SwitchUniverse&lt;&gt;"ON",$B286=""),"",BDP($B286,"NAME"))</f>
        <v/>
      </c>
      <c r="D286">
        <f>IF(OR(SwitchUniverse&lt;&gt;"ON",$B286=""),"",BDP($B286,"GICS_SECTOR_NAME"))</f>
        <v/>
      </c>
    </row>
    <row r="287" spans="2:4">
      <c r="B287">
        <f>IF(TRIM(A287&amp;"")="","",IF(RIGHT(TRIM(A287),7)=" Equity",TRIM(A287),TRIM(A287)&amp;" Equity"))</f>
        <v/>
      </c>
      <c r="C287">
        <f>IF(OR(SwitchUniverse&lt;&gt;"ON",$B287=""),"",BDP($B287,"NAME"))</f>
        <v/>
      </c>
      <c r="D287">
        <f>IF(OR(SwitchUniverse&lt;&gt;"ON",$B287=""),"",BDP($B287,"GICS_SECTOR_NAME"))</f>
        <v/>
      </c>
    </row>
    <row r="288" spans="2:4">
      <c r="B288">
        <f>IF(TRIM(A288&amp;"")="","",IF(RIGHT(TRIM(A288),7)=" Equity",TRIM(A288),TRIM(A288)&amp;" Equity"))</f>
        <v/>
      </c>
      <c r="C288">
        <f>IF(OR(SwitchUniverse&lt;&gt;"ON",$B288=""),"",BDP($B288,"NAME"))</f>
        <v/>
      </c>
      <c r="D288">
        <f>IF(OR(SwitchUniverse&lt;&gt;"ON",$B288=""),"",BDP($B288,"GICS_SECTOR_NAME"))</f>
        <v/>
      </c>
    </row>
    <row r="289" spans="2:4">
      <c r="B289">
        <f>IF(TRIM(A289&amp;"")="","",IF(RIGHT(TRIM(A289),7)=" Equity",TRIM(A289),TRIM(A289)&amp;" Equity"))</f>
        <v/>
      </c>
      <c r="C289">
        <f>IF(OR(SwitchUniverse&lt;&gt;"ON",$B289=""),"",BDP($B289,"NAME"))</f>
        <v/>
      </c>
      <c r="D289">
        <f>IF(OR(SwitchUniverse&lt;&gt;"ON",$B289=""),"",BDP($B289,"GICS_SECTOR_NAME"))</f>
        <v/>
      </c>
    </row>
    <row r="290" spans="2:4">
      <c r="B290">
        <f>IF(TRIM(A290&amp;"")="","",IF(RIGHT(TRIM(A290),7)=" Equity",TRIM(A290),TRIM(A290)&amp;" Equity"))</f>
        <v/>
      </c>
      <c r="C290">
        <f>IF(OR(SwitchUniverse&lt;&gt;"ON",$B290=""),"",BDP($B290,"NAME"))</f>
        <v/>
      </c>
      <c r="D290">
        <f>IF(OR(SwitchUniverse&lt;&gt;"ON",$B290=""),"",BDP($B290,"GICS_SECTOR_NAME"))</f>
        <v/>
      </c>
    </row>
    <row r="291" spans="2:4">
      <c r="B291">
        <f>IF(TRIM(A291&amp;"")="","",IF(RIGHT(TRIM(A291),7)=" Equity",TRIM(A291),TRIM(A291)&amp;" Equity"))</f>
        <v/>
      </c>
      <c r="C291">
        <f>IF(OR(SwitchUniverse&lt;&gt;"ON",$B291=""),"",BDP($B291,"NAME"))</f>
        <v/>
      </c>
      <c r="D291">
        <f>IF(OR(SwitchUniverse&lt;&gt;"ON",$B291=""),"",BDP($B291,"GICS_SECTOR_NAME"))</f>
        <v/>
      </c>
    </row>
    <row r="292" spans="2:4">
      <c r="B292">
        <f>IF(TRIM(A292&amp;"")="","",IF(RIGHT(TRIM(A292),7)=" Equity",TRIM(A292),TRIM(A292)&amp;" Equity"))</f>
        <v/>
      </c>
      <c r="C292">
        <f>IF(OR(SwitchUniverse&lt;&gt;"ON",$B292=""),"",BDP($B292,"NAME"))</f>
        <v/>
      </c>
      <c r="D292">
        <f>IF(OR(SwitchUniverse&lt;&gt;"ON",$B292=""),"",BDP($B292,"GICS_SECTOR_NAME"))</f>
        <v/>
      </c>
    </row>
    <row r="293" spans="2:4">
      <c r="B293">
        <f>IF(TRIM(A293&amp;"")="","",IF(RIGHT(TRIM(A293),7)=" Equity",TRIM(A293),TRIM(A293)&amp;" Equity"))</f>
        <v/>
      </c>
      <c r="C293">
        <f>IF(OR(SwitchUniverse&lt;&gt;"ON",$B293=""),"",BDP($B293,"NAME"))</f>
        <v/>
      </c>
      <c r="D293">
        <f>IF(OR(SwitchUniverse&lt;&gt;"ON",$B293=""),"",BDP($B293,"GICS_SECTOR_NAME"))</f>
        <v/>
      </c>
    </row>
    <row r="294" spans="2:4">
      <c r="B294">
        <f>IF(TRIM(A294&amp;"")="","",IF(RIGHT(TRIM(A294),7)=" Equity",TRIM(A294),TRIM(A294)&amp;" Equity"))</f>
        <v/>
      </c>
      <c r="C294">
        <f>IF(OR(SwitchUniverse&lt;&gt;"ON",$B294=""),"",BDP($B294,"NAME"))</f>
        <v/>
      </c>
      <c r="D294">
        <f>IF(OR(SwitchUniverse&lt;&gt;"ON",$B294=""),"",BDP($B294,"GICS_SECTOR_NAME"))</f>
        <v/>
      </c>
    </row>
    <row r="295" spans="2:4">
      <c r="B295">
        <f>IF(TRIM(A295&amp;"")="","",IF(RIGHT(TRIM(A295),7)=" Equity",TRIM(A295),TRIM(A295)&amp;" Equity"))</f>
        <v/>
      </c>
      <c r="C295">
        <f>IF(OR(SwitchUniverse&lt;&gt;"ON",$B295=""),"",BDP($B295,"NAME"))</f>
        <v/>
      </c>
      <c r="D295">
        <f>IF(OR(SwitchUniverse&lt;&gt;"ON",$B295=""),"",BDP($B295,"GICS_SECTOR_NAME"))</f>
        <v/>
      </c>
    </row>
    <row r="296" spans="2:4">
      <c r="B296">
        <f>IF(TRIM(A296&amp;"")="","",IF(RIGHT(TRIM(A296),7)=" Equity",TRIM(A296),TRIM(A296)&amp;" Equity"))</f>
        <v/>
      </c>
      <c r="C296">
        <f>IF(OR(SwitchUniverse&lt;&gt;"ON",$B296=""),"",BDP($B296,"NAME"))</f>
        <v/>
      </c>
      <c r="D296">
        <f>IF(OR(SwitchUniverse&lt;&gt;"ON",$B296=""),"",BDP($B296,"GICS_SECTOR_NAME"))</f>
        <v/>
      </c>
    </row>
    <row r="297" spans="2:4">
      <c r="B297">
        <f>IF(TRIM(A297&amp;"")="","",IF(RIGHT(TRIM(A297),7)=" Equity",TRIM(A297),TRIM(A297)&amp;" Equity"))</f>
        <v/>
      </c>
      <c r="C297">
        <f>IF(OR(SwitchUniverse&lt;&gt;"ON",$B297=""),"",BDP($B297,"NAME"))</f>
        <v/>
      </c>
      <c r="D297">
        <f>IF(OR(SwitchUniverse&lt;&gt;"ON",$B297=""),"",BDP($B297,"GICS_SECTOR_NAME"))</f>
        <v/>
      </c>
    </row>
    <row r="298" spans="2:4">
      <c r="B298">
        <f>IF(TRIM(A298&amp;"")="","",IF(RIGHT(TRIM(A298),7)=" Equity",TRIM(A298),TRIM(A298)&amp;" Equity"))</f>
        <v/>
      </c>
      <c r="C298">
        <f>IF(OR(SwitchUniverse&lt;&gt;"ON",$B298=""),"",BDP($B298,"NAME"))</f>
        <v/>
      </c>
      <c r="D298">
        <f>IF(OR(SwitchUniverse&lt;&gt;"ON",$B298=""),"",BDP($B298,"GICS_SECTOR_NAME"))</f>
        <v/>
      </c>
    </row>
    <row r="299" spans="2:4">
      <c r="B299">
        <f>IF(TRIM(A299&amp;"")="","",IF(RIGHT(TRIM(A299),7)=" Equity",TRIM(A299),TRIM(A299)&amp;" Equity"))</f>
        <v/>
      </c>
      <c r="C299">
        <f>IF(OR(SwitchUniverse&lt;&gt;"ON",$B299=""),"",BDP($B299,"NAME"))</f>
        <v/>
      </c>
      <c r="D299">
        <f>IF(OR(SwitchUniverse&lt;&gt;"ON",$B299=""),"",BDP($B299,"GICS_SECTOR_NAME"))</f>
        <v/>
      </c>
    </row>
    <row r="300" spans="2:4">
      <c r="B300">
        <f>IF(TRIM(A300&amp;"")="","",IF(RIGHT(TRIM(A300),7)=" Equity",TRIM(A300),TRIM(A300)&amp;" Equity"))</f>
        <v/>
      </c>
      <c r="C300">
        <f>IF(OR(SwitchUniverse&lt;&gt;"ON",$B300=""),"",BDP($B300,"NAME"))</f>
        <v/>
      </c>
      <c r="D300">
        <f>IF(OR(SwitchUniverse&lt;&gt;"ON",$B300=""),"",BDP($B300,"GICS_SECTOR_NAME"))</f>
        <v/>
      </c>
    </row>
    <row r="301" spans="2:4">
      <c r="B301">
        <f>IF(TRIM(A301&amp;"")="","",IF(RIGHT(TRIM(A301),7)=" Equity",TRIM(A301),TRIM(A301)&amp;" Equity"))</f>
        <v/>
      </c>
      <c r="C301">
        <f>IF(OR(SwitchUniverse&lt;&gt;"ON",$B301=""),"",BDP($B301,"NAME"))</f>
        <v/>
      </c>
      <c r="D301">
        <f>IF(OR(SwitchUniverse&lt;&gt;"ON",$B301=""),"",BDP($B301,"GICS_SECTOR_NAME"))</f>
        <v/>
      </c>
    </row>
    <row r="302" spans="2:4">
      <c r="B302">
        <f>IF(TRIM(A302&amp;"")="","",IF(RIGHT(TRIM(A302),7)=" Equity",TRIM(A302),TRIM(A302)&amp;" Equity"))</f>
        <v/>
      </c>
      <c r="C302">
        <f>IF(OR(SwitchUniverse&lt;&gt;"ON",$B302=""),"",BDP($B302,"NAME"))</f>
        <v/>
      </c>
      <c r="D302">
        <f>IF(OR(SwitchUniverse&lt;&gt;"ON",$B302=""),"",BDP($B302,"GICS_SECTOR_NAME"))</f>
        <v/>
      </c>
    </row>
    <row r="303" spans="2:4">
      <c r="B303">
        <f>IF(TRIM(A303&amp;"")="","",IF(RIGHT(TRIM(A303),7)=" Equity",TRIM(A303),TRIM(A303)&amp;" Equity"))</f>
        <v/>
      </c>
      <c r="C303">
        <f>IF(OR(SwitchUniverse&lt;&gt;"ON",$B303=""),"",BDP($B303,"NAME"))</f>
        <v/>
      </c>
      <c r="D303">
        <f>IF(OR(SwitchUniverse&lt;&gt;"ON",$B303=""),"",BDP($B303,"GICS_SECTOR_NAME"))</f>
        <v/>
      </c>
    </row>
    <row r="304" spans="2:4">
      <c r="B304">
        <f>IF(TRIM(A304&amp;"")="","",IF(RIGHT(TRIM(A304),7)=" Equity",TRIM(A304),TRIM(A304)&amp;" Equity"))</f>
        <v/>
      </c>
      <c r="C304">
        <f>IF(OR(SwitchUniverse&lt;&gt;"ON",$B304=""),"",BDP($B304,"NAME"))</f>
        <v/>
      </c>
      <c r="D304">
        <f>IF(OR(SwitchUniverse&lt;&gt;"ON",$B304=""),"",BDP($B304,"GICS_SECTOR_NAME"))</f>
        <v/>
      </c>
    </row>
    <row r="305" spans="2:4">
      <c r="B305">
        <f>IF(TRIM(A305&amp;"")="","",IF(RIGHT(TRIM(A305),7)=" Equity",TRIM(A305),TRIM(A305)&amp;" Equity"))</f>
        <v/>
      </c>
      <c r="C305">
        <f>IF(OR(SwitchUniverse&lt;&gt;"ON",$B305=""),"",BDP($B305,"NAME"))</f>
        <v/>
      </c>
      <c r="D305">
        <f>IF(OR(SwitchUniverse&lt;&gt;"ON",$B305=""),"",BDP($B305,"GICS_SECTOR_NAME"))</f>
        <v/>
      </c>
    </row>
    <row r="306" spans="2:4">
      <c r="B306">
        <f>IF(TRIM(A306&amp;"")="","",IF(RIGHT(TRIM(A306),7)=" Equity",TRIM(A306),TRIM(A306)&amp;" Equity"))</f>
        <v/>
      </c>
      <c r="C306">
        <f>IF(OR(SwitchUniverse&lt;&gt;"ON",$B306=""),"",BDP($B306,"NAME"))</f>
        <v/>
      </c>
      <c r="D306">
        <f>IF(OR(SwitchUniverse&lt;&gt;"ON",$B306=""),"",BDP($B306,"GICS_SECTOR_NAME"))</f>
        <v/>
      </c>
    </row>
    <row r="307" spans="2:4">
      <c r="B307">
        <f>IF(TRIM(A307&amp;"")="","",IF(RIGHT(TRIM(A307),7)=" Equity",TRIM(A307),TRIM(A307)&amp;" Equity"))</f>
        <v/>
      </c>
      <c r="C307">
        <f>IF(OR(SwitchUniverse&lt;&gt;"ON",$B307=""),"",BDP($B307,"NAME"))</f>
        <v/>
      </c>
      <c r="D307">
        <f>IF(OR(SwitchUniverse&lt;&gt;"ON",$B307=""),"",BDP($B307,"GICS_SECTOR_NAME"))</f>
        <v/>
      </c>
    </row>
    <row r="308" spans="2:4">
      <c r="B308">
        <f>IF(TRIM(A308&amp;"")="","",IF(RIGHT(TRIM(A308),7)=" Equity",TRIM(A308),TRIM(A308)&amp;" Equity"))</f>
        <v/>
      </c>
      <c r="C308">
        <f>IF(OR(SwitchUniverse&lt;&gt;"ON",$B308=""),"",BDP($B308,"NAME"))</f>
        <v/>
      </c>
      <c r="D308">
        <f>IF(OR(SwitchUniverse&lt;&gt;"ON",$B308=""),"",BDP($B308,"GICS_SECTOR_NAME"))</f>
        <v/>
      </c>
    </row>
    <row r="309" spans="2:4">
      <c r="B309">
        <f>IF(TRIM(A309&amp;"")="","",IF(RIGHT(TRIM(A309),7)=" Equity",TRIM(A309),TRIM(A309)&amp;" Equity"))</f>
        <v/>
      </c>
      <c r="C309">
        <f>IF(OR(SwitchUniverse&lt;&gt;"ON",$B309=""),"",BDP($B309,"NAME"))</f>
        <v/>
      </c>
      <c r="D309">
        <f>IF(OR(SwitchUniverse&lt;&gt;"ON",$B309=""),"",BDP($B309,"GICS_SECTOR_NAME"))</f>
        <v/>
      </c>
    </row>
    <row r="310" spans="2:4">
      <c r="B310">
        <f>IF(TRIM(A310&amp;"")="","",IF(RIGHT(TRIM(A310),7)=" Equity",TRIM(A310),TRIM(A310)&amp;" Equity"))</f>
        <v/>
      </c>
      <c r="C310">
        <f>IF(OR(SwitchUniverse&lt;&gt;"ON",$B310=""),"",BDP($B310,"NAME"))</f>
        <v/>
      </c>
      <c r="D310">
        <f>IF(OR(SwitchUniverse&lt;&gt;"ON",$B310=""),"",BDP($B310,"GICS_SECTOR_NAME"))</f>
        <v/>
      </c>
    </row>
    <row r="311" spans="2:4">
      <c r="B311">
        <f>IF(TRIM(A311&amp;"")="","",IF(RIGHT(TRIM(A311),7)=" Equity",TRIM(A311),TRIM(A311)&amp;" Equity"))</f>
        <v/>
      </c>
      <c r="C311">
        <f>IF(OR(SwitchUniverse&lt;&gt;"ON",$B311=""),"",BDP($B311,"NAME"))</f>
        <v/>
      </c>
      <c r="D311">
        <f>IF(OR(SwitchUniverse&lt;&gt;"ON",$B311=""),"",BDP($B311,"GICS_SECTOR_NAME"))</f>
        <v/>
      </c>
    </row>
    <row r="312" spans="2:4">
      <c r="B312">
        <f>IF(TRIM(A312&amp;"")="","",IF(RIGHT(TRIM(A312),7)=" Equity",TRIM(A312),TRIM(A312)&amp;" Equity"))</f>
        <v/>
      </c>
      <c r="C312">
        <f>IF(OR(SwitchUniverse&lt;&gt;"ON",$B312=""),"",BDP($B312,"NAME"))</f>
        <v/>
      </c>
      <c r="D312">
        <f>IF(OR(SwitchUniverse&lt;&gt;"ON",$B312=""),"",BDP($B312,"GICS_SECTOR_NAME"))</f>
        <v/>
      </c>
    </row>
    <row r="313" spans="2:4">
      <c r="B313">
        <f>IF(TRIM(A313&amp;"")="","",IF(RIGHT(TRIM(A313),7)=" Equity",TRIM(A313),TRIM(A313)&amp;" Equity"))</f>
        <v/>
      </c>
      <c r="C313">
        <f>IF(OR(SwitchUniverse&lt;&gt;"ON",$B313=""),"",BDP($B313,"NAME"))</f>
        <v/>
      </c>
      <c r="D313">
        <f>IF(OR(SwitchUniverse&lt;&gt;"ON",$B313=""),"",BDP($B313,"GICS_SECTOR_NAME"))</f>
        <v/>
      </c>
    </row>
    <row r="314" spans="2:4">
      <c r="B314">
        <f>IF(TRIM(A314&amp;"")="","",IF(RIGHT(TRIM(A314),7)=" Equity",TRIM(A314),TRIM(A314)&amp;" Equity"))</f>
        <v/>
      </c>
      <c r="C314">
        <f>IF(OR(SwitchUniverse&lt;&gt;"ON",$B314=""),"",BDP($B314,"NAME"))</f>
        <v/>
      </c>
      <c r="D314">
        <f>IF(OR(SwitchUniverse&lt;&gt;"ON",$B314=""),"",BDP($B314,"GICS_SECTOR_NAME"))</f>
        <v/>
      </c>
    </row>
    <row r="315" spans="2:4">
      <c r="B315">
        <f>IF(TRIM(A315&amp;"")="","",IF(RIGHT(TRIM(A315),7)=" Equity",TRIM(A315),TRIM(A315)&amp;" Equity"))</f>
        <v/>
      </c>
      <c r="C315">
        <f>IF(OR(SwitchUniverse&lt;&gt;"ON",$B315=""),"",BDP($B315,"NAME"))</f>
        <v/>
      </c>
      <c r="D315">
        <f>IF(OR(SwitchUniverse&lt;&gt;"ON",$B315=""),"",BDP($B315,"GICS_SECTOR_NAME"))</f>
        <v/>
      </c>
    </row>
    <row r="316" spans="2:4">
      <c r="B316">
        <f>IF(TRIM(A316&amp;"")="","",IF(RIGHT(TRIM(A316),7)=" Equity",TRIM(A316),TRIM(A316)&amp;" Equity"))</f>
        <v/>
      </c>
      <c r="C316">
        <f>IF(OR(SwitchUniverse&lt;&gt;"ON",$B316=""),"",BDP($B316,"NAME"))</f>
        <v/>
      </c>
      <c r="D316">
        <f>IF(OR(SwitchUniverse&lt;&gt;"ON",$B316=""),"",BDP($B316,"GICS_SECTOR_NAME"))</f>
        <v/>
      </c>
    </row>
    <row r="317" spans="2:4">
      <c r="B317">
        <f>IF(TRIM(A317&amp;"")="","",IF(RIGHT(TRIM(A317),7)=" Equity",TRIM(A317),TRIM(A317)&amp;" Equity"))</f>
        <v/>
      </c>
      <c r="C317">
        <f>IF(OR(SwitchUniverse&lt;&gt;"ON",$B317=""),"",BDP($B317,"NAME"))</f>
        <v/>
      </c>
      <c r="D317">
        <f>IF(OR(SwitchUniverse&lt;&gt;"ON",$B317=""),"",BDP($B317,"GICS_SECTOR_NAME"))</f>
        <v/>
      </c>
    </row>
    <row r="318" spans="2:4">
      <c r="B318">
        <f>IF(TRIM(A318&amp;"")="","",IF(RIGHT(TRIM(A318),7)=" Equity",TRIM(A318),TRIM(A318)&amp;" Equity"))</f>
        <v/>
      </c>
      <c r="C318">
        <f>IF(OR(SwitchUniverse&lt;&gt;"ON",$B318=""),"",BDP($B318,"NAME"))</f>
        <v/>
      </c>
      <c r="D318">
        <f>IF(OR(SwitchUniverse&lt;&gt;"ON",$B318=""),"",BDP($B318,"GICS_SECTOR_NAME"))</f>
        <v/>
      </c>
    </row>
    <row r="319" spans="2:4">
      <c r="B319">
        <f>IF(TRIM(A319&amp;"")="","",IF(RIGHT(TRIM(A319),7)=" Equity",TRIM(A319),TRIM(A319)&amp;" Equity"))</f>
        <v/>
      </c>
      <c r="C319">
        <f>IF(OR(SwitchUniverse&lt;&gt;"ON",$B319=""),"",BDP($B319,"NAME"))</f>
        <v/>
      </c>
      <c r="D319">
        <f>IF(OR(SwitchUniverse&lt;&gt;"ON",$B319=""),"",BDP($B319,"GICS_SECTOR_NAME"))</f>
        <v/>
      </c>
    </row>
    <row r="320" spans="2:4">
      <c r="B320">
        <f>IF(TRIM(A320&amp;"")="","",IF(RIGHT(TRIM(A320),7)=" Equity",TRIM(A320),TRIM(A320)&amp;" Equity"))</f>
        <v/>
      </c>
      <c r="C320">
        <f>IF(OR(SwitchUniverse&lt;&gt;"ON",$B320=""),"",BDP($B320,"NAME"))</f>
        <v/>
      </c>
      <c r="D320">
        <f>IF(OR(SwitchUniverse&lt;&gt;"ON",$B320=""),"",BDP($B320,"GICS_SECTOR_NAME"))</f>
        <v/>
      </c>
    </row>
    <row r="321" spans="2:4">
      <c r="B321">
        <f>IF(TRIM(A321&amp;"")="","",IF(RIGHT(TRIM(A321),7)=" Equity",TRIM(A321),TRIM(A321)&amp;" Equity"))</f>
        <v/>
      </c>
      <c r="C321">
        <f>IF(OR(SwitchUniverse&lt;&gt;"ON",$B321=""),"",BDP($B321,"NAME"))</f>
        <v/>
      </c>
      <c r="D321">
        <f>IF(OR(SwitchUniverse&lt;&gt;"ON",$B321=""),"",BDP($B321,"GICS_SECTOR_NAME"))</f>
        <v/>
      </c>
    </row>
    <row r="322" spans="2:4">
      <c r="B322">
        <f>IF(TRIM(A322&amp;"")="","",IF(RIGHT(TRIM(A322),7)=" Equity",TRIM(A322),TRIM(A322)&amp;" Equity"))</f>
        <v/>
      </c>
      <c r="C322">
        <f>IF(OR(SwitchUniverse&lt;&gt;"ON",$B322=""),"",BDP($B322,"NAME"))</f>
        <v/>
      </c>
      <c r="D322">
        <f>IF(OR(SwitchUniverse&lt;&gt;"ON",$B322=""),"",BDP($B322,"GICS_SECTOR_NAME"))</f>
        <v/>
      </c>
    </row>
    <row r="323" spans="2:4">
      <c r="B323">
        <f>IF(TRIM(A323&amp;"")="","",IF(RIGHT(TRIM(A323),7)=" Equity",TRIM(A323),TRIM(A323)&amp;" Equity"))</f>
        <v/>
      </c>
      <c r="C323">
        <f>IF(OR(SwitchUniverse&lt;&gt;"ON",$B323=""),"",BDP($B323,"NAME"))</f>
        <v/>
      </c>
      <c r="D323">
        <f>IF(OR(SwitchUniverse&lt;&gt;"ON",$B323=""),"",BDP($B323,"GICS_SECTOR_NAME"))</f>
        <v/>
      </c>
    </row>
    <row r="324" spans="2:4">
      <c r="B324">
        <f>IF(TRIM(A324&amp;"")="","",IF(RIGHT(TRIM(A324),7)=" Equity",TRIM(A324),TRIM(A324)&amp;" Equity"))</f>
        <v/>
      </c>
      <c r="C324">
        <f>IF(OR(SwitchUniverse&lt;&gt;"ON",$B324=""),"",BDP($B324,"NAME"))</f>
        <v/>
      </c>
      <c r="D324">
        <f>IF(OR(SwitchUniverse&lt;&gt;"ON",$B324=""),"",BDP($B324,"GICS_SECTOR_NAME"))</f>
        <v/>
      </c>
    </row>
    <row r="325" spans="2:4">
      <c r="B325">
        <f>IF(TRIM(A325&amp;"")="","",IF(RIGHT(TRIM(A325),7)=" Equity",TRIM(A325),TRIM(A325)&amp;" Equity"))</f>
        <v/>
      </c>
      <c r="C325">
        <f>IF(OR(SwitchUniverse&lt;&gt;"ON",$B325=""),"",BDP($B325,"NAME"))</f>
        <v/>
      </c>
      <c r="D325">
        <f>IF(OR(SwitchUniverse&lt;&gt;"ON",$B325=""),"",BDP($B325,"GICS_SECTOR_NAME"))</f>
        <v/>
      </c>
    </row>
    <row r="326" spans="2:4">
      <c r="B326">
        <f>IF(TRIM(A326&amp;"")="","",IF(RIGHT(TRIM(A326),7)=" Equity",TRIM(A326),TRIM(A326)&amp;" Equity"))</f>
        <v/>
      </c>
      <c r="C326">
        <f>IF(OR(SwitchUniverse&lt;&gt;"ON",$B326=""),"",BDP($B326,"NAME"))</f>
        <v/>
      </c>
      <c r="D326">
        <f>IF(OR(SwitchUniverse&lt;&gt;"ON",$B326=""),"",BDP($B326,"GICS_SECTOR_NAME"))</f>
        <v/>
      </c>
    </row>
    <row r="327" spans="2:4">
      <c r="B327">
        <f>IF(TRIM(A327&amp;"")="","",IF(RIGHT(TRIM(A327),7)=" Equity",TRIM(A327),TRIM(A327)&amp;" Equity"))</f>
        <v/>
      </c>
      <c r="C327">
        <f>IF(OR(SwitchUniverse&lt;&gt;"ON",$B327=""),"",BDP($B327,"NAME"))</f>
        <v/>
      </c>
      <c r="D327">
        <f>IF(OR(SwitchUniverse&lt;&gt;"ON",$B327=""),"",BDP($B327,"GICS_SECTOR_NAME"))</f>
        <v/>
      </c>
    </row>
    <row r="328" spans="2:4">
      <c r="B328">
        <f>IF(TRIM(A328&amp;"")="","",IF(RIGHT(TRIM(A328),7)=" Equity",TRIM(A328),TRIM(A328)&amp;" Equity"))</f>
        <v/>
      </c>
      <c r="C328">
        <f>IF(OR(SwitchUniverse&lt;&gt;"ON",$B328=""),"",BDP($B328,"NAME"))</f>
        <v/>
      </c>
      <c r="D328">
        <f>IF(OR(SwitchUniverse&lt;&gt;"ON",$B328=""),"",BDP($B328,"GICS_SECTOR_NAME"))</f>
        <v/>
      </c>
    </row>
    <row r="329" spans="2:4">
      <c r="B329">
        <f>IF(TRIM(A329&amp;"")="","",IF(RIGHT(TRIM(A329),7)=" Equity",TRIM(A329),TRIM(A329)&amp;" Equity"))</f>
        <v/>
      </c>
      <c r="C329">
        <f>IF(OR(SwitchUniverse&lt;&gt;"ON",$B329=""),"",BDP($B329,"NAME"))</f>
        <v/>
      </c>
      <c r="D329">
        <f>IF(OR(SwitchUniverse&lt;&gt;"ON",$B329=""),"",BDP($B329,"GICS_SECTOR_NAME"))</f>
        <v/>
      </c>
    </row>
    <row r="330" spans="2:4">
      <c r="B330">
        <f>IF(TRIM(A330&amp;"")="","",IF(RIGHT(TRIM(A330),7)=" Equity",TRIM(A330),TRIM(A330)&amp;" Equity"))</f>
        <v/>
      </c>
      <c r="C330">
        <f>IF(OR(SwitchUniverse&lt;&gt;"ON",$B330=""),"",BDP($B330,"NAME"))</f>
        <v/>
      </c>
      <c r="D330">
        <f>IF(OR(SwitchUniverse&lt;&gt;"ON",$B330=""),"",BDP($B330,"GICS_SECTOR_NAME"))</f>
        <v/>
      </c>
    </row>
    <row r="331" spans="2:4">
      <c r="B331">
        <f>IF(TRIM(A331&amp;"")="","",IF(RIGHT(TRIM(A331),7)=" Equity",TRIM(A331),TRIM(A331)&amp;" Equity"))</f>
        <v/>
      </c>
      <c r="C331">
        <f>IF(OR(SwitchUniverse&lt;&gt;"ON",$B331=""),"",BDP($B331,"NAME"))</f>
        <v/>
      </c>
      <c r="D331">
        <f>IF(OR(SwitchUniverse&lt;&gt;"ON",$B331=""),"",BDP($B331,"GICS_SECTOR_NAME"))</f>
        <v/>
      </c>
    </row>
    <row r="332" spans="2:4">
      <c r="B332">
        <f>IF(TRIM(A332&amp;"")="","",IF(RIGHT(TRIM(A332),7)=" Equity",TRIM(A332),TRIM(A332)&amp;" Equity"))</f>
        <v/>
      </c>
      <c r="C332">
        <f>IF(OR(SwitchUniverse&lt;&gt;"ON",$B332=""),"",BDP($B332,"NAME"))</f>
        <v/>
      </c>
      <c r="D332">
        <f>IF(OR(SwitchUniverse&lt;&gt;"ON",$B332=""),"",BDP($B332,"GICS_SECTOR_NAME"))</f>
        <v/>
      </c>
    </row>
    <row r="333" spans="2:4">
      <c r="B333">
        <f>IF(TRIM(A333&amp;"")="","",IF(RIGHT(TRIM(A333),7)=" Equity",TRIM(A333),TRIM(A333)&amp;" Equity"))</f>
        <v/>
      </c>
      <c r="C333">
        <f>IF(OR(SwitchUniverse&lt;&gt;"ON",$B333=""),"",BDP($B333,"NAME"))</f>
        <v/>
      </c>
      <c r="D333">
        <f>IF(OR(SwitchUniverse&lt;&gt;"ON",$B333=""),"",BDP($B333,"GICS_SECTOR_NAME"))</f>
        <v/>
      </c>
    </row>
    <row r="334" spans="2:4">
      <c r="B334">
        <f>IF(TRIM(A334&amp;"")="","",IF(RIGHT(TRIM(A334),7)=" Equity",TRIM(A334),TRIM(A334)&amp;" Equity"))</f>
        <v/>
      </c>
      <c r="C334">
        <f>IF(OR(SwitchUniverse&lt;&gt;"ON",$B334=""),"",BDP($B334,"NAME"))</f>
        <v/>
      </c>
      <c r="D334">
        <f>IF(OR(SwitchUniverse&lt;&gt;"ON",$B334=""),"",BDP($B334,"GICS_SECTOR_NAME"))</f>
        <v/>
      </c>
    </row>
    <row r="335" spans="2:4">
      <c r="B335">
        <f>IF(TRIM(A335&amp;"")="","",IF(RIGHT(TRIM(A335),7)=" Equity",TRIM(A335),TRIM(A335)&amp;" Equity"))</f>
        <v/>
      </c>
      <c r="C335">
        <f>IF(OR(SwitchUniverse&lt;&gt;"ON",$B335=""),"",BDP($B335,"NAME"))</f>
        <v/>
      </c>
      <c r="D335">
        <f>IF(OR(SwitchUniverse&lt;&gt;"ON",$B335=""),"",BDP($B335,"GICS_SECTOR_NAME"))</f>
        <v/>
      </c>
    </row>
    <row r="336" spans="2:4">
      <c r="B336">
        <f>IF(TRIM(A336&amp;"")="","",IF(RIGHT(TRIM(A336),7)=" Equity",TRIM(A336),TRIM(A336)&amp;" Equity"))</f>
        <v/>
      </c>
      <c r="C336">
        <f>IF(OR(SwitchUniverse&lt;&gt;"ON",$B336=""),"",BDP($B336,"NAME"))</f>
        <v/>
      </c>
      <c r="D336">
        <f>IF(OR(SwitchUniverse&lt;&gt;"ON",$B336=""),"",BDP($B336,"GICS_SECTOR_NAME"))</f>
        <v/>
      </c>
    </row>
    <row r="337" spans="2:4">
      <c r="B337">
        <f>IF(TRIM(A337&amp;"")="","",IF(RIGHT(TRIM(A337),7)=" Equity",TRIM(A337),TRIM(A337)&amp;" Equity"))</f>
        <v/>
      </c>
      <c r="C337">
        <f>IF(OR(SwitchUniverse&lt;&gt;"ON",$B337=""),"",BDP($B337,"NAME"))</f>
        <v/>
      </c>
      <c r="D337">
        <f>IF(OR(SwitchUniverse&lt;&gt;"ON",$B337=""),"",BDP($B337,"GICS_SECTOR_NAME"))</f>
        <v/>
      </c>
    </row>
    <row r="338" spans="2:4">
      <c r="B338">
        <f>IF(TRIM(A338&amp;"")="","",IF(RIGHT(TRIM(A338),7)=" Equity",TRIM(A338),TRIM(A338)&amp;" Equity"))</f>
        <v/>
      </c>
      <c r="C338">
        <f>IF(OR(SwitchUniverse&lt;&gt;"ON",$B338=""),"",BDP($B338,"NAME"))</f>
        <v/>
      </c>
      <c r="D338">
        <f>IF(OR(SwitchUniverse&lt;&gt;"ON",$B338=""),"",BDP($B338,"GICS_SECTOR_NAME"))</f>
        <v/>
      </c>
    </row>
    <row r="339" spans="2:4">
      <c r="B339">
        <f>IF(TRIM(A339&amp;"")="","",IF(RIGHT(TRIM(A339),7)=" Equity",TRIM(A339),TRIM(A339)&amp;" Equity"))</f>
        <v/>
      </c>
      <c r="C339">
        <f>IF(OR(SwitchUniverse&lt;&gt;"ON",$B339=""),"",BDP($B339,"NAME"))</f>
        <v/>
      </c>
      <c r="D339">
        <f>IF(OR(SwitchUniverse&lt;&gt;"ON",$B339=""),"",BDP($B339,"GICS_SECTOR_NAME"))</f>
        <v/>
      </c>
    </row>
    <row r="340" spans="2:4">
      <c r="B340">
        <f>IF(TRIM(A340&amp;"")="","",IF(RIGHT(TRIM(A340),7)=" Equity",TRIM(A340),TRIM(A340)&amp;" Equity"))</f>
        <v/>
      </c>
      <c r="C340">
        <f>IF(OR(SwitchUniverse&lt;&gt;"ON",$B340=""),"",BDP($B340,"NAME"))</f>
        <v/>
      </c>
      <c r="D340">
        <f>IF(OR(SwitchUniverse&lt;&gt;"ON",$B340=""),"",BDP($B340,"GICS_SECTOR_NAME"))</f>
        <v/>
      </c>
    </row>
    <row r="341" spans="2:4">
      <c r="B341">
        <f>IF(TRIM(A341&amp;"")="","",IF(RIGHT(TRIM(A341),7)=" Equity",TRIM(A341),TRIM(A341)&amp;" Equity"))</f>
        <v/>
      </c>
      <c r="C341">
        <f>IF(OR(SwitchUniverse&lt;&gt;"ON",$B341=""),"",BDP($B341,"NAME"))</f>
        <v/>
      </c>
      <c r="D341">
        <f>IF(OR(SwitchUniverse&lt;&gt;"ON",$B341=""),"",BDP($B341,"GICS_SECTOR_NAME"))</f>
        <v/>
      </c>
    </row>
    <row r="342" spans="2:4">
      <c r="B342">
        <f>IF(TRIM(A342&amp;"")="","",IF(RIGHT(TRIM(A342),7)=" Equity",TRIM(A342),TRIM(A342)&amp;" Equity"))</f>
        <v/>
      </c>
      <c r="C342">
        <f>IF(OR(SwitchUniverse&lt;&gt;"ON",$B342=""),"",BDP($B342,"NAME"))</f>
        <v/>
      </c>
      <c r="D342">
        <f>IF(OR(SwitchUniverse&lt;&gt;"ON",$B342=""),"",BDP($B342,"GICS_SECTOR_NAME"))</f>
        <v/>
      </c>
    </row>
    <row r="343" spans="2:4">
      <c r="B343">
        <f>IF(TRIM(A343&amp;"")="","",IF(RIGHT(TRIM(A343),7)=" Equity",TRIM(A343),TRIM(A343)&amp;" Equity"))</f>
        <v/>
      </c>
      <c r="C343">
        <f>IF(OR(SwitchUniverse&lt;&gt;"ON",$B343=""),"",BDP($B343,"NAME"))</f>
        <v/>
      </c>
      <c r="D343">
        <f>IF(OR(SwitchUniverse&lt;&gt;"ON",$B343=""),"",BDP($B343,"GICS_SECTOR_NAME"))</f>
        <v/>
      </c>
    </row>
    <row r="344" spans="2:4">
      <c r="B344">
        <f>IF(TRIM(A344&amp;"")="","",IF(RIGHT(TRIM(A344),7)=" Equity",TRIM(A344),TRIM(A344)&amp;" Equity"))</f>
        <v/>
      </c>
      <c r="C344">
        <f>IF(OR(SwitchUniverse&lt;&gt;"ON",$B344=""),"",BDP($B344,"NAME"))</f>
        <v/>
      </c>
      <c r="D344">
        <f>IF(OR(SwitchUniverse&lt;&gt;"ON",$B344=""),"",BDP($B344,"GICS_SECTOR_NAME"))</f>
        <v/>
      </c>
    </row>
    <row r="345" spans="2:4">
      <c r="B345">
        <f>IF(TRIM(A345&amp;"")="","",IF(RIGHT(TRIM(A345),7)=" Equity",TRIM(A345),TRIM(A345)&amp;" Equity"))</f>
        <v/>
      </c>
      <c r="C345">
        <f>IF(OR(SwitchUniverse&lt;&gt;"ON",$B345=""),"",BDP($B345,"NAME"))</f>
        <v/>
      </c>
      <c r="D345">
        <f>IF(OR(SwitchUniverse&lt;&gt;"ON",$B345=""),"",BDP($B345,"GICS_SECTOR_NAME"))</f>
        <v/>
      </c>
    </row>
    <row r="346" spans="2:4">
      <c r="B346">
        <f>IF(TRIM(A346&amp;"")="","",IF(RIGHT(TRIM(A346),7)=" Equity",TRIM(A346),TRIM(A346)&amp;" Equity"))</f>
        <v/>
      </c>
      <c r="C346">
        <f>IF(OR(SwitchUniverse&lt;&gt;"ON",$B346=""),"",BDP($B346,"NAME"))</f>
        <v/>
      </c>
      <c r="D346">
        <f>IF(OR(SwitchUniverse&lt;&gt;"ON",$B346=""),"",BDP($B346,"GICS_SECTOR_NAME"))</f>
        <v/>
      </c>
    </row>
    <row r="347" spans="2:4">
      <c r="B347">
        <f>IF(TRIM(A347&amp;"")="","",IF(RIGHT(TRIM(A347),7)=" Equity",TRIM(A347),TRIM(A347)&amp;" Equity"))</f>
        <v/>
      </c>
      <c r="C347">
        <f>IF(OR(SwitchUniverse&lt;&gt;"ON",$B347=""),"",BDP($B347,"NAME"))</f>
        <v/>
      </c>
      <c r="D347">
        <f>IF(OR(SwitchUniverse&lt;&gt;"ON",$B347=""),"",BDP($B347,"GICS_SECTOR_NAME"))</f>
        <v/>
      </c>
    </row>
    <row r="348" spans="2:4">
      <c r="B348">
        <f>IF(TRIM(A348&amp;"")="","",IF(RIGHT(TRIM(A348),7)=" Equity",TRIM(A348),TRIM(A348)&amp;" Equity"))</f>
        <v/>
      </c>
      <c r="C348">
        <f>IF(OR(SwitchUniverse&lt;&gt;"ON",$B348=""),"",BDP($B348,"NAME"))</f>
        <v/>
      </c>
      <c r="D348">
        <f>IF(OR(SwitchUniverse&lt;&gt;"ON",$B348=""),"",BDP($B348,"GICS_SECTOR_NAME"))</f>
        <v/>
      </c>
    </row>
    <row r="349" spans="2:4">
      <c r="B349">
        <f>IF(TRIM(A349&amp;"")="","",IF(RIGHT(TRIM(A349),7)=" Equity",TRIM(A349),TRIM(A349)&amp;" Equity"))</f>
        <v/>
      </c>
      <c r="C349">
        <f>IF(OR(SwitchUniverse&lt;&gt;"ON",$B349=""),"",BDP($B349,"NAME"))</f>
        <v/>
      </c>
      <c r="D349">
        <f>IF(OR(SwitchUniverse&lt;&gt;"ON",$B349=""),"",BDP($B349,"GICS_SECTOR_NAME"))</f>
        <v/>
      </c>
    </row>
    <row r="350" spans="2:4">
      <c r="B350">
        <f>IF(TRIM(A350&amp;"")="","",IF(RIGHT(TRIM(A350),7)=" Equity",TRIM(A350),TRIM(A350)&amp;" Equity"))</f>
        <v/>
      </c>
      <c r="C350">
        <f>IF(OR(SwitchUniverse&lt;&gt;"ON",$B350=""),"",BDP($B350,"NAME"))</f>
        <v/>
      </c>
      <c r="D350">
        <f>IF(OR(SwitchUniverse&lt;&gt;"ON",$B350=""),"",BDP($B350,"GICS_SECTOR_NAME"))</f>
        <v/>
      </c>
    </row>
    <row r="351" spans="2:4">
      <c r="B351">
        <f>IF(TRIM(A351&amp;"")="","",IF(RIGHT(TRIM(A351),7)=" Equity",TRIM(A351),TRIM(A351)&amp;" Equity"))</f>
        <v/>
      </c>
      <c r="C351">
        <f>IF(OR(SwitchUniverse&lt;&gt;"ON",$B351=""),"",BDP($B351,"NAME"))</f>
        <v/>
      </c>
      <c r="D351">
        <f>IF(OR(SwitchUniverse&lt;&gt;"ON",$B351=""),"",BDP($B351,"GICS_SECTOR_NAME"))</f>
        <v/>
      </c>
    </row>
    <row r="352" spans="2:4">
      <c r="B352">
        <f>IF(TRIM(A352&amp;"")="","",IF(RIGHT(TRIM(A352),7)=" Equity",TRIM(A352),TRIM(A352)&amp;" Equity"))</f>
        <v/>
      </c>
      <c r="C352">
        <f>IF(OR(SwitchUniverse&lt;&gt;"ON",$B352=""),"",BDP($B352,"NAME"))</f>
        <v/>
      </c>
      <c r="D352">
        <f>IF(OR(SwitchUniverse&lt;&gt;"ON",$B352=""),"",BDP($B352,"GICS_SECTOR_NAME"))</f>
        <v/>
      </c>
    </row>
    <row r="353" spans="2:4">
      <c r="B353">
        <f>IF(TRIM(A353&amp;"")="","",IF(RIGHT(TRIM(A353),7)=" Equity",TRIM(A353),TRIM(A353)&amp;" Equity"))</f>
        <v/>
      </c>
      <c r="C353">
        <f>IF(OR(SwitchUniverse&lt;&gt;"ON",$B353=""),"",BDP($B353,"NAME"))</f>
        <v/>
      </c>
      <c r="D353">
        <f>IF(OR(SwitchUniverse&lt;&gt;"ON",$B353=""),"",BDP($B353,"GICS_SECTOR_NAME"))</f>
        <v/>
      </c>
    </row>
    <row r="354" spans="2:4">
      <c r="B354">
        <f>IF(TRIM(A354&amp;"")="","",IF(RIGHT(TRIM(A354),7)=" Equity",TRIM(A354),TRIM(A354)&amp;" Equity"))</f>
        <v/>
      </c>
      <c r="C354">
        <f>IF(OR(SwitchUniverse&lt;&gt;"ON",$B354=""),"",BDP($B354,"NAME"))</f>
        <v/>
      </c>
      <c r="D354">
        <f>IF(OR(SwitchUniverse&lt;&gt;"ON",$B354=""),"",BDP($B354,"GICS_SECTOR_NAME"))</f>
        <v/>
      </c>
    </row>
    <row r="355" spans="2:4">
      <c r="B355">
        <f>IF(TRIM(A355&amp;"")="","",IF(RIGHT(TRIM(A355),7)=" Equity",TRIM(A355),TRIM(A355)&amp;" Equity"))</f>
        <v/>
      </c>
      <c r="C355">
        <f>IF(OR(SwitchUniverse&lt;&gt;"ON",$B355=""),"",BDP($B355,"NAME"))</f>
        <v/>
      </c>
      <c r="D355">
        <f>IF(OR(SwitchUniverse&lt;&gt;"ON",$B355=""),"",BDP($B355,"GICS_SECTOR_NAME"))</f>
        <v/>
      </c>
    </row>
    <row r="356" spans="2:4">
      <c r="B356">
        <f>IF(TRIM(A356&amp;"")="","",IF(RIGHT(TRIM(A356),7)=" Equity",TRIM(A356),TRIM(A356)&amp;" Equity"))</f>
        <v/>
      </c>
      <c r="C356">
        <f>IF(OR(SwitchUniverse&lt;&gt;"ON",$B356=""),"",BDP($B356,"NAME"))</f>
        <v/>
      </c>
      <c r="D356">
        <f>IF(OR(SwitchUniverse&lt;&gt;"ON",$B356=""),"",BDP($B356,"GICS_SECTOR_NAME"))</f>
        <v/>
      </c>
    </row>
    <row r="357" spans="2:4">
      <c r="B357">
        <f>IF(TRIM(A357&amp;"")="","",IF(RIGHT(TRIM(A357),7)=" Equity",TRIM(A357),TRIM(A357)&amp;" Equity"))</f>
        <v/>
      </c>
      <c r="C357">
        <f>IF(OR(SwitchUniverse&lt;&gt;"ON",$B357=""),"",BDP($B357,"NAME"))</f>
        <v/>
      </c>
      <c r="D357">
        <f>IF(OR(SwitchUniverse&lt;&gt;"ON",$B357=""),"",BDP($B357,"GICS_SECTOR_NAME"))</f>
        <v/>
      </c>
    </row>
    <row r="358" spans="2:4">
      <c r="B358">
        <f>IF(TRIM(A358&amp;"")="","",IF(RIGHT(TRIM(A358),7)=" Equity",TRIM(A358),TRIM(A358)&amp;" Equity"))</f>
        <v/>
      </c>
      <c r="C358">
        <f>IF(OR(SwitchUniverse&lt;&gt;"ON",$B358=""),"",BDP($B358,"NAME"))</f>
        <v/>
      </c>
      <c r="D358">
        <f>IF(OR(SwitchUniverse&lt;&gt;"ON",$B358=""),"",BDP($B358,"GICS_SECTOR_NAME"))</f>
        <v/>
      </c>
    </row>
    <row r="359" spans="2:4">
      <c r="B359">
        <f>IF(TRIM(A359&amp;"")="","",IF(RIGHT(TRIM(A359),7)=" Equity",TRIM(A359),TRIM(A359)&amp;" Equity"))</f>
        <v/>
      </c>
      <c r="C359">
        <f>IF(OR(SwitchUniverse&lt;&gt;"ON",$B359=""),"",BDP($B359,"NAME"))</f>
        <v/>
      </c>
      <c r="D359">
        <f>IF(OR(SwitchUniverse&lt;&gt;"ON",$B359=""),"",BDP($B359,"GICS_SECTOR_NAME"))</f>
        <v/>
      </c>
    </row>
    <row r="360" spans="2:4">
      <c r="B360">
        <f>IF(TRIM(A360&amp;"")="","",IF(RIGHT(TRIM(A360),7)=" Equity",TRIM(A360),TRIM(A360)&amp;" Equity"))</f>
        <v/>
      </c>
      <c r="C360">
        <f>IF(OR(SwitchUniverse&lt;&gt;"ON",$B360=""),"",BDP($B360,"NAME"))</f>
        <v/>
      </c>
      <c r="D360">
        <f>IF(OR(SwitchUniverse&lt;&gt;"ON",$B360=""),"",BDP($B360,"GICS_SECTOR_NAME"))</f>
        <v/>
      </c>
    </row>
    <row r="361" spans="2:4">
      <c r="B361">
        <f>IF(TRIM(A361&amp;"")="","",IF(RIGHT(TRIM(A361),7)=" Equity",TRIM(A361),TRIM(A361)&amp;" Equity"))</f>
        <v/>
      </c>
      <c r="C361">
        <f>IF(OR(SwitchUniverse&lt;&gt;"ON",$B361=""),"",BDP($B361,"NAME"))</f>
        <v/>
      </c>
      <c r="D361">
        <f>IF(OR(SwitchUniverse&lt;&gt;"ON",$B361=""),"",BDP($B361,"GICS_SECTOR_NAME"))</f>
        <v/>
      </c>
    </row>
    <row r="362" spans="2:4">
      <c r="B362">
        <f>IF(TRIM(A362&amp;"")="","",IF(RIGHT(TRIM(A362),7)=" Equity",TRIM(A362),TRIM(A362)&amp;" Equity"))</f>
        <v/>
      </c>
      <c r="C362">
        <f>IF(OR(SwitchUniverse&lt;&gt;"ON",$B362=""),"",BDP($B362,"NAME"))</f>
        <v/>
      </c>
      <c r="D362">
        <f>IF(OR(SwitchUniverse&lt;&gt;"ON",$B362=""),"",BDP($B362,"GICS_SECTOR_NAME"))</f>
        <v/>
      </c>
    </row>
    <row r="363" spans="2:4">
      <c r="B363">
        <f>IF(TRIM(A363&amp;"")="","",IF(RIGHT(TRIM(A363),7)=" Equity",TRIM(A363),TRIM(A363)&amp;" Equity"))</f>
        <v/>
      </c>
      <c r="C363">
        <f>IF(OR(SwitchUniverse&lt;&gt;"ON",$B363=""),"",BDP($B363,"NAME"))</f>
        <v/>
      </c>
      <c r="D363">
        <f>IF(OR(SwitchUniverse&lt;&gt;"ON",$B363=""),"",BDP($B363,"GICS_SECTOR_NAME"))</f>
        <v/>
      </c>
    </row>
    <row r="364" spans="2:4">
      <c r="B364">
        <f>IF(TRIM(A364&amp;"")="","",IF(RIGHT(TRIM(A364),7)=" Equity",TRIM(A364),TRIM(A364)&amp;" Equity"))</f>
        <v/>
      </c>
      <c r="C364">
        <f>IF(OR(SwitchUniverse&lt;&gt;"ON",$B364=""),"",BDP($B364,"NAME"))</f>
        <v/>
      </c>
      <c r="D364">
        <f>IF(OR(SwitchUniverse&lt;&gt;"ON",$B364=""),"",BDP($B364,"GICS_SECTOR_NAME"))</f>
        <v/>
      </c>
    </row>
    <row r="365" spans="2:4">
      <c r="B365">
        <f>IF(TRIM(A365&amp;"")="","",IF(RIGHT(TRIM(A365),7)=" Equity",TRIM(A365),TRIM(A365)&amp;" Equity"))</f>
        <v/>
      </c>
      <c r="C365">
        <f>IF(OR(SwitchUniverse&lt;&gt;"ON",$B365=""),"",BDP($B365,"NAME"))</f>
        <v/>
      </c>
      <c r="D365">
        <f>IF(OR(SwitchUniverse&lt;&gt;"ON",$B365=""),"",BDP($B365,"GICS_SECTOR_NAME"))</f>
        <v/>
      </c>
    </row>
    <row r="366" spans="2:4">
      <c r="B366">
        <f>IF(TRIM(A366&amp;"")="","",IF(RIGHT(TRIM(A366),7)=" Equity",TRIM(A366),TRIM(A366)&amp;" Equity"))</f>
        <v/>
      </c>
      <c r="C366">
        <f>IF(OR(SwitchUniverse&lt;&gt;"ON",$B366=""),"",BDP($B366,"NAME"))</f>
        <v/>
      </c>
      <c r="D366">
        <f>IF(OR(SwitchUniverse&lt;&gt;"ON",$B366=""),"",BDP($B366,"GICS_SECTOR_NAME"))</f>
        <v/>
      </c>
    </row>
    <row r="367" spans="2:4">
      <c r="B367">
        <f>IF(TRIM(A367&amp;"")="","",IF(RIGHT(TRIM(A367),7)=" Equity",TRIM(A367),TRIM(A367)&amp;" Equity"))</f>
        <v/>
      </c>
      <c r="C367">
        <f>IF(OR(SwitchUniverse&lt;&gt;"ON",$B367=""),"",BDP($B367,"NAME"))</f>
        <v/>
      </c>
      <c r="D367">
        <f>IF(OR(SwitchUniverse&lt;&gt;"ON",$B367=""),"",BDP($B367,"GICS_SECTOR_NAME"))</f>
        <v/>
      </c>
    </row>
    <row r="368" spans="2:4">
      <c r="B368">
        <f>IF(TRIM(A368&amp;"")="","",IF(RIGHT(TRIM(A368),7)=" Equity",TRIM(A368),TRIM(A368)&amp;" Equity"))</f>
        <v/>
      </c>
      <c r="C368">
        <f>IF(OR(SwitchUniverse&lt;&gt;"ON",$B368=""),"",BDP($B368,"NAME"))</f>
        <v/>
      </c>
      <c r="D368">
        <f>IF(OR(SwitchUniverse&lt;&gt;"ON",$B368=""),"",BDP($B368,"GICS_SECTOR_NAME"))</f>
        <v/>
      </c>
    </row>
    <row r="369" spans="2:4">
      <c r="B369">
        <f>IF(TRIM(A369&amp;"")="","",IF(RIGHT(TRIM(A369),7)=" Equity",TRIM(A369),TRIM(A369)&amp;" Equity"))</f>
        <v/>
      </c>
      <c r="C369">
        <f>IF(OR(SwitchUniverse&lt;&gt;"ON",$B369=""),"",BDP($B369,"NAME"))</f>
        <v/>
      </c>
      <c r="D369">
        <f>IF(OR(SwitchUniverse&lt;&gt;"ON",$B369=""),"",BDP($B369,"GICS_SECTOR_NAME"))</f>
        <v/>
      </c>
    </row>
    <row r="370" spans="2:4">
      <c r="B370">
        <f>IF(TRIM(A370&amp;"")="","",IF(RIGHT(TRIM(A370),7)=" Equity",TRIM(A370),TRIM(A370)&amp;" Equity"))</f>
        <v/>
      </c>
      <c r="C370">
        <f>IF(OR(SwitchUniverse&lt;&gt;"ON",$B370=""),"",BDP($B370,"NAME"))</f>
        <v/>
      </c>
      <c r="D370">
        <f>IF(OR(SwitchUniverse&lt;&gt;"ON",$B370=""),"",BDP($B370,"GICS_SECTOR_NAME"))</f>
        <v/>
      </c>
    </row>
    <row r="371" spans="2:4">
      <c r="B371">
        <f>IF(TRIM(A371&amp;"")="","",IF(RIGHT(TRIM(A371),7)=" Equity",TRIM(A371),TRIM(A371)&amp;" Equity"))</f>
        <v/>
      </c>
      <c r="C371">
        <f>IF(OR(SwitchUniverse&lt;&gt;"ON",$B371=""),"",BDP($B371,"NAME"))</f>
        <v/>
      </c>
      <c r="D371">
        <f>IF(OR(SwitchUniverse&lt;&gt;"ON",$B371=""),"",BDP($B371,"GICS_SECTOR_NAME"))</f>
        <v/>
      </c>
    </row>
    <row r="372" spans="2:4">
      <c r="B372">
        <f>IF(TRIM(A372&amp;"")="","",IF(RIGHT(TRIM(A372),7)=" Equity",TRIM(A372),TRIM(A372)&amp;" Equity"))</f>
        <v/>
      </c>
      <c r="C372">
        <f>IF(OR(SwitchUniverse&lt;&gt;"ON",$B372=""),"",BDP($B372,"NAME"))</f>
        <v/>
      </c>
      <c r="D372">
        <f>IF(OR(SwitchUniverse&lt;&gt;"ON",$B372=""),"",BDP($B372,"GICS_SECTOR_NAME"))</f>
        <v/>
      </c>
    </row>
    <row r="373" spans="2:4">
      <c r="B373">
        <f>IF(TRIM(A373&amp;"")="","",IF(RIGHT(TRIM(A373),7)=" Equity",TRIM(A373),TRIM(A373)&amp;" Equity"))</f>
        <v/>
      </c>
      <c r="C373">
        <f>IF(OR(SwitchUniverse&lt;&gt;"ON",$B373=""),"",BDP($B373,"NAME"))</f>
        <v/>
      </c>
      <c r="D373">
        <f>IF(OR(SwitchUniverse&lt;&gt;"ON",$B373=""),"",BDP($B373,"GICS_SECTOR_NAME"))</f>
        <v/>
      </c>
    </row>
    <row r="374" spans="2:4">
      <c r="B374">
        <f>IF(TRIM(A374&amp;"")="","",IF(RIGHT(TRIM(A374),7)=" Equity",TRIM(A374),TRIM(A374)&amp;" Equity"))</f>
        <v/>
      </c>
      <c r="C374">
        <f>IF(OR(SwitchUniverse&lt;&gt;"ON",$B374=""),"",BDP($B374,"NAME"))</f>
        <v/>
      </c>
      <c r="D374">
        <f>IF(OR(SwitchUniverse&lt;&gt;"ON",$B374=""),"",BDP($B374,"GICS_SECTOR_NAME"))</f>
        <v/>
      </c>
    </row>
    <row r="375" spans="2:4">
      <c r="B375">
        <f>IF(TRIM(A375&amp;"")="","",IF(RIGHT(TRIM(A375),7)=" Equity",TRIM(A375),TRIM(A375)&amp;" Equity"))</f>
        <v/>
      </c>
      <c r="C375">
        <f>IF(OR(SwitchUniverse&lt;&gt;"ON",$B375=""),"",BDP($B375,"NAME"))</f>
        <v/>
      </c>
      <c r="D375">
        <f>IF(OR(SwitchUniverse&lt;&gt;"ON",$B375=""),"",BDP($B375,"GICS_SECTOR_NAME"))</f>
        <v/>
      </c>
    </row>
    <row r="376" spans="2:4">
      <c r="B376">
        <f>IF(TRIM(A376&amp;"")="","",IF(RIGHT(TRIM(A376),7)=" Equity",TRIM(A376),TRIM(A376)&amp;" Equity"))</f>
        <v/>
      </c>
      <c r="C376">
        <f>IF(OR(SwitchUniverse&lt;&gt;"ON",$B376=""),"",BDP($B376,"NAME"))</f>
        <v/>
      </c>
      <c r="D376">
        <f>IF(OR(SwitchUniverse&lt;&gt;"ON",$B376=""),"",BDP($B376,"GICS_SECTOR_NAME"))</f>
        <v/>
      </c>
    </row>
    <row r="377" spans="2:4">
      <c r="B377">
        <f>IF(TRIM(A377&amp;"")="","",IF(RIGHT(TRIM(A377),7)=" Equity",TRIM(A377),TRIM(A377)&amp;" Equity"))</f>
        <v/>
      </c>
      <c r="C377">
        <f>IF(OR(SwitchUniverse&lt;&gt;"ON",$B377=""),"",BDP($B377,"NAME"))</f>
        <v/>
      </c>
      <c r="D377">
        <f>IF(OR(SwitchUniverse&lt;&gt;"ON",$B377=""),"",BDP($B377,"GICS_SECTOR_NAME"))</f>
        <v/>
      </c>
    </row>
    <row r="378" spans="2:4">
      <c r="B378">
        <f>IF(TRIM(A378&amp;"")="","",IF(RIGHT(TRIM(A378),7)=" Equity",TRIM(A378),TRIM(A378)&amp;" Equity"))</f>
        <v/>
      </c>
      <c r="C378">
        <f>IF(OR(SwitchUniverse&lt;&gt;"ON",$B378=""),"",BDP($B378,"NAME"))</f>
        <v/>
      </c>
      <c r="D378">
        <f>IF(OR(SwitchUniverse&lt;&gt;"ON",$B378=""),"",BDP($B378,"GICS_SECTOR_NAME"))</f>
        <v/>
      </c>
    </row>
    <row r="379" spans="2:4">
      <c r="B379">
        <f>IF(TRIM(A379&amp;"")="","",IF(RIGHT(TRIM(A379),7)=" Equity",TRIM(A379),TRIM(A379)&amp;" Equity"))</f>
        <v/>
      </c>
      <c r="C379">
        <f>IF(OR(SwitchUniverse&lt;&gt;"ON",$B379=""),"",BDP($B379,"NAME"))</f>
        <v/>
      </c>
      <c r="D379">
        <f>IF(OR(SwitchUniverse&lt;&gt;"ON",$B379=""),"",BDP($B379,"GICS_SECTOR_NAME"))</f>
        <v/>
      </c>
    </row>
    <row r="380" spans="2:4">
      <c r="B380">
        <f>IF(TRIM(A380&amp;"")="","",IF(RIGHT(TRIM(A380),7)=" Equity",TRIM(A380),TRIM(A380)&amp;" Equity"))</f>
        <v/>
      </c>
      <c r="C380">
        <f>IF(OR(SwitchUniverse&lt;&gt;"ON",$B380=""),"",BDP($B380,"NAME"))</f>
        <v/>
      </c>
      <c r="D380">
        <f>IF(OR(SwitchUniverse&lt;&gt;"ON",$B380=""),"",BDP($B380,"GICS_SECTOR_NAME"))</f>
        <v/>
      </c>
    </row>
    <row r="381" spans="2:4">
      <c r="B381">
        <f>IF(TRIM(A381&amp;"")="","",IF(RIGHT(TRIM(A381),7)=" Equity",TRIM(A381),TRIM(A381)&amp;" Equity"))</f>
        <v/>
      </c>
      <c r="C381">
        <f>IF(OR(SwitchUniverse&lt;&gt;"ON",$B381=""),"",BDP($B381,"NAME"))</f>
        <v/>
      </c>
      <c r="D381">
        <f>IF(OR(SwitchUniverse&lt;&gt;"ON",$B381=""),"",BDP($B381,"GICS_SECTOR_NAME"))</f>
        <v/>
      </c>
    </row>
    <row r="382" spans="2:4">
      <c r="B382">
        <f>IF(TRIM(A382&amp;"")="","",IF(RIGHT(TRIM(A382),7)=" Equity",TRIM(A382),TRIM(A382)&amp;" Equity"))</f>
        <v/>
      </c>
      <c r="C382">
        <f>IF(OR(SwitchUniverse&lt;&gt;"ON",$B382=""),"",BDP($B382,"NAME"))</f>
        <v/>
      </c>
      <c r="D382">
        <f>IF(OR(SwitchUniverse&lt;&gt;"ON",$B382=""),"",BDP($B382,"GICS_SECTOR_NAME"))</f>
        <v/>
      </c>
    </row>
    <row r="383" spans="2:4">
      <c r="B383">
        <f>IF(TRIM(A383&amp;"")="","",IF(RIGHT(TRIM(A383),7)=" Equity",TRIM(A383),TRIM(A383)&amp;" Equity"))</f>
        <v/>
      </c>
      <c r="C383">
        <f>IF(OR(SwitchUniverse&lt;&gt;"ON",$B383=""),"",BDP($B383,"NAME"))</f>
        <v/>
      </c>
      <c r="D383">
        <f>IF(OR(SwitchUniverse&lt;&gt;"ON",$B383=""),"",BDP($B383,"GICS_SECTOR_NAME"))</f>
        <v/>
      </c>
    </row>
    <row r="384" spans="2:4">
      <c r="B384">
        <f>IF(TRIM(A384&amp;"")="","",IF(RIGHT(TRIM(A384),7)=" Equity",TRIM(A384),TRIM(A384)&amp;" Equity"))</f>
        <v/>
      </c>
      <c r="C384">
        <f>IF(OR(SwitchUniverse&lt;&gt;"ON",$B384=""),"",BDP($B384,"NAME"))</f>
        <v/>
      </c>
      <c r="D384">
        <f>IF(OR(SwitchUniverse&lt;&gt;"ON",$B384=""),"",BDP($B384,"GICS_SECTOR_NAME"))</f>
        <v/>
      </c>
    </row>
    <row r="385" spans="2:4">
      <c r="B385">
        <f>IF(TRIM(A385&amp;"")="","",IF(RIGHT(TRIM(A385),7)=" Equity",TRIM(A385),TRIM(A385)&amp;" Equity"))</f>
        <v/>
      </c>
      <c r="C385">
        <f>IF(OR(SwitchUniverse&lt;&gt;"ON",$B385=""),"",BDP($B385,"NAME"))</f>
        <v/>
      </c>
      <c r="D385">
        <f>IF(OR(SwitchUniverse&lt;&gt;"ON",$B385=""),"",BDP($B385,"GICS_SECTOR_NAME"))</f>
        <v/>
      </c>
    </row>
    <row r="386" spans="2:4">
      <c r="B386">
        <f>IF(TRIM(A386&amp;"")="","",IF(RIGHT(TRIM(A386),7)=" Equity",TRIM(A386),TRIM(A386)&amp;" Equity"))</f>
        <v/>
      </c>
      <c r="C386">
        <f>IF(OR(SwitchUniverse&lt;&gt;"ON",$B386=""),"",BDP($B386,"NAME"))</f>
        <v/>
      </c>
      <c r="D386">
        <f>IF(OR(SwitchUniverse&lt;&gt;"ON",$B386=""),"",BDP($B386,"GICS_SECTOR_NAME"))</f>
        <v/>
      </c>
    </row>
    <row r="387" spans="2:4">
      <c r="B387">
        <f>IF(TRIM(A387&amp;"")="","",IF(RIGHT(TRIM(A387),7)=" Equity",TRIM(A387),TRIM(A387)&amp;" Equity"))</f>
        <v/>
      </c>
      <c r="C387">
        <f>IF(OR(SwitchUniverse&lt;&gt;"ON",$B387=""),"",BDP($B387,"NAME"))</f>
        <v/>
      </c>
      <c r="D387">
        <f>IF(OR(SwitchUniverse&lt;&gt;"ON",$B387=""),"",BDP($B387,"GICS_SECTOR_NAME"))</f>
        <v/>
      </c>
    </row>
    <row r="388" spans="2:4">
      <c r="B388">
        <f>IF(TRIM(A388&amp;"")="","",IF(RIGHT(TRIM(A388),7)=" Equity",TRIM(A388),TRIM(A388)&amp;" Equity"))</f>
        <v/>
      </c>
      <c r="C388">
        <f>IF(OR(SwitchUniverse&lt;&gt;"ON",$B388=""),"",BDP($B388,"NAME"))</f>
        <v/>
      </c>
      <c r="D388">
        <f>IF(OR(SwitchUniverse&lt;&gt;"ON",$B388=""),"",BDP($B388,"GICS_SECTOR_NAME"))</f>
        <v/>
      </c>
    </row>
    <row r="389" spans="2:4">
      <c r="B389">
        <f>IF(TRIM(A389&amp;"")="","",IF(RIGHT(TRIM(A389),7)=" Equity",TRIM(A389),TRIM(A389)&amp;" Equity"))</f>
        <v/>
      </c>
      <c r="C389">
        <f>IF(OR(SwitchUniverse&lt;&gt;"ON",$B389=""),"",BDP($B389,"NAME"))</f>
        <v/>
      </c>
      <c r="D389">
        <f>IF(OR(SwitchUniverse&lt;&gt;"ON",$B389=""),"",BDP($B389,"GICS_SECTOR_NAME"))</f>
        <v/>
      </c>
    </row>
    <row r="390" spans="2:4">
      <c r="B390">
        <f>IF(TRIM(A390&amp;"")="","",IF(RIGHT(TRIM(A390),7)=" Equity",TRIM(A390),TRIM(A390)&amp;" Equity"))</f>
        <v/>
      </c>
      <c r="C390">
        <f>IF(OR(SwitchUniverse&lt;&gt;"ON",$B390=""),"",BDP($B390,"NAME"))</f>
        <v/>
      </c>
      <c r="D390">
        <f>IF(OR(SwitchUniverse&lt;&gt;"ON",$B390=""),"",BDP($B390,"GICS_SECTOR_NAME"))</f>
        <v/>
      </c>
    </row>
    <row r="391" spans="2:4">
      <c r="B391">
        <f>IF(TRIM(A391&amp;"")="","",IF(RIGHT(TRIM(A391),7)=" Equity",TRIM(A391),TRIM(A391)&amp;" Equity"))</f>
        <v/>
      </c>
      <c r="C391">
        <f>IF(OR(SwitchUniverse&lt;&gt;"ON",$B391=""),"",BDP($B391,"NAME"))</f>
        <v/>
      </c>
      <c r="D391">
        <f>IF(OR(SwitchUniverse&lt;&gt;"ON",$B391=""),"",BDP($B391,"GICS_SECTOR_NAME"))</f>
        <v/>
      </c>
    </row>
    <row r="392" spans="2:4">
      <c r="B392">
        <f>IF(TRIM(A392&amp;"")="","",IF(RIGHT(TRIM(A392),7)=" Equity",TRIM(A392),TRIM(A392)&amp;" Equity"))</f>
        <v/>
      </c>
      <c r="C392">
        <f>IF(OR(SwitchUniverse&lt;&gt;"ON",$B392=""),"",BDP($B392,"NAME"))</f>
        <v/>
      </c>
      <c r="D392">
        <f>IF(OR(SwitchUniverse&lt;&gt;"ON",$B392=""),"",BDP($B392,"GICS_SECTOR_NAME"))</f>
        <v/>
      </c>
    </row>
    <row r="393" spans="2:4">
      <c r="B393">
        <f>IF(TRIM(A393&amp;"")="","",IF(RIGHT(TRIM(A393),7)=" Equity",TRIM(A393),TRIM(A393)&amp;" Equity"))</f>
        <v/>
      </c>
      <c r="C393">
        <f>IF(OR(SwitchUniverse&lt;&gt;"ON",$B393=""),"",BDP($B393,"NAME"))</f>
        <v/>
      </c>
      <c r="D393">
        <f>IF(OR(SwitchUniverse&lt;&gt;"ON",$B393=""),"",BDP($B393,"GICS_SECTOR_NAME"))</f>
        <v/>
      </c>
    </row>
    <row r="394" spans="2:4">
      <c r="B394">
        <f>IF(TRIM(A394&amp;"")="","",IF(RIGHT(TRIM(A394),7)=" Equity",TRIM(A394),TRIM(A394)&amp;" Equity"))</f>
        <v/>
      </c>
      <c r="C394">
        <f>IF(OR(SwitchUniverse&lt;&gt;"ON",$B394=""),"",BDP($B394,"NAME"))</f>
        <v/>
      </c>
      <c r="D394">
        <f>IF(OR(SwitchUniverse&lt;&gt;"ON",$B394=""),"",BDP($B394,"GICS_SECTOR_NAME"))</f>
        <v/>
      </c>
    </row>
    <row r="395" spans="2:4">
      <c r="B395">
        <f>IF(TRIM(A395&amp;"")="","",IF(RIGHT(TRIM(A395),7)=" Equity",TRIM(A395),TRIM(A395)&amp;" Equity"))</f>
        <v/>
      </c>
      <c r="C395">
        <f>IF(OR(SwitchUniverse&lt;&gt;"ON",$B395=""),"",BDP($B395,"NAME"))</f>
        <v/>
      </c>
      <c r="D395">
        <f>IF(OR(SwitchUniverse&lt;&gt;"ON",$B395=""),"",BDP($B395,"GICS_SECTOR_NAME"))</f>
        <v/>
      </c>
    </row>
    <row r="396" spans="2:4">
      <c r="B396">
        <f>IF(TRIM(A396&amp;"")="","",IF(RIGHT(TRIM(A396),7)=" Equity",TRIM(A396),TRIM(A396)&amp;" Equity"))</f>
        <v/>
      </c>
      <c r="C396">
        <f>IF(OR(SwitchUniverse&lt;&gt;"ON",$B396=""),"",BDP($B396,"NAME"))</f>
        <v/>
      </c>
      <c r="D396">
        <f>IF(OR(SwitchUniverse&lt;&gt;"ON",$B396=""),"",BDP($B396,"GICS_SECTOR_NAME"))</f>
        <v/>
      </c>
    </row>
    <row r="397" spans="2:4">
      <c r="B397">
        <f>IF(TRIM(A397&amp;"")="","",IF(RIGHT(TRIM(A397),7)=" Equity",TRIM(A397),TRIM(A397)&amp;" Equity"))</f>
        <v/>
      </c>
      <c r="C397">
        <f>IF(OR(SwitchUniverse&lt;&gt;"ON",$B397=""),"",BDP($B397,"NAME"))</f>
        <v/>
      </c>
      <c r="D397">
        <f>IF(OR(SwitchUniverse&lt;&gt;"ON",$B397=""),"",BDP($B397,"GICS_SECTOR_NAME"))</f>
        <v/>
      </c>
    </row>
    <row r="398" spans="2:4">
      <c r="B398">
        <f>IF(TRIM(A398&amp;"")="","",IF(RIGHT(TRIM(A398),7)=" Equity",TRIM(A398),TRIM(A398)&amp;" Equity"))</f>
        <v/>
      </c>
      <c r="C398">
        <f>IF(OR(SwitchUniverse&lt;&gt;"ON",$B398=""),"",BDP($B398,"NAME"))</f>
        <v/>
      </c>
      <c r="D398">
        <f>IF(OR(SwitchUniverse&lt;&gt;"ON",$B398=""),"",BDP($B398,"GICS_SECTOR_NAME"))</f>
        <v/>
      </c>
    </row>
    <row r="399" spans="2:4">
      <c r="B399">
        <f>IF(TRIM(A399&amp;"")="","",IF(RIGHT(TRIM(A399),7)=" Equity",TRIM(A399),TRIM(A399)&amp;" Equity"))</f>
        <v/>
      </c>
      <c r="C399">
        <f>IF(OR(SwitchUniverse&lt;&gt;"ON",$B399=""),"",BDP($B399,"NAME"))</f>
        <v/>
      </c>
      <c r="D399">
        <f>IF(OR(SwitchUniverse&lt;&gt;"ON",$B399=""),"",BDP($B399,"GICS_SECTOR_NAME"))</f>
        <v/>
      </c>
    </row>
    <row r="400" spans="2:4">
      <c r="B400">
        <f>IF(TRIM(A400&amp;"")="","",IF(RIGHT(TRIM(A400),7)=" Equity",TRIM(A400),TRIM(A400)&amp;" Equity"))</f>
        <v/>
      </c>
      <c r="C400">
        <f>IF(OR(SwitchUniverse&lt;&gt;"ON",$B400=""),"",BDP($B400,"NAME"))</f>
        <v/>
      </c>
      <c r="D400">
        <f>IF(OR(SwitchUniverse&lt;&gt;"ON",$B400=""),"",BDP($B400,"GICS_SECTOR_NAME"))</f>
        <v/>
      </c>
    </row>
    <row r="401" spans="2:4">
      <c r="B401">
        <f>IF(TRIM(A401&amp;"")="","",IF(RIGHT(TRIM(A401),7)=" Equity",TRIM(A401),TRIM(A401)&amp;" Equity"))</f>
        <v/>
      </c>
      <c r="C401">
        <f>IF(OR(SwitchUniverse&lt;&gt;"ON",$B401=""),"",BDP($B401,"NAME"))</f>
        <v/>
      </c>
      <c r="D401">
        <f>IF(OR(SwitchUniverse&lt;&gt;"ON",$B401=""),"",BDP($B401,"GICS_SECTOR_NAME"))</f>
        <v/>
      </c>
    </row>
    <row r="402" spans="2:4">
      <c r="B402">
        <f>IF(TRIM(A402&amp;"")="","",IF(RIGHT(TRIM(A402),7)=" Equity",TRIM(A402),TRIM(A402)&amp;" Equity"))</f>
        <v/>
      </c>
      <c r="C402">
        <f>IF(OR(SwitchUniverse&lt;&gt;"ON",$B402=""),"",BDP($B402,"NAME"))</f>
        <v/>
      </c>
      <c r="D402">
        <f>IF(OR(SwitchUniverse&lt;&gt;"ON",$B402=""),"",BDP($B402,"GICS_SECTOR_NAME"))</f>
        <v/>
      </c>
    </row>
    <row r="403" spans="2:4">
      <c r="B403">
        <f>IF(TRIM(A403&amp;"")="","",IF(RIGHT(TRIM(A403),7)=" Equity",TRIM(A403),TRIM(A403)&amp;" Equity"))</f>
        <v/>
      </c>
      <c r="C403">
        <f>IF(OR(SwitchUniverse&lt;&gt;"ON",$B403=""),"",BDP($B403,"NAME"))</f>
        <v/>
      </c>
      <c r="D403">
        <f>IF(OR(SwitchUniverse&lt;&gt;"ON",$B403=""),"",BDP($B403,"GICS_SECTOR_NAME"))</f>
        <v/>
      </c>
    </row>
    <row r="404" spans="2:4">
      <c r="B404">
        <f>IF(TRIM(A404&amp;"")="","",IF(RIGHT(TRIM(A404),7)=" Equity",TRIM(A404),TRIM(A404)&amp;" Equity"))</f>
        <v/>
      </c>
      <c r="C404">
        <f>IF(OR(SwitchUniverse&lt;&gt;"ON",$B404=""),"",BDP($B404,"NAME"))</f>
        <v/>
      </c>
      <c r="D404">
        <f>IF(OR(SwitchUniverse&lt;&gt;"ON",$B404=""),"",BDP($B404,"GICS_SECTOR_NAME"))</f>
        <v/>
      </c>
    </row>
    <row r="405" spans="2:4">
      <c r="B405">
        <f>IF(TRIM(A405&amp;"")="","",IF(RIGHT(TRIM(A405),7)=" Equity",TRIM(A405),TRIM(A405)&amp;" Equity"))</f>
        <v/>
      </c>
      <c r="C405">
        <f>IF(OR(SwitchUniverse&lt;&gt;"ON",$B405=""),"",BDP($B405,"NAME"))</f>
        <v/>
      </c>
      <c r="D405">
        <f>IF(OR(SwitchUniverse&lt;&gt;"ON",$B405=""),"",BDP($B405,"GICS_SECTOR_NAME"))</f>
        <v/>
      </c>
    </row>
    <row r="406" spans="2:4">
      <c r="B406">
        <f>IF(TRIM(A406&amp;"")="","",IF(RIGHT(TRIM(A406),7)=" Equity",TRIM(A406),TRIM(A406)&amp;" Equity"))</f>
        <v/>
      </c>
      <c r="C406">
        <f>IF(OR(SwitchUniverse&lt;&gt;"ON",$B406=""),"",BDP($B406,"NAME"))</f>
        <v/>
      </c>
      <c r="D406">
        <f>IF(OR(SwitchUniverse&lt;&gt;"ON",$B406=""),"",BDP($B406,"GICS_SECTOR_NAME"))</f>
        <v/>
      </c>
    </row>
    <row r="407" spans="2:4">
      <c r="B407">
        <f>IF(TRIM(A407&amp;"")="","",IF(RIGHT(TRIM(A407),7)=" Equity",TRIM(A407),TRIM(A407)&amp;" Equity"))</f>
        <v/>
      </c>
      <c r="C407">
        <f>IF(OR(SwitchUniverse&lt;&gt;"ON",$B407=""),"",BDP($B407,"NAME"))</f>
        <v/>
      </c>
      <c r="D407">
        <f>IF(OR(SwitchUniverse&lt;&gt;"ON",$B407=""),"",BDP($B407,"GICS_SECTOR_NAME"))</f>
        <v/>
      </c>
    </row>
    <row r="408" spans="2:4">
      <c r="B408">
        <f>IF(TRIM(A408&amp;"")="","",IF(RIGHT(TRIM(A408),7)=" Equity",TRIM(A408),TRIM(A408)&amp;" Equity"))</f>
        <v/>
      </c>
      <c r="C408">
        <f>IF(OR(SwitchUniverse&lt;&gt;"ON",$B408=""),"",BDP($B408,"NAME"))</f>
        <v/>
      </c>
      <c r="D408">
        <f>IF(OR(SwitchUniverse&lt;&gt;"ON",$B408=""),"",BDP($B408,"GICS_SECTOR_NAME"))</f>
        <v/>
      </c>
    </row>
    <row r="409" spans="2:4">
      <c r="B409">
        <f>IF(TRIM(A409&amp;"")="","",IF(RIGHT(TRIM(A409),7)=" Equity",TRIM(A409),TRIM(A409)&amp;" Equity"))</f>
        <v/>
      </c>
      <c r="C409">
        <f>IF(OR(SwitchUniverse&lt;&gt;"ON",$B409=""),"",BDP($B409,"NAME"))</f>
        <v/>
      </c>
      <c r="D409">
        <f>IF(OR(SwitchUniverse&lt;&gt;"ON",$B409=""),"",BDP($B409,"GICS_SECTOR_NAME"))</f>
        <v/>
      </c>
    </row>
    <row r="410" spans="2:4">
      <c r="B410">
        <f>IF(TRIM(A410&amp;"")="","",IF(RIGHT(TRIM(A410),7)=" Equity",TRIM(A410),TRIM(A410)&amp;" Equity"))</f>
        <v/>
      </c>
      <c r="C410">
        <f>IF(OR(SwitchUniverse&lt;&gt;"ON",$B410=""),"",BDP($B410,"NAME"))</f>
        <v/>
      </c>
      <c r="D410">
        <f>IF(OR(SwitchUniverse&lt;&gt;"ON",$B410=""),"",BDP($B410,"GICS_SECTOR_NAME"))</f>
        <v/>
      </c>
    </row>
    <row r="411" spans="2:4">
      <c r="B411">
        <f>IF(TRIM(A411&amp;"")="","",IF(RIGHT(TRIM(A411),7)=" Equity",TRIM(A411),TRIM(A411)&amp;" Equity"))</f>
        <v/>
      </c>
      <c r="C411">
        <f>IF(OR(SwitchUniverse&lt;&gt;"ON",$B411=""),"",BDP($B411,"NAME"))</f>
        <v/>
      </c>
      <c r="D411">
        <f>IF(OR(SwitchUniverse&lt;&gt;"ON",$B411=""),"",BDP($B411,"GICS_SECTOR_NAME"))</f>
        <v/>
      </c>
    </row>
    <row r="412" spans="2:4">
      <c r="B412">
        <f>IF(TRIM(A412&amp;"")="","",IF(RIGHT(TRIM(A412),7)=" Equity",TRIM(A412),TRIM(A412)&amp;" Equity"))</f>
        <v/>
      </c>
      <c r="C412">
        <f>IF(OR(SwitchUniverse&lt;&gt;"ON",$B412=""),"",BDP($B412,"NAME"))</f>
        <v/>
      </c>
      <c r="D412">
        <f>IF(OR(SwitchUniverse&lt;&gt;"ON",$B412=""),"",BDP($B412,"GICS_SECTOR_NAME"))</f>
        <v/>
      </c>
    </row>
    <row r="413" spans="2:4">
      <c r="B413">
        <f>IF(TRIM(A413&amp;"")="","",IF(RIGHT(TRIM(A413),7)=" Equity",TRIM(A413),TRIM(A413)&amp;" Equity"))</f>
        <v/>
      </c>
      <c r="C413">
        <f>IF(OR(SwitchUniverse&lt;&gt;"ON",$B413=""),"",BDP($B413,"NAME"))</f>
        <v/>
      </c>
      <c r="D413">
        <f>IF(OR(SwitchUniverse&lt;&gt;"ON",$B413=""),"",BDP($B413,"GICS_SECTOR_NAME"))</f>
        <v/>
      </c>
    </row>
    <row r="414" spans="2:4">
      <c r="B414">
        <f>IF(TRIM(A414&amp;"")="","",IF(RIGHT(TRIM(A414),7)=" Equity",TRIM(A414),TRIM(A414)&amp;" Equity"))</f>
        <v/>
      </c>
      <c r="C414">
        <f>IF(OR(SwitchUniverse&lt;&gt;"ON",$B414=""),"",BDP($B414,"NAME"))</f>
        <v/>
      </c>
      <c r="D414">
        <f>IF(OR(SwitchUniverse&lt;&gt;"ON",$B414=""),"",BDP($B414,"GICS_SECTOR_NAME"))</f>
        <v/>
      </c>
    </row>
    <row r="415" spans="2:4">
      <c r="B415">
        <f>IF(TRIM(A415&amp;"")="","",IF(RIGHT(TRIM(A415),7)=" Equity",TRIM(A415),TRIM(A415)&amp;" Equity"))</f>
        <v/>
      </c>
      <c r="C415">
        <f>IF(OR(SwitchUniverse&lt;&gt;"ON",$B415=""),"",BDP($B415,"NAME"))</f>
        <v/>
      </c>
      <c r="D415">
        <f>IF(OR(SwitchUniverse&lt;&gt;"ON",$B415=""),"",BDP($B415,"GICS_SECTOR_NAME"))</f>
        <v/>
      </c>
    </row>
    <row r="416" spans="2:4">
      <c r="B416">
        <f>IF(TRIM(A416&amp;"")="","",IF(RIGHT(TRIM(A416),7)=" Equity",TRIM(A416),TRIM(A416)&amp;" Equity"))</f>
        <v/>
      </c>
      <c r="C416">
        <f>IF(OR(SwitchUniverse&lt;&gt;"ON",$B416=""),"",BDP($B416,"NAME"))</f>
        <v/>
      </c>
      <c r="D416">
        <f>IF(OR(SwitchUniverse&lt;&gt;"ON",$B416=""),"",BDP($B416,"GICS_SECTOR_NAME"))</f>
        <v/>
      </c>
    </row>
    <row r="417" spans="2:4">
      <c r="B417">
        <f>IF(TRIM(A417&amp;"")="","",IF(RIGHT(TRIM(A417),7)=" Equity",TRIM(A417),TRIM(A417)&amp;" Equity"))</f>
        <v/>
      </c>
      <c r="C417">
        <f>IF(OR(SwitchUniverse&lt;&gt;"ON",$B417=""),"",BDP($B417,"NAME"))</f>
        <v/>
      </c>
      <c r="D417">
        <f>IF(OR(SwitchUniverse&lt;&gt;"ON",$B417=""),"",BDP($B417,"GICS_SECTOR_NAME"))</f>
        <v/>
      </c>
    </row>
    <row r="418" spans="2:4">
      <c r="B418">
        <f>IF(TRIM(A418&amp;"")="","",IF(RIGHT(TRIM(A418),7)=" Equity",TRIM(A418),TRIM(A418)&amp;" Equity"))</f>
        <v/>
      </c>
      <c r="C418">
        <f>IF(OR(SwitchUniverse&lt;&gt;"ON",$B418=""),"",BDP($B418,"NAME"))</f>
        <v/>
      </c>
      <c r="D418">
        <f>IF(OR(SwitchUniverse&lt;&gt;"ON",$B418=""),"",BDP($B418,"GICS_SECTOR_NAME"))</f>
        <v/>
      </c>
    </row>
    <row r="419" spans="2:4">
      <c r="B419">
        <f>IF(TRIM(A419&amp;"")="","",IF(RIGHT(TRIM(A419),7)=" Equity",TRIM(A419),TRIM(A419)&amp;" Equity"))</f>
        <v/>
      </c>
      <c r="C419">
        <f>IF(OR(SwitchUniverse&lt;&gt;"ON",$B419=""),"",BDP($B419,"NAME"))</f>
        <v/>
      </c>
      <c r="D419">
        <f>IF(OR(SwitchUniverse&lt;&gt;"ON",$B419=""),"",BDP($B419,"GICS_SECTOR_NAME"))</f>
        <v/>
      </c>
    </row>
    <row r="420" spans="2:4">
      <c r="B420">
        <f>IF(TRIM(A420&amp;"")="","",IF(RIGHT(TRIM(A420),7)=" Equity",TRIM(A420),TRIM(A420)&amp;" Equity"))</f>
        <v/>
      </c>
      <c r="C420">
        <f>IF(OR(SwitchUniverse&lt;&gt;"ON",$B420=""),"",BDP($B420,"NAME"))</f>
        <v/>
      </c>
      <c r="D420">
        <f>IF(OR(SwitchUniverse&lt;&gt;"ON",$B420=""),"",BDP($B420,"GICS_SECTOR_NAME"))</f>
        <v/>
      </c>
    </row>
    <row r="421" spans="2:4">
      <c r="B421">
        <f>IF(TRIM(A421&amp;"")="","",IF(RIGHT(TRIM(A421),7)=" Equity",TRIM(A421),TRIM(A421)&amp;" Equity"))</f>
        <v/>
      </c>
      <c r="C421">
        <f>IF(OR(SwitchUniverse&lt;&gt;"ON",$B421=""),"",BDP($B421,"NAME"))</f>
        <v/>
      </c>
      <c r="D421">
        <f>IF(OR(SwitchUniverse&lt;&gt;"ON",$B421=""),"",BDP($B421,"GICS_SECTOR_NAME"))</f>
        <v/>
      </c>
    </row>
    <row r="422" spans="2:4">
      <c r="B422">
        <f>IF(TRIM(A422&amp;"")="","",IF(RIGHT(TRIM(A422),7)=" Equity",TRIM(A422),TRIM(A422)&amp;" Equity"))</f>
        <v/>
      </c>
      <c r="C422">
        <f>IF(OR(SwitchUniverse&lt;&gt;"ON",$B422=""),"",BDP($B422,"NAME"))</f>
        <v/>
      </c>
      <c r="D422">
        <f>IF(OR(SwitchUniverse&lt;&gt;"ON",$B422=""),"",BDP($B422,"GICS_SECTOR_NAME"))</f>
        <v/>
      </c>
    </row>
    <row r="423" spans="2:4">
      <c r="B423">
        <f>IF(TRIM(A423&amp;"")="","",IF(RIGHT(TRIM(A423),7)=" Equity",TRIM(A423),TRIM(A423)&amp;" Equity"))</f>
        <v/>
      </c>
      <c r="C423">
        <f>IF(OR(SwitchUniverse&lt;&gt;"ON",$B423=""),"",BDP($B423,"NAME"))</f>
        <v/>
      </c>
      <c r="D423">
        <f>IF(OR(SwitchUniverse&lt;&gt;"ON",$B423=""),"",BDP($B423,"GICS_SECTOR_NAME"))</f>
        <v/>
      </c>
    </row>
    <row r="424" spans="2:4">
      <c r="B424">
        <f>IF(TRIM(A424&amp;"")="","",IF(RIGHT(TRIM(A424),7)=" Equity",TRIM(A424),TRIM(A424)&amp;" Equity"))</f>
        <v/>
      </c>
      <c r="C424">
        <f>IF(OR(SwitchUniverse&lt;&gt;"ON",$B424=""),"",BDP($B424,"NAME"))</f>
        <v/>
      </c>
      <c r="D424">
        <f>IF(OR(SwitchUniverse&lt;&gt;"ON",$B424=""),"",BDP($B424,"GICS_SECTOR_NAME"))</f>
        <v/>
      </c>
    </row>
    <row r="425" spans="2:4">
      <c r="B425">
        <f>IF(TRIM(A425&amp;"")="","",IF(RIGHT(TRIM(A425),7)=" Equity",TRIM(A425),TRIM(A425)&amp;" Equity"))</f>
        <v/>
      </c>
      <c r="C425">
        <f>IF(OR(SwitchUniverse&lt;&gt;"ON",$B425=""),"",BDP($B425,"NAME"))</f>
        <v/>
      </c>
      <c r="D425">
        <f>IF(OR(SwitchUniverse&lt;&gt;"ON",$B425=""),"",BDP($B425,"GICS_SECTOR_NAME"))</f>
        <v/>
      </c>
    </row>
    <row r="426" spans="2:4">
      <c r="B426">
        <f>IF(TRIM(A426&amp;"")="","",IF(RIGHT(TRIM(A426),7)=" Equity",TRIM(A426),TRIM(A426)&amp;" Equity"))</f>
        <v/>
      </c>
      <c r="C426">
        <f>IF(OR(SwitchUniverse&lt;&gt;"ON",$B426=""),"",BDP($B426,"NAME"))</f>
        <v/>
      </c>
      <c r="D426">
        <f>IF(OR(SwitchUniverse&lt;&gt;"ON",$B426=""),"",BDP($B426,"GICS_SECTOR_NAME"))</f>
        <v/>
      </c>
    </row>
    <row r="427" spans="2:4">
      <c r="B427">
        <f>IF(TRIM(A427&amp;"")="","",IF(RIGHT(TRIM(A427),7)=" Equity",TRIM(A427),TRIM(A427)&amp;" Equity"))</f>
        <v/>
      </c>
      <c r="C427">
        <f>IF(OR(SwitchUniverse&lt;&gt;"ON",$B427=""),"",BDP($B427,"NAME"))</f>
        <v/>
      </c>
      <c r="D427">
        <f>IF(OR(SwitchUniverse&lt;&gt;"ON",$B427=""),"",BDP($B427,"GICS_SECTOR_NAME"))</f>
        <v/>
      </c>
    </row>
    <row r="428" spans="2:4">
      <c r="B428">
        <f>IF(TRIM(A428&amp;"")="","",IF(RIGHT(TRIM(A428),7)=" Equity",TRIM(A428),TRIM(A428)&amp;" Equity"))</f>
        <v/>
      </c>
      <c r="C428">
        <f>IF(OR(SwitchUniverse&lt;&gt;"ON",$B428=""),"",BDP($B428,"NAME"))</f>
        <v/>
      </c>
      <c r="D428">
        <f>IF(OR(SwitchUniverse&lt;&gt;"ON",$B428=""),"",BDP($B428,"GICS_SECTOR_NAME"))</f>
        <v/>
      </c>
    </row>
    <row r="429" spans="2:4">
      <c r="B429">
        <f>IF(TRIM(A429&amp;"")="","",IF(RIGHT(TRIM(A429),7)=" Equity",TRIM(A429),TRIM(A429)&amp;" Equity"))</f>
        <v/>
      </c>
      <c r="C429">
        <f>IF(OR(SwitchUniverse&lt;&gt;"ON",$B429=""),"",BDP($B429,"NAME"))</f>
        <v/>
      </c>
      <c r="D429">
        <f>IF(OR(SwitchUniverse&lt;&gt;"ON",$B429=""),"",BDP($B429,"GICS_SECTOR_NAME"))</f>
        <v/>
      </c>
    </row>
    <row r="430" spans="2:4">
      <c r="B430">
        <f>IF(TRIM(A430&amp;"")="","",IF(RIGHT(TRIM(A430),7)=" Equity",TRIM(A430),TRIM(A430)&amp;" Equity"))</f>
        <v/>
      </c>
      <c r="C430">
        <f>IF(OR(SwitchUniverse&lt;&gt;"ON",$B430=""),"",BDP($B430,"NAME"))</f>
        <v/>
      </c>
      <c r="D430">
        <f>IF(OR(SwitchUniverse&lt;&gt;"ON",$B430=""),"",BDP($B430,"GICS_SECTOR_NAME"))</f>
        <v/>
      </c>
    </row>
    <row r="431" spans="2:4">
      <c r="B431">
        <f>IF(TRIM(A431&amp;"")="","",IF(RIGHT(TRIM(A431),7)=" Equity",TRIM(A431),TRIM(A431)&amp;" Equity"))</f>
        <v/>
      </c>
      <c r="C431">
        <f>IF(OR(SwitchUniverse&lt;&gt;"ON",$B431=""),"",BDP($B431,"NAME"))</f>
        <v/>
      </c>
      <c r="D431">
        <f>IF(OR(SwitchUniverse&lt;&gt;"ON",$B431=""),"",BDP($B431,"GICS_SECTOR_NAME"))</f>
        <v/>
      </c>
    </row>
    <row r="432" spans="2:4">
      <c r="B432">
        <f>IF(TRIM(A432&amp;"")="","",IF(RIGHT(TRIM(A432),7)=" Equity",TRIM(A432),TRIM(A432)&amp;" Equity"))</f>
        <v/>
      </c>
      <c r="C432">
        <f>IF(OR(SwitchUniverse&lt;&gt;"ON",$B432=""),"",BDP($B432,"NAME"))</f>
        <v/>
      </c>
      <c r="D432">
        <f>IF(OR(SwitchUniverse&lt;&gt;"ON",$B432=""),"",BDP($B432,"GICS_SECTOR_NAME"))</f>
        <v/>
      </c>
    </row>
    <row r="433" spans="2:4">
      <c r="B433">
        <f>IF(TRIM(A433&amp;"")="","",IF(RIGHT(TRIM(A433),7)=" Equity",TRIM(A433),TRIM(A433)&amp;" Equity"))</f>
        <v/>
      </c>
      <c r="C433">
        <f>IF(OR(SwitchUniverse&lt;&gt;"ON",$B433=""),"",BDP($B433,"NAME"))</f>
        <v/>
      </c>
      <c r="D433">
        <f>IF(OR(SwitchUniverse&lt;&gt;"ON",$B433=""),"",BDP($B433,"GICS_SECTOR_NAME"))</f>
        <v/>
      </c>
    </row>
    <row r="434" spans="2:4">
      <c r="B434">
        <f>IF(TRIM(A434&amp;"")="","",IF(RIGHT(TRIM(A434),7)=" Equity",TRIM(A434),TRIM(A434)&amp;" Equity"))</f>
        <v/>
      </c>
      <c r="C434">
        <f>IF(OR(SwitchUniverse&lt;&gt;"ON",$B434=""),"",BDP($B434,"NAME"))</f>
        <v/>
      </c>
      <c r="D434">
        <f>IF(OR(SwitchUniverse&lt;&gt;"ON",$B434=""),"",BDP($B434,"GICS_SECTOR_NAME"))</f>
        <v/>
      </c>
    </row>
    <row r="435" spans="2:4">
      <c r="B435">
        <f>IF(TRIM(A435&amp;"")="","",IF(RIGHT(TRIM(A435),7)=" Equity",TRIM(A435),TRIM(A435)&amp;" Equity"))</f>
        <v/>
      </c>
      <c r="C435">
        <f>IF(OR(SwitchUniverse&lt;&gt;"ON",$B435=""),"",BDP($B435,"NAME"))</f>
        <v/>
      </c>
      <c r="D435">
        <f>IF(OR(SwitchUniverse&lt;&gt;"ON",$B435=""),"",BDP($B435,"GICS_SECTOR_NAME"))</f>
        <v/>
      </c>
    </row>
    <row r="436" spans="2:4">
      <c r="B436">
        <f>IF(TRIM(A436&amp;"")="","",IF(RIGHT(TRIM(A436),7)=" Equity",TRIM(A436),TRIM(A436)&amp;" Equity"))</f>
        <v/>
      </c>
      <c r="C436">
        <f>IF(OR(SwitchUniverse&lt;&gt;"ON",$B436=""),"",BDP($B436,"NAME"))</f>
        <v/>
      </c>
      <c r="D436">
        <f>IF(OR(SwitchUniverse&lt;&gt;"ON",$B436=""),"",BDP($B436,"GICS_SECTOR_NAME"))</f>
        <v/>
      </c>
    </row>
    <row r="437" spans="2:4">
      <c r="B437">
        <f>IF(TRIM(A437&amp;"")="","",IF(RIGHT(TRIM(A437),7)=" Equity",TRIM(A437),TRIM(A437)&amp;" Equity"))</f>
        <v/>
      </c>
      <c r="C437">
        <f>IF(OR(SwitchUniverse&lt;&gt;"ON",$B437=""),"",BDP($B437,"NAME"))</f>
        <v/>
      </c>
      <c r="D437">
        <f>IF(OR(SwitchUniverse&lt;&gt;"ON",$B437=""),"",BDP($B437,"GICS_SECTOR_NAME"))</f>
        <v/>
      </c>
    </row>
    <row r="438" spans="2:4">
      <c r="B438">
        <f>IF(TRIM(A438&amp;"")="","",IF(RIGHT(TRIM(A438),7)=" Equity",TRIM(A438),TRIM(A438)&amp;" Equity"))</f>
        <v/>
      </c>
      <c r="C438">
        <f>IF(OR(SwitchUniverse&lt;&gt;"ON",$B438=""),"",BDP($B438,"NAME"))</f>
        <v/>
      </c>
      <c r="D438">
        <f>IF(OR(SwitchUniverse&lt;&gt;"ON",$B438=""),"",BDP($B438,"GICS_SECTOR_NAME"))</f>
        <v/>
      </c>
    </row>
    <row r="439" spans="2:4">
      <c r="B439">
        <f>IF(TRIM(A439&amp;"")="","",IF(RIGHT(TRIM(A439),7)=" Equity",TRIM(A439),TRIM(A439)&amp;" Equity"))</f>
        <v/>
      </c>
      <c r="C439">
        <f>IF(OR(SwitchUniverse&lt;&gt;"ON",$B439=""),"",BDP($B439,"NAME"))</f>
        <v/>
      </c>
      <c r="D439">
        <f>IF(OR(SwitchUniverse&lt;&gt;"ON",$B439=""),"",BDP($B439,"GICS_SECTOR_NAME"))</f>
        <v/>
      </c>
    </row>
    <row r="440" spans="2:4">
      <c r="B440">
        <f>IF(TRIM(A440&amp;"")="","",IF(RIGHT(TRIM(A440),7)=" Equity",TRIM(A440),TRIM(A440)&amp;" Equity"))</f>
        <v/>
      </c>
      <c r="C440">
        <f>IF(OR(SwitchUniverse&lt;&gt;"ON",$B440=""),"",BDP($B440,"NAME"))</f>
        <v/>
      </c>
      <c r="D440">
        <f>IF(OR(SwitchUniverse&lt;&gt;"ON",$B440=""),"",BDP($B440,"GICS_SECTOR_NAME"))</f>
        <v/>
      </c>
    </row>
    <row r="441" spans="2:4">
      <c r="B441">
        <f>IF(TRIM(A441&amp;"")="","",IF(RIGHT(TRIM(A441),7)=" Equity",TRIM(A441),TRIM(A441)&amp;" Equity"))</f>
        <v/>
      </c>
      <c r="C441">
        <f>IF(OR(SwitchUniverse&lt;&gt;"ON",$B441=""),"",BDP($B441,"NAME"))</f>
        <v/>
      </c>
      <c r="D441">
        <f>IF(OR(SwitchUniverse&lt;&gt;"ON",$B441=""),"",BDP($B441,"GICS_SECTOR_NAME"))</f>
        <v/>
      </c>
    </row>
    <row r="442" spans="2:4">
      <c r="B442">
        <f>IF(TRIM(A442&amp;"")="","",IF(RIGHT(TRIM(A442),7)=" Equity",TRIM(A442),TRIM(A442)&amp;" Equity"))</f>
        <v/>
      </c>
      <c r="C442">
        <f>IF(OR(SwitchUniverse&lt;&gt;"ON",$B442=""),"",BDP($B442,"NAME"))</f>
        <v/>
      </c>
      <c r="D442">
        <f>IF(OR(SwitchUniverse&lt;&gt;"ON",$B442=""),"",BDP($B442,"GICS_SECTOR_NAME"))</f>
        <v/>
      </c>
    </row>
    <row r="443" spans="2:4">
      <c r="B443">
        <f>IF(TRIM(A443&amp;"")="","",IF(RIGHT(TRIM(A443),7)=" Equity",TRIM(A443),TRIM(A443)&amp;" Equity"))</f>
        <v/>
      </c>
      <c r="C443">
        <f>IF(OR(SwitchUniverse&lt;&gt;"ON",$B443=""),"",BDP($B443,"NAME"))</f>
        <v/>
      </c>
      <c r="D443">
        <f>IF(OR(SwitchUniverse&lt;&gt;"ON",$B443=""),"",BDP($B443,"GICS_SECTOR_NAME"))</f>
        <v/>
      </c>
    </row>
    <row r="444" spans="2:4">
      <c r="B444">
        <f>IF(TRIM(A444&amp;"")="","",IF(RIGHT(TRIM(A444),7)=" Equity",TRIM(A444),TRIM(A444)&amp;" Equity"))</f>
        <v/>
      </c>
      <c r="C444">
        <f>IF(OR(SwitchUniverse&lt;&gt;"ON",$B444=""),"",BDP($B444,"NAME"))</f>
        <v/>
      </c>
      <c r="D444">
        <f>IF(OR(SwitchUniverse&lt;&gt;"ON",$B444=""),"",BDP($B444,"GICS_SECTOR_NAME"))</f>
        <v/>
      </c>
    </row>
    <row r="445" spans="2:4">
      <c r="B445">
        <f>IF(TRIM(A445&amp;"")="","",IF(RIGHT(TRIM(A445),7)=" Equity",TRIM(A445),TRIM(A445)&amp;" Equity"))</f>
        <v/>
      </c>
      <c r="C445">
        <f>IF(OR(SwitchUniverse&lt;&gt;"ON",$B445=""),"",BDP($B445,"NAME"))</f>
        <v/>
      </c>
      <c r="D445">
        <f>IF(OR(SwitchUniverse&lt;&gt;"ON",$B445=""),"",BDP($B445,"GICS_SECTOR_NAME"))</f>
        <v/>
      </c>
    </row>
    <row r="446" spans="2:4">
      <c r="B446">
        <f>IF(TRIM(A446&amp;"")="","",IF(RIGHT(TRIM(A446),7)=" Equity",TRIM(A446),TRIM(A446)&amp;" Equity"))</f>
        <v/>
      </c>
      <c r="C446">
        <f>IF(OR(SwitchUniverse&lt;&gt;"ON",$B446=""),"",BDP($B446,"NAME"))</f>
        <v/>
      </c>
      <c r="D446">
        <f>IF(OR(SwitchUniverse&lt;&gt;"ON",$B446=""),"",BDP($B446,"GICS_SECTOR_NAME"))</f>
        <v/>
      </c>
    </row>
    <row r="447" spans="2:4">
      <c r="B447">
        <f>IF(TRIM(A447&amp;"")="","",IF(RIGHT(TRIM(A447),7)=" Equity",TRIM(A447),TRIM(A447)&amp;" Equity"))</f>
        <v/>
      </c>
      <c r="C447">
        <f>IF(OR(SwitchUniverse&lt;&gt;"ON",$B447=""),"",BDP($B447,"NAME"))</f>
        <v/>
      </c>
      <c r="D447">
        <f>IF(OR(SwitchUniverse&lt;&gt;"ON",$B447=""),"",BDP($B447,"GICS_SECTOR_NAME"))</f>
        <v/>
      </c>
    </row>
    <row r="448" spans="2:4">
      <c r="B448">
        <f>IF(TRIM(A448&amp;"")="","",IF(RIGHT(TRIM(A448),7)=" Equity",TRIM(A448),TRIM(A448)&amp;" Equity"))</f>
        <v/>
      </c>
      <c r="C448">
        <f>IF(OR(SwitchUniverse&lt;&gt;"ON",$B448=""),"",BDP($B448,"NAME"))</f>
        <v/>
      </c>
      <c r="D448">
        <f>IF(OR(SwitchUniverse&lt;&gt;"ON",$B448=""),"",BDP($B448,"GICS_SECTOR_NAME"))</f>
        <v/>
      </c>
    </row>
    <row r="449" spans="2:4">
      <c r="B449">
        <f>IF(TRIM(A449&amp;"")="","",IF(RIGHT(TRIM(A449),7)=" Equity",TRIM(A449),TRIM(A449)&amp;" Equity"))</f>
        <v/>
      </c>
      <c r="C449">
        <f>IF(OR(SwitchUniverse&lt;&gt;"ON",$B449=""),"",BDP($B449,"NAME"))</f>
        <v/>
      </c>
      <c r="D449">
        <f>IF(OR(SwitchUniverse&lt;&gt;"ON",$B449=""),"",BDP($B449,"GICS_SECTOR_NAME"))</f>
        <v/>
      </c>
    </row>
    <row r="450" spans="2:4">
      <c r="B450">
        <f>IF(TRIM(A450&amp;"")="","",IF(RIGHT(TRIM(A450),7)=" Equity",TRIM(A450),TRIM(A450)&amp;" Equity"))</f>
        <v/>
      </c>
      <c r="C450">
        <f>IF(OR(SwitchUniverse&lt;&gt;"ON",$B450=""),"",BDP($B450,"NAME"))</f>
        <v/>
      </c>
      <c r="D450">
        <f>IF(OR(SwitchUniverse&lt;&gt;"ON",$B450=""),"",BDP($B450,"GICS_SECTOR_NAME"))</f>
        <v/>
      </c>
    </row>
    <row r="451" spans="2:4">
      <c r="B451">
        <f>IF(TRIM(A451&amp;"")="","",IF(RIGHT(TRIM(A451),7)=" Equity",TRIM(A451),TRIM(A451)&amp;" Equity"))</f>
        <v/>
      </c>
      <c r="C451">
        <f>IF(OR(SwitchUniverse&lt;&gt;"ON",$B451=""),"",BDP($B451,"NAME"))</f>
        <v/>
      </c>
      <c r="D451">
        <f>IF(OR(SwitchUniverse&lt;&gt;"ON",$B451=""),"",BDP($B451,"GICS_SECTOR_NAME"))</f>
        <v/>
      </c>
    </row>
    <row r="452" spans="2:4">
      <c r="B452">
        <f>IF(TRIM(A452&amp;"")="","",IF(RIGHT(TRIM(A452),7)=" Equity",TRIM(A452),TRIM(A452)&amp;" Equity"))</f>
        <v/>
      </c>
      <c r="C452">
        <f>IF(OR(SwitchUniverse&lt;&gt;"ON",$B452=""),"",BDP($B452,"NAME"))</f>
        <v/>
      </c>
      <c r="D452">
        <f>IF(OR(SwitchUniverse&lt;&gt;"ON",$B452=""),"",BDP($B452,"GICS_SECTOR_NAME"))</f>
        <v/>
      </c>
    </row>
    <row r="453" spans="2:4">
      <c r="B453">
        <f>IF(TRIM(A453&amp;"")="","",IF(RIGHT(TRIM(A453),7)=" Equity",TRIM(A453),TRIM(A453)&amp;" Equity"))</f>
        <v/>
      </c>
      <c r="C453">
        <f>IF(OR(SwitchUniverse&lt;&gt;"ON",$B453=""),"",BDP($B453,"NAME"))</f>
        <v/>
      </c>
      <c r="D453">
        <f>IF(OR(SwitchUniverse&lt;&gt;"ON",$B453=""),"",BDP($B453,"GICS_SECTOR_NAME"))</f>
        <v/>
      </c>
    </row>
    <row r="454" spans="2:4">
      <c r="B454">
        <f>IF(TRIM(A454&amp;"")="","",IF(RIGHT(TRIM(A454),7)=" Equity",TRIM(A454),TRIM(A454)&amp;" Equity"))</f>
        <v/>
      </c>
      <c r="C454">
        <f>IF(OR(SwitchUniverse&lt;&gt;"ON",$B454=""),"",BDP($B454,"NAME"))</f>
        <v/>
      </c>
      <c r="D454">
        <f>IF(OR(SwitchUniverse&lt;&gt;"ON",$B454=""),"",BDP($B454,"GICS_SECTOR_NAME"))</f>
        <v/>
      </c>
    </row>
    <row r="455" spans="2:4">
      <c r="B455">
        <f>IF(TRIM(A455&amp;"")="","",IF(RIGHT(TRIM(A455),7)=" Equity",TRIM(A455),TRIM(A455)&amp;" Equity"))</f>
        <v/>
      </c>
      <c r="C455">
        <f>IF(OR(SwitchUniverse&lt;&gt;"ON",$B455=""),"",BDP($B455,"NAME"))</f>
        <v/>
      </c>
      <c r="D455">
        <f>IF(OR(SwitchUniverse&lt;&gt;"ON",$B455=""),"",BDP($B455,"GICS_SECTOR_NAME"))</f>
        <v/>
      </c>
    </row>
    <row r="456" spans="2:4">
      <c r="B456">
        <f>IF(TRIM(A456&amp;"")="","",IF(RIGHT(TRIM(A456),7)=" Equity",TRIM(A456),TRIM(A456)&amp;" Equity"))</f>
        <v/>
      </c>
      <c r="C456">
        <f>IF(OR(SwitchUniverse&lt;&gt;"ON",$B456=""),"",BDP($B456,"NAME"))</f>
        <v/>
      </c>
      <c r="D456">
        <f>IF(OR(SwitchUniverse&lt;&gt;"ON",$B456=""),"",BDP($B456,"GICS_SECTOR_NAME"))</f>
        <v/>
      </c>
    </row>
    <row r="457" spans="2:4">
      <c r="B457">
        <f>IF(TRIM(A457&amp;"")="","",IF(RIGHT(TRIM(A457),7)=" Equity",TRIM(A457),TRIM(A457)&amp;" Equity"))</f>
        <v/>
      </c>
      <c r="C457">
        <f>IF(OR(SwitchUniverse&lt;&gt;"ON",$B457=""),"",BDP($B457,"NAME"))</f>
        <v/>
      </c>
      <c r="D457">
        <f>IF(OR(SwitchUniverse&lt;&gt;"ON",$B457=""),"",BDP($B457,"GICS_SECTOR_NAME"))</f>
        <v/>
      </c>
    </row>
    <row r="458" spans="2:4">
      <c r="B458">
        <f>IF(TRIM(A458&amp;"")="","",IF(RIGHT(TRIM(A458),7)=" Equity",TRIM(A458),TRIM(A458)&amp;" Equity"))</f>
        <v/>
      </c>
      <c r="C458">
        <f>IF(OR(SwitchUniverse&lt;&gt;"ON",$B458=""),"",BDP($B458,"NAME"))</f>
        <v/>
      </c>
      <c r="D458">
        <f>IF(OR(SwitchUniverse&lt;&gt;"ON",$B458=""),"",BDP($B458,"GICS_SECTOR_NAME"))</f>
        <v/>
      </c>
    </row>
    <row r="459" spans="2:4">
      <c r="B459">
        <f>IF(TRIM(A459&amp;"")="","",IF(RIGHT(TRIM(A459),7)=" Equity",TRIM(A459),TRIM(A459)&amp;" Equity"))</f>
        <v/>
      </c>
      <c r="C459">
        <f>IF(OR(SwitchUniverse&lt;&gt;"ON",$B459=""),"",BDP($B459,"NAME"))</f>
        <v/>
      </c>
      <c r="D459">
        <f>IF(OR(SwitchUniverse&lt;&gt;"ON",$B459=""),"",BDP($B459,"GICS_SECTOR_NAME"))</f>
        <v/>
      </c>
    </row>
    <row r="460" spans="2:4">
      <c r="B460">
        <f>IF(TRIM(A460&amp;"")="","",IF(RIGHT(TRIM(A460),7)=" Equity",TRIM(A460),TRIM(A460)&amp;" Equity"))</f>
        <v/>
      </c>
      <c r="C460">
        <f>IF(OR(SwitchUniverse&lt;&gt;"ON",$B460=""),"",BDP($B460,"NAME"))</f>
        <v/>
      </c>
      <c r="D460">
        <f>IF(OR(SwitchUniverse&lt;&gt;"ON",$B460=""),"",BDP($B460,"GICS_SECTOR_NAME"))</f>
        <v/>
      </c>
    </row>
    <row r="461" spans="2:4">
      <c r="B461">
        <f>IF(TRIM(A461&amp;"")="","",IF(RIGHT(TRIM(A461),7)=" Equity",TRIM(A461),TRIM(A461)&amp;" Equity"))</f>
        <v/>
      </c>
      <c r="C461">
        <f>IF(OR(SwitchUniverse&lt;&gt;"ON",$B461=""),"",BDP($B461,"NAME"))</f>
        <v/>
      </c>
      <c r="D461">
        <f>IF(OR(SwitchUniverse&lt;&gt;"ON",$B461=""),"",BDP($B461,"GICS_SECTOR_NAME"))</f>
        <v/>
      </c>
    </row>
    <row r="462" spans="2:4">
      <c r="B462">
        <f>IF(TRIM(A462&amp;"")="","",IF(RIGHT(TRIM(A462),7)=" Equity",TRIM(A462),TRIM(A462)&amp;" Equity"))</f>
        <v/>
      </c>
      <c r="C462">
        <f>IF(OR(SwitchUniverse&lt;&gt;"ON",$B462=""),"",BDP($B462,"NAME"))</f>
        <v/>
      </c>
      <c r="D462">
        <f>IF(OR(SwitchUniverse&lt;&gt;"ON",$B462=""),"",BDP($B462,"GICS_SECTOR_NAME"))</f>
        <v/>
      </c>
    </row>
    <row r="463" spans="2:4">
      <c r="B463">
        <f>IF(TRIM(A463&amp;"")="","",IF(RIGHT(TRIM(A463),7)=" Equity",TRIM(A463),TRIM(A463)&amp;" Equity"))</f>
        <v/>
      </c>
      <c r="C463">
        <f>IF(OR(SwitchUniverse&lt;&gt;"ON",$B463=""),"",BDP($B463,"NAME"))</f>
        <v/>
      </c>
      <c r="D463">
        <f>IF(OR(SwitchUniverse&lt;&gt;"ON",$B463=""),"",BDP($B463,"GICS_SECTOR_NAME"))</f>
        <v/>
      </c>
    </row>
    <row r="464" spans="2:4">
      <c r="B464">
        <f>IF(TRIM(A464&amp;"")="","",IF(RIGHT(TRIM(A464),7)=" Equity",TRIM(A464),TRIM(A464)&amp;" Equity"))</f>
        <v/>
      </c>
      <c r="C464">
        <f>IF(OR(SwitchUniverse&lt;&gt;"ON",$B464=""),"",BDP($B464,"NAME"))</f>
        <v/>
      </c>
      <c r="D464">
        <f>IF(OR(SwitchUniverse&lt;&gt;"ON",$B464=""),"",BDP($B464,"GICS_SECTOR_NAME"))</f>
        <v/>
      </c>
    </row>
    <row r="465" spans="2:4">
      <c r="B465">
        <f>IF(TRIM(A465&amp;"")="","",IF(RIGHT(TRIM(A465),7)=" Equity",TRIM(A465),TRIM(A465)&amp;" Equity"))</f>
        <v/>
      </c>
      <c r="C465">
        <f>IF(OR(SwitchUniverse&lt;&gt;"ON",$B465=""),"",BDP($B465,"NAME"))</f>
        <v/>
      </c>
      <c r="D465">
        <f>IF(OR(SwitchUniverse&lt;&gt;"ON",$B465=""),"",BDP($B465,"GICS_SECTOR_NAME"))</f>
        <v/>
      </c>
    </row>
    <row r="466" spans="2:4">
      <c r="B466">
        <f>IF(TRIM(A466&amp;"")="","",IF(RIGHT(TRIM(A466),7)=" Equity",TRIM(A466),TRIM(A466)&amp;" Equity"))</f>
        <v/>
      </c>
      <c r="C466">
        <f>IF(OR(SwitchUniverse&lt;&gt;"ON",$B466=""),"",BDP($B466,"NAME"))</f>
        <v/>
      </c>
      <c r="D466">
        <f>IF(OR(SwitchUniverse&lt;&gt;"ON",$B466=""),"",BDP($B466,"GICS_SECTOR_NAME"))</f>
        <v/>
      </c>
    </row>
    <row r="467" spans="2:4">
      <c r="B467">
        <f>IF(TRIM(A467&amp;"")="","",IF(RIGHT(TRIM(A467),7)=" Equity",TRIM(A467),TRIM(A467)&amp;" Equity"))</f>
        <v/>
      </c>
      <c r="C467">
        <f>IF(OR(SwitchUniverse&lt;&gt;"ON",$B467=""),"",BDP($B467,"NAME"))</f>
        <v/>
      </c>
      <c r="D467">
        <f>IF(OR(SwitchUniverse&lt;&gt;"ON",$B467=""),"",BDP($B467,"GICS_SECTOR_NAME"))</f>
        <v/>
      </c>
    </row>
    <row r="468" spans="2:4">
      <c r="B468">
        <f>IF(TRIM(A468&amp;"")="","",IF(RIGHT(TRIM(A468),7)=" Equity",TRIM(A468),TRIM(A468)&amp;" Equity"))</f>
        <v/>
      </c>
      <c r="C468">
        <f>IF(OR(SwitchUniverse&lt;&gt;"ON",$B468=""),"",BDP($B468,"NAME"))</f>
        <v/>
      </c>
      <c r="D468">
        <f>IF(OR(SwitchUniverse&lt;&gt;"ON",$B468=""),"",BDP($B468,"GICS_SECTOR_NAME"))</f>
        <v/>
      </c>
    </row>
    <row r="469" spans="2:4">
      <c r="B469">
        <f>IF(TRIM(A469&amp;"")="","",IF(RIGHT(TRIM(A469),7)=" Equity",TRIM(A469),TRIM(A469)&amp;" Equity"))</f>
        <v/>
      </c>
      <c r="C469">
        <f>IF(OR(SwitchUniverse&lt;&gt;"ON",$B469=""),"",BDP($B469,"NAME"))</f>
        <v/>
      </c>
      <c r="D469">
        <f>IF(OR(SwitchUniverse&lt;&gt;"ON",$B469=""),"",BDP($B469,"GICS_SECTOR_NAME"))</f>
        <v/>
      </c>
    </row>
    <row r="470" spans="2:4">
      <c r="B470">
        <f>IF(TRIM(A470&amp;"")="","",IF(RIGHT(TRIM(A470),7)=" Equity",TRIM(A470),TRIM(A470)&amp;" Equity"))</f>
        <v/>
      </c>
      <c r="C470">
        <f>IF(OR(SwitchUniverse&lt;&gt;"ON",$B470=""),"",BDP($B470,"NAME"))</f>
        <v/>
      </c>
      <c r="D470">
        <f>IF(OR(SwitchUniverse&lt;&gt;"ON",$B470=""),"",BDP($B470,"GICS_SECTOR_NAME"))</f>
        <v/>
      </c>
    </row>
    <row r="471" spans="2:4">
      <c r="B471">
        <f>IF(TRIM(A471&amp;"")="","",IF(RIGHT(TRIM(A471),7)=" Equity",TRIM(A471),TRIM(A471)&amp;" Equity"))</f>
        <v/>
      </c>
      <c r="C471">
        <f>IF(OR(SwitchUniverse&lt;&gt;"ON",$B471=""),"",BDP($B471,"NAME"))</f>
        <v/>
      </c>
      <c r="D471">
        <f>IF(OR(SwitchUniverse&lt;&gt;"ON",$B471=""),"",BDP($B471,"GICS_SECTOR_NAME"))</f>
        <v/>
      </c>
    </row>
    <row r="472" spans="2:4">
      <c r="B472">
        <f>IF(TRIM(A472&amp;"")="","",IF(RIGHT(TRIM(A472),7)=" Equity",TRIM(A472),TRIM(A472)&amp;" Equity"))</f>
        <v/>
      </c>
      <c r="C472">
        <f>IF(OR(SwitchUniverse&lt;&gt;"ON",$B472=""),"",BDP($B472,"NAME"))</f>
        <v/>
      </c>
      <c r="D472">
        <f>IF(OR(SwitchUniverse&lt;&gt;"ON",$B472=""),"",BDP($B472,"GICS_SECTOR_NAME"))</f>
        <v/>
      </c>
    </row>
    <row r="473" spans="2:4">
      <c r="B473">
        <f>IF(TRIM(A473&amp;"")="","",IF(RIGHT(TRIM(A473),7)=" Equity",TRIM(A473),TRIM(A473)&amp;" Equity"))</f>
        <v/>
      </c>
      <c r="C473">
        <f>IF(OR(SwitchUniverse&lt;&gt;"ON",$B473=""),"",BDP($B473,"NAME"))</f>
        <v/>
      </c>
      <c r="D473">
        <f>IF(OR(SwitchUniverse&lt;&gt;"ON",$B473=""),"",BDP($B473,"GICS_SECTOR_NAME"))</f>
        <v/>
      </c>
    </row>
    <row r="474" spans="2:4">
      <c r="B474">
        <f>IF(TRIM(A474&amp;"")="","",IF(RIGHT(TRIM(A474),7)=" Equity",TRIM(A474),TRIM(A474)&amp;" Equity"))</f>
        <v/>
      </c>
      <c r="C474">
        <f>IF(OR(SwitchUniverse&lt;&gt;"ON",$B474=""),"",BDP($B474,"NAME"))</f>
        <v/>
      </c>
      <c r="D474">
        <f>IF(OR(SwitchUniverse&lt;&gt;"ON",$B474=""),"",BDP($B474,"GICS_SECTOR_NAME"))</f>
        <v/>
      </c>
    </row>
    <row r="475" spans="2:4">
      <c r="B475">
        <f>IF(TRIM(A475&amp;"")="","",IF(RIGHT(TRIM(A475),7)=" Equity",TRIM(A475),TRIM(A475)&amp;" Equity"))</f>
        <v/>
      </c>
      <c r="C475">
        <f>IF(OR(SwitchUniverse&lt;&gt;"ON",$B475=""),"",BDP($B475,"NAME"))</f>
        <v/>
      </c>
      <c r="D475">
        <f>IF(OR(SwitchUniverse&lt;&gt;"ON",$B475=""),"",BDP($B475,"GICS_SECTOR_NAME"))</f>
        <v/>
      </c>
    </row>
    <row r="476" spans="2:4">
      <c r="B476">
        <f>IF(TRIM(A476&amp;"")="","",IF(RIGHT(TRIM(A476),7)=" Equity",TRIM(A476),TRIM(A476)&amp;" Equity"))</f>
        <v/>
      </c>
      <c r="C476">
        <f>IF(OR(SwitchUniverse&lt;&gt;"ON",$B476=""),"",BDP($B476,"NAME"))</f>
        <v/>
      </c>
      <c r="D476">
        <f>IF(OR(SwitchUniverse&lt;&gt;"ON",$B476=""),"",BDP($B476,"GICS_SECTOR_NAME"))</f>
        <v/>
      </c>
    </row>
    <row r="477" spans="2:4">
      <c r="B477">
        <f>IF(TRIM(A477&amp;"")="","",IF(RIGHT(TRIM(A477),7)=" Equity",TRIM(A477),TRIM(A477)&amp;" Equity"))</f>
        <v/>
      </c>
      <c r="C477">
        <f>IF(OR(SwitchUniverse&lt;&gt;"ON",$B477=""),"",BDP($B477,"NAME"))</f>
        <v/>
      </c>
      <c r="D477">
        <f>IF(OR(SwitchUniverse&lt;&gt;"ON",$B477=""),"",BDP($B477,"GICS_SECTOR_NAME"))</f>
        <v/>
      </c>
    </row>
    <row r="478" spans="2:4">
      <c r="B478">
        <f>IF(TRIM(A478&amp;"")="","",IF(RIGHT(TRIM(A478),7)=" Equity",TRIM(A478),TRIM(A478)&amp;" Equity"))</f>
        <v/>
      </c>
      <c r="C478">
        <f>IF(OR(SwitchUniverse&lt;&gt;"ON",$B478=""),"",BDP($B478,"NAME"))</f>
        <v/>
      </c>
      <c r="D478">
        <f>IF(OR(SwitchUniverse&lt;&gt;"ON",$B478=""),"",BDP($B478,"GICS_SECTOR_NAME"))</f>
        <v/>
      </c>
    </row>
    <row r="479" spans="2:4">
      <c r="B479">
        <f>IF(TRIM(A479&amp;"")="","",IF(RIGHT(TRIM(A479),7)=" Equity",TRIM(A479),TRIM(A479)&amp;" Equity"))</f>
        <v/>
      </c>
      <c r="C479">
        <f>IF(OR(SwitchUniverse&lt;&gt;"ON",$B479=""),"",BDP($B479,"NAME"))</f>
        <v/>
      </c>
      <c r="D479">
        <f>IF(OR(SwitchUniverse&lt;&gt;"ON",$B479=""),"",BDP($B479,"GICS_SECTOR_NAME"))</f>
        <v/>
      </c>
    </row>
    <row r="480" spans="2:4">
      <c r="B480">
        <f>IF(TRIM(A480&amp;"")="","",IF(RIGHT(TRIM(A480),7)=" Equity",TRIM(A480),TRIM(A480)&amp;" Equity"))</f>
        <v/>
      </c>
      <c r="C480">
        <f>IF(OR(SwitchUniverse&lt;&gt;"ON",$B480=""),"",BDP($B480,"NAME"))</f>
        <v/>
      </c>
      <c r="D480">
        <f>IF(OR(SwitchUniverse&lt;&gt;"ON",$B480=""),"",BDP($B480,"GICS_SECTOR_NAME"))</f>
        <v/>
      </c>
    </row>
    <row r="481" spans="2:4">
      <c r="B481">
        <f>IF(TRIM(A481&amp;"")="","",IF(RIGHT(TRIM(A481),7)=" Equity",TRIM(A481),TRIM(A481)&amp;" Equity"))</f>
        <v/>
      </c>
      <c r="C481">
        <f>IF(OR(SwitchUniverse&lt;&gt;"ON",$B481=""),"",BDP($B481,"NAME"))</f>
        <v/>
      </c>
      <c r="D481">
        <f>IF(OR(SwitchUniverse&lt;&gt;"ON",$B481=""),"",BDP($B481,"GICS_SECTOR_NAME"))</f>
        <v/>
      </c>
    </row>
    <row r="482" spans="2:4">
      <c r="B482">
        <f>IF(TRIM(A482&amp;"")="","",IF(RIGHT(TRIM(A482),7)=" Equity",TRIM(A482),TRIM(A482)&amp;" Equity"))</f>
        <v/>
      </c>
      <c r="C482">
        <f>IF(OR(SwitchUniverse&lt;&gt;"ON",$B482=""),"",BDP($B482,"NAME"))</f>
        <v/>
      </c>
      <c r="D482">
        <f>IF(OR(SwitchUniverse&lt;&gt;"ON",$B482=""),"",BDP($B482,"GICS_SECTOR_NAME"))</f>
        <v/>
      </c>
    </row>
    <row r="483" spans="2:4">
      <c r="B483">
        <f>IF(TRIM(A483&amp;"")="","",IF(RIGHT(TRIM(A483),7)=" Equity",TRIM(A483),TRIM(A483)&amp;" Equity"))</f>
        <v/>
      </c>
      <c r="C483">
        <f>IF(OR(SwitchUniverse&lt;&gt;"ON",$B483=""),"",BDP($B483,"NAME"))</f>
        <v/>
      </c>
      <c r="D483">
        <f>IF(OR(SwitchUniverse&lt;&gt;"ON",$B483=""),"",BDP($B483,"GICS_SECTOR_NAME"))</f>
        <v/>
      </c>
    </row>
    <row r="484" spans="2:4">
      <c r="B484">
        <f>IF(TRIM(A484&amp;"")="","",IF(RIGHT(TRIM(A484),7)=" Equity",TRIM(A484),TRIM(A484)&amp;" Equity"))</f>
        <v/>
      </c>
      <c r="C484">
        <f>IF(OR(SwitchUniverse&lt;&gt;"ON",$B484=""),"",BDP($B484,"NAME"))</f>
        <v/>
      </c>
      <c r="D484">
        <f>IF(OR(SwitchUniverse&lt;&gt;"ON",$B484=""),"",BDP($B484,"GICS_SECTOR_NAME"))</f>
        <v/>
      </c>
    </row>
    <row r="485" spans="2:4">
      <c r="B485">
        <f>IF(TRIM(A485&amp;"")="","",IF(RIGHT(TRIM(A485),7)=" Equity",TRIM(A485),TRIM(A485)&amp;" Equity"))</f>
        <v/>
      </c>
      <c r="C485">
        <f>IF(OR(SwitchUniverse&lt;&gt;"ON",$B485=""),"",BDP($B485,"NAME"))</f>
        <v/>
      </c>
      <c r="D485">
        <f>IF(OR(SwitchUniverse&lt;&gt;"ON",$B485=""),"",BDP($B485,"GICS_SECTOR_NAME"))</f>
        <v/>
      </c>
    </row>
    <row r="486" spans="2:4">
      <c r="B486">
        <f>IF(TRIM(A486&amp;"")="","",IF(RIGHT(TRIM(A486),7)=" Equity",TRIM(A486),TRIM(A486)&amp;" Equity"))</f>
        <v/>
      </c>
      <c r="C486">
        <f>IF(OR(SwitchUniverse&lt;&gt;"ON",$B486=""),"",BDP($B486,"NAME"))</f>
        <v/>
      </c>
      <c r="D486">
        <f>IF(OR(SwitchUniverse&lt;&gt;"ON",$B486=""),"",BDP($B486,"GICS_SECTOR_NAME"))</f>
        <v/>
      </c>
    </row>
    <row r="487" spans="2:4">
      <c r="B487">
        <f>IF(TRIM(A487&amp;"")="","",IF(RIGHT(TRIM(A487),7)=" Equity",TRIM(A487),TRIM(A487)&amp;" Equity"))</f>
        <v/>
      </c>
      <c r="C487">
        <f>IF(OR(SwitchUniverse&lt;&gt;"ON",$B487=""),"",BDP($B487,"NAME"))</f>
        <v/>
      </c>
      <c r="D487">
        <f>IF(OR(SwitchUniverse&lt;&gt;"ON",$B487=""),"",BDP($B487,"GICS_SECTOR_NAME"))</f>
        <v/>
      </c>
    </row>
    <row r="488" spans="2:4">
      <c r="B488">
        <f>IF(TRIM(A488&amp;"")="","",IF(RIGHT(TRIM(A488),7)=" Equity",TRIM(A488),TRIM(A488)&amp;" Equity"))</f>
        <v/>
      </c>
      <c r="C488">
        <f>IF(OR(SwitchUniverse&lt;&gt;"ON",$B488=""),"",BDP($B488,"NAME"))</f>
        <v/>
      </c>
      <c r="D488">
        <f>IF(OR(SwitchUniverse&lt;&gt;"ON",$B488=""),"",BDP($B488,"GICS_SECTOR_NAME"))</f>
        <v/>
      </c>
    </row>
    <row r="489" spans="2:4">
      <c r="B489">
        <f>IF(TRIM(A489&amp;"")="","",IF(RIGHT(TRIM(A489),7)=" Equity",TRIM(A489),TRIM(A489)&amp;" Equity"))</f>
        <v/>
      </c>
      <c r="C489">
        <f>IF(OR(SwitchUniverse&lt;&gt;"ON",$B489=""),"",BDP($B489,"NAME"))</f>
        <v/>
      </c>
      <c r="D489">
        <f>IF(OR(SwitchUniverse&lt;&gt;"ON",$B489=""),"",BDP($B489,"GICS_SECTOR_NAME"))</f>
        <v/>
      </c>
    </row>
    <row r="490" spans="2:4">
      <c r="B490">
        <f>IF(TRIM(A490&amp;"")="","",IF(RIGHT(TRIM(A490),7)=" Equity",TRIM(A490),TRIM(A490)&amp;" Equity"))</f>
        <v/>
      </c>
      <c r="C490">
        <f>IF(OR(SwitchUniverse&lt;&gt;"ON",$B490=""),"",BDP($B490,"NAME"))</f>
        <v/>
      </c>
      <c r="D490">
        <f>IF(OR(SwitchUniverse&lt;&gt;"ON",$B490=""),"",BDP($B490,"GICS_SECTOR_NAME"))</f>
        <v/>
      </c>
    </row>
    <row r="491" spans="2:4">
      <c r="B491">
        <f>IF(TRIM(A491&amp;"")="","",IF(RIGHT(TRIM(A491),7)=" Equity",TRIM(A491),TRIM(A491)&amp;" Equity"))</f>
        <v/>
      </c>
      <c r="C491">
        <f>IF(OR(SwitchUniverse&lt;&gt;"ON",$B491=""),"",BDP($B491,"NAME"))</f>
        <v/>
      </c>
      <c r="D491">
        <f>IF(OR(SwitchUniverse&lt;&gt;"ON",$B491=""),"",BDP($B491,"GICS_SECTOR_NAME"))</f>
        <v/>
      </c>
    </row>
    <row r="492" spans="2:4">
      <c r="B492">
        <f>IF(TRIM(A492&amp;"")="","",IF(RIGHT(TRIM(A492),7)=" Equity",TRIM(A492),TRIM(A492)&amp;" Equity"))</f>
        <v/>
      </c>
      <c r="C492">
        <f>IF(OR(SwitchUniverse&lt;&gt;"ON",$B492=""),"",BDP($B492,"NAME"))</f>
        <v/>
      </c>
      <c r="D492">
        <f>IF(OR(SwitchUniverse&lt;&gt;"ON",$B492=""),"",BDP($B492,"GICS_SECTOR_NAME"))</f>
        <v/>
      </c>
    </row>
    <row r="493" spans="2:4">
      <c r="B493">
        <f>IF(TRIM(A493&amp;"")="","",IF(RIGHT(TRIM(A493),7)=" Equity",TRIM(A493),TRIM(A493)&amp;" Equity"))</f>
        <v/>
      </c>
      <c r="C493">
        <f>IF(OR(SwitchUniverse&lt;&gt;"ON",$B493=""),"",BDP($B493,"NAME"))</f>
        <v/>
      </c>
      <c r="D493">
        <f>IF(OR(SwitchUniverse&lt;&gt;"ON",$B493=""),"",BDP($B493,"GICS_SECTOR_NAME"))</f>
        <v/>
      </c>
    </row>
    <row r="494" spans="2:4">
      <c r="B494">
        <f>IF(TRIM(A494&amp;"")="","",IF(RIGHT(TRIM(A494),7)=" Equity",TRIM(A494),TRIM(A494)&amp;" Equity"))</f>
        <v/>
      </c>
      <c r="C494">
        <f>IF(OR(SwitchUniverse&lt;&gt;"ON",$B494=""),"",BDP($B494,"NAME"))</f>
        <v/>
      </c>
      <c r="D494">
        <f>IF(OR(SwitchUniverse&lt;&gt;"ON",$B494=""),"",BDP($B494,"GICS_SECTOR_NAME"))</f>
        <v/>
      </c>
    </row>
    <row r="495" spans="2:4">
      <c r="B495">
        <f>IF(TRIM(A495&amp;"")="","",IF(RIGHT(TRIM(A495),7)=" Equity",TRIM(A495),TRIM(A495)&amp;" Equity"))</f>
        <v/>
      </c>
      <c r="C495">
        <f>IF(OR(SwitchUniverse&lt;&gt;"ON",$B495=""),"",BDP($B495,"NAME"))</f>
        <v/>
      </c>
      <c r="D495">
        <f>IF(OR(SwitchUniverse&lt;&gt;"ON",$B495=""),"",BDP($B495,"GICS_SECTOR_NAME"))</f>
        <v/>
      </c>
    </row>
    <row r="496" spans="2:4">
      <c r="B496">
        <f>IF(TRIM(A496&amp;"")="","",IF(RIGHT(TRIM(A496),7)=" Equity",TRIM(A496),TRIM(A496)&amp;" Equity"))</f>
        <v/>
      </c>
      <c r="C496">
        <f>IF(OR(SwitchUniverse&lt;&gt;"ON",$B496=""),"",BDP($B496,"NAME"))</f>
        <v/>
      </c>
      <c r="D496">
        <f>IF(OR(SwitchUniverse&lt;&gt;"ON",$B496=""),"",BDP($B496,"GICS_SECTOR_NAME"))</f>
        <v/>
      </c>
    </row>
    <row r="497" spans="2:4">
      <c r="B497">
        <f>IF(TRIM(A497&amp;"")="","",IF(RIGHT(TRIM(A497),7)=" Equity",TRIM(A497),TRIM(A497)&amp;" Equity"))</f>
        <v/>
      </c>
      <c r="C497">
        <f>IF(OR(SwitchUniverse&lt;&gt;"ON",$B497=""),"",BDP($B497,"NAME"))</f>
        <v/>
      </c>
      <c r="D497">
        <f>IF(OR(SwitchUniverse&lt;&gt;"ON",$B497=""),"",BDP($B497,"GICS_SECTOR_NAME"))</f>
        <v/>
      </c>
    </row>
    <row r="498" spans="2:4">
      <c r="B498">
        <f>IF(TRIM(A498&amp;"")="","",IF(RIGHT(TRIM(A498),7)=" Equity",TRIM(A498),TRIM(A498)&amp;" Equity"))</f>
        <v/>
      </c>
      <c r="C498">
        <f>IF(OR(SwitchUniverse&lt;&gt;"ON",$B498=""),"",BDP($B498,"NAME"))</f>
        <v/>
      </c>
      <c r="D498">
        <f>IF(OR(SwitchUniverse&lt;&gt;"ON",$B498=""),"",BDP($B498,"GICS_SECTOR_NAME"))</f>
        <v/>
      </c>
    </row>
    <row r="499" spans="2:4">
      <c r="B499">
        <f>IF(TRIM(A499&amp;"")="","",IF(RIGHT(TRIM(A499),7)=" Equity",TRIM(A499),TRIM(A499)&amp;" Equity"))</f>
        <v/>
      </c>
      <c r="C499">
        <f>IF(OR(SwitchUniverse&lt;&gt;"ON",$B499=""),"",BDP($B499,"NAME"))</f>
        <v/>
      </c>
      <c r="D499">
        <f>IF(OR(SwitchUniverse&lt;&gt;"ON",$B499=""),"",BDP($B499,"GICS_SECTOR_NAME"))</f>
        <v/>
      </c>
    </row>
    <row r="500" spans="2:4">
      <c r="B500">
        <f>IF(TRIM(A500&amp;"")="","",IF(RIGHT(TRIM(A500),7)=" Equity",TRIM(A500),TRIM(A500)&amp;" Equity"))</f>
        <v/>
      </c>
      <c r="C500">
        <f>IF(OR(SwitchUniverse&lt;&gt;"ON",$B500=""),"",BDP($B500,"NAME"))</f>
        <v/>
      </c>
      <c r="D500">
        <f>IF(OR(SwitchUniverse&lt;&gt;"ON",$B500=""),"",BDP($B500,"GICS_SECTOR_NAME"))</f>
        <v/>
      </c>
    </row>
    <row r="501" spans="2:4">
      <c r="B501">
        <f>IF(TRIM(A501&amp;"")="","",IF(RIGHT(TRIM(A501),7)=" Equity",TRIM(A501),TRIM(A501)&amp;" Equity"))</f>
        <v/>
      </c>
      <c r="C501">
        <f>IF(OR(SwitchUniverse&lt;&gt;"ON",$B501=""),"",BDP($B501,"NAME"))</f>
        <v/>
      </c>
      <c r="D501">
        <f>IF(OR(SwitchUniverse&lt;&gt;"ON",$B501=""),"",BDP($B501,"GICS_SECTOR_NAME"))</f>
        <v/>
      </c>
    </row>
    <row r="502" spans="2:4">
      <c r="B502">
        <f>IF(TRIM(A502&amp;"")="","",IF(RIGHT(TRIM(A502),7)=" Equity",TRIM(A502),TRIM(A502)&amp;" Equity"))</f>
        <v/>
      </c>
      <c r="C502">
        <f>IF(OR(SwitchUniverse&lt;&gt;"ON",$B502=""),"",BDP($B502,"NAME"))</f>
        <v/>
      </c>
      <c r="D502">
        <f>IF(OR(SwitchUniverse&lt;&gt;"ON",$B502=""),"",BDP($B502,"GICS_SECTOR_NAME"))</f>
        <v/>
      </c>
    </row>
    <row r="503" spans="2:4">
      <c r="B503">
        <f>IF(TRIM(A503&amp;"")="","",IF(RIGHT(TRIM(A503),7)=" Equity",TRIM(A503),TRIM(A503)&amp;" Equity"))</f>
        <v/>
      </c>
      <c r="C503">
        <f>IF(OR(SwitchUniverse&lt;&gt;"ON",$B503=""),"",BDP($B503,"NAME"))</f>
        <v/>
      </c>
      <c r="D503">
        <f>IF(OR(SwitchUniverse&lt;&gt;"ON",$B503=""),"",BDP($B503,"GICS_SECTOR_NAME"))</f>
        <v/>
      </c>
    </row>
    <row r="504" spans="2:4">
      <c r="B504">
        <f>IF(TRIM(A504&amp;"")="","",IF(RIGHT(TRIM(A504),7)=" Equity",TRIM(A504),TRIM(A504)&amp;" Equity"))</f>
        <v/>
      </c>
      <c r="C504">
        <f>IF(OR(SwitchUniverse&lt;&gt;"ON",$B504=""),"",BDP($B504,"NAME"))</f>
        <v/>
      </c>
      <c r="D504">
        <f>IF(OR(SwitchUniverse&lt;&gt;"ON",$B504=""),"",BDP($B504,"GICS_SECTOR_NAME"))</f>
        <v/>
      </c>
    </row>
    <row r="505" spans="2:4">
      <c r="B505">
        <f>IF(TRIM(A505&amp;"")="","",IF(RIGHT(TRIM(A505),7)=" Equity",TRIM(A505),TRIM(A505)&amp;" Equity"))</f>
        <v/>
      </c>
      <c r="C505">
        <f>IF(OR(SwitchUniverse&lt;&gt;"ON",$B505=""),"",BDP($B505,"NAME"))</f>
        <v/>
      </c>
      <c r="D505">
        <f>IF(OR(SwitchUniverse&lt;&gt;"ON",$B505=""),"",BDP($B505,"GICS_SECTOR_NAME"))</f>
        <v/>
      </c>
    </row>
    <row r="506" spans="2:4">
      <c r="B506">
        <f>IF(TRIM(A506&amp;"")="","",IF(RIGHT(TRIM(A506),7)=" Equity",TRIM(A506),TRIM(A506)&amp;" Equity"))</f>
        <v/>
      </c>
      <c r="C506">
        <f>IF(OR(SwitchUniverse&lt;&gt;"ON",$B506=""),"",BDP($B506,"NAME"))</f>
        <v/>
      </c>
      <c r="D506">
        <f>IF(OR(SwitchUniverse&lt;&gt;"ON",$B506=""),"",BDP($B506,"GICS_SECTOR_NAME"))</f>
        <v/>
      </c>
    </row>
    <row r="507" spans="2:4">
      <c r="B507">
        <f>IF(TRIM(A507&amp;"")="","",IF(RIGHT(TRIM(A507),7)=" Equity",TRIM(A507),TRIM(A507)&amp;" Equity"))</f>
        <v/>
      </c>
      <c r="C507">
        <f>IF(OR(SwitchUniverse&lt;&gt;"ON",$B507=""),"",BDP($B507,"NAME"))</f>
        <v/>
      </c>
      <c r="D507">
        <f>IF(OR(SwitchUniverse&lt;&gt;"ON",$B507=""),"",BDP($B507,"GICS_SECTOR_NAME"))</f>
        <v/>
      </c>
    </row>
    <row r="508" spans="2:4">
      <c r="B508">
        <f>IF(TRIM(A508&amp;"")="","",IF(RIGHT(TRIM(A508),7)=" Equity",TRIM(A508),TRIM(A508)&amp;" Equity"))</f>
        <v/>
      </c>
      <c r="C508">
        <f>IF(OR(SwitchUniverse&lt;&gt;"ON",$B508=""),"",BDP($B508,"NAME"))</f>
        <v/>
      </c>
      <c r="D508">
        <f>IF(OR(SwitchUniverse&lt;&gt;"ON",$B508=""),"",BDP($B508,"GICS_SECTOR_NAME"))</f>
        <v/>
      </c>
    </row>
    <row r="509" spans="2:4">
      <c r="B509">
        <f>IF(TRIM(A509&amp;"")="","",IF(RIGHT(TRIM(A509),7)=" Equity",TRIM(A509),TRIM(A509)&amp;" Equity"))</f>
        <v/>
      </c>
      <c r="C509">
        <f>IF(OR(SwitchUniverse&lt;&gt;"ON",$B509=""),"",BDP($B509,"NAME"))</f>
        <v/>
      </c>
      <c r="D509">
        <f>IF(OR(SwitchUniverse&lt;&gt;"ON",$B509=""),"",BDP($B509,"GICS_SECTOR_NAME"))</f>
        <v/>
      </c>
    </row>
    <row r="510" spans="2:4">
      <c r="B510">
        <f>IF(TRIM(A510&amp;"")="","",IF(RIGHT(TRIM(A510),7)=" Equity",TRIM(A510),TRIM(A510)&amp;" Equity"))</f>
        <v/>
      </c>
      <c r="C510">
        <f>IF(OR(SwitchUniverse&lt;&gt;"ON",$B510=""),"",BDP($B510,"NAME"))</f>
        <v/>
      </c>
      <c r="D510">
        <f>IF(OR(SwitchUniverse&lt;&gt;"ON",$B510=""),"",BDP($B510,"GICS_SECTOR_NAME"))</f>
        <v/>
      </c>
    </row>
    <row r="511" spans="2:4">
      <c r="B511">
        <f>IF(TRIM(A511&amp;"")="","",IF(RIGHT(TRIM(A511),7)=" Equity",TRIM(A511),TRIM(A511)&amp;" Equity"))</f>
        <v/>
      </c>
      <c r="C511">
        <f>IF(OR(SwitchUniverse&lt;&gt;"ON",$B511=""),"",BDP($B511,"NAME"))</f>
        <v/>
      </c>
      <c r="D511">
        <f>IF(OR(SwitchUniverse&lt;&gt;"ON",$B511=""),"",BDP($B511,"GICS_SECTOR_NAME"))</f>
        <v/>
      </c>
    </row>
    <row r="512" spans="2:4">
      <c r="B512">
        <f>IF(TRIM(A512&amp;"")="","",IF(RIGHT(TRIM(A512),7)=" Equity",TRIM(A512),TRIM(A512)&amp;" Equity"))</f>
        <v/>
      </c>
      <c r="C512">
        <f>IF(OR(SwitchUniverse&lt;&gt;"ON",$B512=""),"",BDP($B512,"NAME"))</f>
        <v/>
      </c>
      <c r="D512">
        <f>IF(OR(SwitchUniverse&lt;&gt;"ON",$B512=""),"",BDP($B512,"GICS_SECTOR_NAME"))</f>
        <v/>
      </c>
    </row>
    <row r="513" spans="2:4">
      <c r="B513">
        <f>IF(TRIM(A513&amp;"")="","",IF(RIGHT(TRIM(A513),7)=" Equity",TRIM(A513),TRIM(A513)&amp;" Equity"))</f>
        <v/>
      </c>
      <c r="C513">
        <f>IF(OR(SwitchUniverse&lt;&gt;"ON",$B513=""),"",BDP($B513,"NAME"))</f>
        <v/>
      </c>
      <c r="D513">
        <f>IF(OR(SwitchUniverse&lt;&gt;"ON",$B513=""),"",BDP($B513,"GICS_SECTOR_NAME"))</f>
        <v/>
      </c>
    </row>
    <row r="514" spans="2:4">
      <c r="B514">
        <f>IF(TRIM(A514&amp;"")="","",IF(RIGHT(TRIM(A514),7)=" Equity",TRIM(A514),TRIM(A514)&amp;" Equity"))</f>
        <v/>
      </c>
      <c r="C514">
        <f>IF(OR(SwitchUniverse&lt;&gt;"ON",$B514=""),"",BDP($B514,"NAME"))</f>
        <v/>
      </c>
      <c r="D514">
        <f>IF(OR(SwitchUniverse&lt;&gt;"ON",$B514=""),"",BDP($B514,"GICS_SECTOR_NAME"))</f>
        <v/>
      </c>
    </row>
    <row r="515" spans="2:4">
      <c r="B515">
        <f>IF(TRIM(A515&amp;"")="","",IF(RIGHT(TRIM(A515),7)=" Equity",TRIM(A515),TRIM(A515)&amp;" Equity"))</f>
        <v/>
      </c>
      <c r="C515">
        <f>IF(OR(SwitchUniverse&lt;&gt;"ON",$B515=""),"",BDP($B515,"NAME"))</f>
        <v/>
      </c>
      <c r="D515">
        <f>IF(OR(SwitchUniverse&lt;&gt;"ON",$B515=""),"",BDP($B515,"GICS_SECTOR_NAME"))</f>
        <v/>
      </c>
    </row>
    <row r="516" spans="2:4">
      <c r="B516">
        <f>IF(TRIM(A516&amp;"")="","",IF(RIGHT(TRIM(A516),7)=" Equity",TRIM(A516),TRIM(A516)&amp;" Equity"))</f>
        <v/>
      </c>
      <c r="C516">
        <f>IF(OR(SwitchUniverse&lt;&gt;"ON",$B516=""),"",BDP($B516,"NAME"))</f>
        <v/>
      </c>
      <c r="D516">
        <f>IF(OR(SwitchUniverse&lt;&gt;"ON",$B516=""),"",BDP($B516,"GICS_SECTOR_NAME"))</f>
        <v/>
      </c>
    </row>
    <row r="517" spans="2:4">
      <c r="B517">
        <f>IF(TRIM(A517&amp;"")="","",IF(RIGHT(TRIM(A517),7)=" Equity",TRIM(A517),TRIM(A517)&amp;" Equity"))</f>
        <v/>
      </c>
      <c r="C517">
        <f>IF(OR(SwitchUniverse&lt;&gt;"ON",$B517=""),"",BDP($B517,"NAME"))</f>
        <v/>
      </c>
      <c r="D517">
        <f>IF(OR(SwitchUniverse&lt;&gt;"ON",$B517=""),"",BDP($B517,"GICS_SECTOR_NAME"))</f>
        <v/>
      </c>
    </row>
    <row r="518" spans="2:4">
      <c r="B518">
        <f>IF(TRIM(A518&amp;"")="","",IF(RIGHT(TRIM(A518),7)=" Equity",TRIM(A518),TRIM(A518)&amp;" Equity"))</f>
        <v/>
      </c>
      <c r="C518">
        <f>IF(OR(SwitchUniverse&lt;&gt;"ON",$B518=""),"",BDP($B518,"NAME"))</f>
        <v/>
      </c>
      <c r="D518">
        <f>IF(OR(SwitchUniverse&lt;&gt;"ON",$B518=""),"",BDP($B518,"GICS_SECTOR_NAME"))</f>
        <v/>
      </c>
    </row>
    <row r="519" spans="2:4">
      <c r="B519">
        <f>IF(TRIM(A519&amp;"")="","",IF(RIGHT(TRIM(A519),7)=" Equity",TRIM(A519),TRIM(A519)&amp;" Equity"))</f>
        <v/>
      </c>
      <c r="C519">
        <f>IF(OR(SwitchUniverse&lt;&gt;"ON",$B519=""),"",BDP($B519,"NAME"))</f>
        <v/>
      </c>
      <c r="D519">
        <f>IF(OR(SwitchUniverse&lt;&gt;"ON",$B519=""),"",BDP($B519,"GICS_SECTOR_NAME"))</f>
        <v/>
      </c>
    </row>
    <row r="520" spans="2:4">
      <c r="B520">
        <f>IF(TRIM(A520&amp;"")="","",IF(RIGHT(TRIM(A520),7)=" Equity",TRIM(A520),TRIM(A520)&amp;" Equity"))</f>
        <v/>
      </c>
      <c r="C520">
        <f>IF(OR(SwitchUniverse&lt;&gt;"ON",$B520=""),"",BDP($B520,"NAME"))</f>
        <v/>
      </c>
      <c r="D520">
        <f>IF(OR(SwitchUniverse&lt;&gt;"ON",$B520=""),"",BDP($B520,"GICS_SECTOR_NAME"))</f>
        <v/>
      </c>
    </row>
    <row r="521" spans="2:4">
      <c r="B521">
        <f>IF(TRIM(A521&amp;"")="","",IF(RIGHT(TRIM(A521),7)=" Equity",TRIM(A521),TRIM(A521)&amp;" Equity"))</f>
        <v/>
      </c>
      <c r="C521">
        <f>IF(OR(SwitchUniverse&lt;&gt;"ON",$B521=""),"",BDP($B521,"NAME"))</f>
        <v/>
      </c>
      <c r="D521">
        <f>IF(OR(SwitchUniverse&lt;&gt;"ON",$B521=""),"",BDP($B521,"GICS_SECTOR_NAME"))</f>
        <v/>
      </c>
    </row>
    <row r="522" spans="2:4">
      <c r="B522">
        <f>IF(TRIM(A522&amp;"")="","",IF(RIGHT(TRIM(A522),7)=" Equity",TRIM(A522),TRIM(A522)&amp;" Equity"))</f>
        <v/>
      </c>
      <c r="C522">
        <f>IF(OR(SwitchUniverse&lt;&gt;"ON",$B522=""),"",BDP($B522,"NAME"))</f>
        <v/>
      </c>
      <c r="D522">
        <f>IF(OR(SwitchUniverse&lt;&gt;"ON",$B522=""),"",BDP($B522,"GICS_SECTOR_NAME"))</f>
        <v/>
      </c>
    </row>
    <row r="523" spans="2:4">
      <c r="B523">
        <f>IF(TRIM(A523&amp;"")="","",IF(RIGHT(TRIM(A523),7)=" Equity",TRIM(A523),TRIM(A523)&amp;" Equity"))</f>
        <v/>
      </c>
      <c r="C523">
        <f>IF(OR(SwitchUniverse&lt;&gt;"ON",$B523=""),"",BDP($B523,"NAME"))</f>
        <v/>
      </c>
      <c r="D523">
        <f>IF(OR(SwitchUniverse&lt;&gt;"ON",$B523=""),"",BDP($B523,"GICS_SECTOR_NAME"))</f>
        <v/>
      </c>
    </row>
    <row r="524" spans="2:4">
      <c r="B524">
        <f>IF(TRIM(A524&amp;"")="","",IF(RIGHT(TRIM(A524),7)=" Equity",TRIM(A524),TRIM(A524)&amp;" Equity"))</f>
        <v/>
      </c>
      <c r="C524">
        <f>IF(OR(SwitchUniverse&lt;&gt;"ON",$B524=""),"",BDP($B524,"NAME"))</f>
        <v/>
      </c>
      <c r="D524">
        <f>IF(OR(SwitchUniverse&lt;&gt;"ON",$B524=""),"",BDP($B524,"GICS_SECTOR_NAME"))</f>
        <v/>
      </c>
    </row>
    <row r="525" spans="2:4">
      <c r="B525">
        <f>IF(TRIM(A525&amp;"")="","",IF(RIGHT(TRIM(A525),7)=" Equity",TRIM(A525),TRIM(A525)&amp;" Equity"))</f>
        <v/>
      </c>
      <c r="C525">
        <f>IF(OR(SwitchUniverse&lt;&gt;"ON",$B525=""),"",BDP($B525,"NAME"))</f>
        <v/>
      </c>
      <c r="D525">
        <f>IF(OR(SwitchUniverse&lt;&gt;"ON",$B525=""),"",BDP($B525,"GICS_SECTOR_NAME"))</f>
        <v/>
      </c>
    </row>
    <row r="526" spans="2:4">
      <c r="B526">
        <f>IF(TRIM(A526&amp;"")="","",IF(RIGHT(TRIM(A526),7)=" Equity",TRIM(A526),TRIM(A526)&amp;" Equity"))</f>
        <v/>
      </c>
      <c r="C526">
        <f>IF(OR(SwitchUniverse&lt;&gt;"ON",$B526=""),"",BDP($B526,"NAME"))</f>
        <v/>
      </c>
      <c r="D526">
        <f>IF(OR(SwitchUniverse&lt;&gt;"ON",$B526=""),"",BDP($B526,"GICS_SECTOR_NAME"))</f>
        <v/>
      </c>
    </row>
    <row r="527" spans="2:4">
      <c r="B527">
        <f>IF(TRIM(A527&amp;"")="","",IF(RIGHT(TRIM(A527),7)=" Equity",TRIM(A527),TRIM(A527)&amp;" Equity"))</f>
        <v/>
      </c>
      <c r="C527">
        <f>IF(OR(SwitchUniverse&lt;&gt;"ON",$B527=""),"",BDP($B527,"NAME"))</f>
        <v/>
      </c>
      <c r="D527">
        <f>IF(OR(SwitchUniverse&lt;&gt;"ON",$B527=""),"",BDP($B527,"GICS_SECTOR_NAME"))</f>
        <v/>
      </c>
    </row>
    <row r="528" spans="2:4">
      <c r="B528">
        <f>IF(TRIM(A528&amp;"")="","",IF(RIGHT(TRIM(A528),7)=" Equity",TRIM(A528),TRIM(A528)&amp;" Equity"))</f>
        <v/>
      </c>
      <c r="C528">
        <f>IF(OR(SwitchUniverse&lt;&gt;"ON",$B528=""),"",BDP($B528,"NAME"))</f>
        <v/>
      </c>
      <c r="D528">
        <f>IF(OR(SwitchUniverse&lt;&gt;"ON",$B528=""),"",BDP($B528,"GICS_SECTOR_NAME"))</f>
        <v/>
      </c>
    </row>
    <row r="529" spans="2:4">
      <c r="B529">
        <f>IF(TRIM(A529&amp;"")="","",IF(RIGHT(TRIM(A529),7)=" Equity",TRIM(A529),TRIM(A529)&amp;" Equity"))</f>
        <v/>
      </c>
      <c r="C529">
        <f>IF(OR(SwitchUniverse&lt;&gt;"ON",$B529=""),"",BDP($B529,"NAME"))</f>
        <v/>
      </c>
      <c r="D529">
        <f>IF(OR(SwitchUniverse&lt;&gt;"ON",$B529=""),"",BDP($B529,"GICS_SECTOR_NAME"))</f>
        <v/>
      </c>
    </row>
    <row r="530" spans="2:4">
      <c r="B530">
        <f>IF(TRIM(A530&amp;"")="","",IF(RIGHT(TRIM(A530),7)=" Equity",TRIM(A530),TRIM(A530)&amp;" Equity"))</f>
        <v/>
      </c>
      <c r="C530">
        <f>IF(OR(SwitchUniverse&lt;&gt;"ON",$B530=""),"",BDP($B530,"NAME"))</f>
        <v/>
      </c>
      <c r="D530">
        <f>IF(OR(SwitchUniverse&lt;&gt;"ON",$B530=""),"",BDP($B530,"GICS_SECTOR_NAME"))</f>
        <v/>
      </c>
    </row>
    <row r="531" spans="2:4">
      <c r="B531">
        <f>IF(TRIM(A531&amp;"")="","",IF(RIGHT(TRIM(A531),7)=" Equity",TRIM(A531),TRIM(A531)&amp;" Equity"))</f>
        <v/>
      </c>
      <c r="C531">
        <f>IF(OR(SwitchUniverse&lt;&gt;"ON",$B531=""),"",BDP($B531,"NAME"))</f>
        <v/>
      </c>
      <c r="D531">
        <f>IF(OR(SwitchUniverse&lt;&gt;"ON",$B531=""),"",BDP($B531,"GICS_SECTOR_NAME"))</f>
        <v/>
      </c>
    </row>
    <row r="532" spans="2:4">
      <c r="B532">
        <f>IF(TRIM(A532&amp;"")="","",IF(RIGHT(TRIM(A532),7)=" Equity",TRIM(A532),TRIM(A532)&amp;" Equity"))</f>
        <v/>
      </c>
      <c r="C532">
        <f>IF(OR(SwitchUniverse&lt;&gt;"ON",$B532=""),"",BDP($B532,"NAME"))</f>
        <v/>
      </c>
      <c r="D532">
        <f>IF(OR(SwitchUniverse&lt;&gt;"ON",$B532=""),"",BDP($B532,"GICS_SECTOR_NAME"))</f>
        <v/>
      </c>
    </row>
    <row r="533" spans="2:4">
      <c r="B533">
        <f>IF(TRIM(A533&amp;"")="","",IF(RIGHT(TRIM(A533),7)=" Equity",TRIM(A533),TRIM(A533)&amp;" Equity"))</f>
        <v/>
      </c>
      <c r="C533">
        <f>IF(OR(SwitchUniverse&lt;&gt;"ON",$B533=""),"",BDP($B533,"NAME"))</f>
        <v/>
      </c>
      <c r="D533">
        <f>IF(OR(SwitchUniverse&lt;&gt;"ON",$B533=""),"",BDP($B533,"GICS_SECTOR_NAME"))</f>
        <v/>
      </c>
    </row>
    <row r="534" spans="2:4">
      <c r="B534">
        <f>IF(TRIM(A534&amp;"")="","",IF(RIGHT(TRIM(A534),7)=" Equity",TRIM(A534),TRIM(A534)&amp;" Equity"))</f>
        <v/>
      </c>
      <c r="C534">
        <f>IF(OR(SwitchUniverse&lt;&gt;"ON",$B534=""),"",BDP($B534,"NAME"))</f>
        <v/>
      </c>
      <c r="D534">
        <f>IF(OR(SwitchUniverse&lt;&gt;"ON",$B534=""),"",BDP($B534,"GICS_SECTOR_NAME"))</f>
        <v/>
      </c>
    </row>
    <row r="535" spans="2:4">
      <c r="B535">
        <f>IF(TRIM(A535&amp;"")="","",IF(RIGHT(TRIM(A535),7)=" Equity",TRIM(A535),TRIM(A535)&amp;" Equity"))</f>
        <v/>
      </c>
      <c r="C535">
        <f>IF(OR(SwitchUniverse&lt;&gt;"ON",$B535=""),"",BDP($B535,"NAME"))</f>
        <v/>
      </c>
      <c r="D535">
        <f>IF(OR(SwitchUniverse&lt;&gt;"ON",$B535=""),"",BDP($B535,"GICS_SECTOR_NAME"))</f>
        <v/>
      </c>
    </row>
    <row r="536" spans="2:4">
      <c r="B536">
        <f>IF(TRIM(A536&amp;"")="","",IF(RIGHT(TRIM(A536),7)=" Equity",TRIM(A536),TRIM(A536)&amp;" Equity"))</f>
        <v/>
      </c>
      <c r="C536">
        <f>IF(OR(SwitchUniverse&lt;&gt;"ON",$B536=""),"",BDP($B536,"NAME"))</f>
        <v/>
      </c>
      <c r="D536">
        <f>IF(OR(SwitchUniverse&lt;&gt;"ON",$B536=""),"",BDP($B536,"GICS_SECTOR_NAME"))</f>
        <v/>
      </c>
    </row>
    <row r="537" spans="2:4">
      <c r="B537">
        <f>IF(TRIM(A537&amp;"")="","",IF(RIGHT(TRIM(A537),7)=" Equity",TRIM(A537),TRIM(A537)&amp;" Equity"))</f>
        <v/>
      </c>
      <c r="C537">
        <f>IF(OR(SwitchUniverse&lt;&gt;"ON",$B537=""),"",BDP($B537,"NAME"))</f>
        <v/>
      </c>
      <c r="D537">
        <f>IF(OR(SwitchUniverse&lt;&gt;"ON",$B537=""),"",BDP($B537,"GICS_SECTOR_NAME"))</f>
        <v/>
      </c>
    </row>
    <row r="538" spans="2:4">
      <c r="B538">
        <f>IF(TRIM(A538&amp;"")="","",IF(RIGHT(TRIM(A538),7)=" Equity",TRIM(A538),TRIM(A538)&amp;" Equity"))</f>
        <v/>
      </c>
      <c r="C538">
        <f>IF(OR(SwitchUniverse&lt;&gt;"ON",$B538=""),"",BDP($B538,"NAME"))</f>
        <v/>
      </c>
      <c r="D538">
        <f>IF(OR(SwitchUniverse&lt;&gt;"ON",$B538=""),"",BDP($B538,"GICS_SECTOR_NAME"))</f>
        <v/>
      </c>
    </row>
    <row r="539" spans="2:4">
      <c r="B539">
        <f>IF(TRIM(A539&amp;"")="","",IF(RIGHT(TRIM(A539),7)=" Equity",TRIM(A539),TRIM(A539)&amp;" Equity"))</f>
        <v/>
      </c>
      <c r="C539">
        <f>IF(OR(SwitchUniverse&lt;&gt;"ON",$B539=""),"",BDP($B539,"NAME"))</f>
        <v/>
      </c>
      <c r="D539">
        <f>IF(OR(SwitchUniverse&lt;&gt;"ON",$B539=""),"",BDP($B539,"GICS_SECTOR_NAME"))</f>
        <v/>
      </c>
    </row>
    <row r="540" spans="2:4">
      <c r="B540">
        <f>IF(TRIM(A540&amp;"")="","",IF(RIGHT(TRIM(A540),7)=" Equity",TRIM(A540),TRIM(A540)&amp;" Equity"))</f>
        <v/>
      </c>
      <c r="C540">
        <f>IF(OR(SwitchUniverse&lt;&gt;"ON",$B540=""),"",BDP($B540,"NAME"))</f>
        <v/>
      </c>
      <c r="D540">
        <f>IF(OR(SwitchUniverse&lt;&gt;"ON",$B540=""),"",BDP($B540,"GICS_SECTOR_NAME"))</f>
        <v/>
      </c>
    </row>
    <row r="541" spans="2:4">
      <c r="B541">
        <f>IF(TRIM(A541&amp;"")="","",IF(RIGHT(TRIM(A541),7)=" Equity",TRIM(A541),TRIM(A541)&amp;" Equity"))</f>
        <v/>
      </c>
      <c r="C541">
        <f>IF(OR(SwitchUniverse&lt;&gt;"ON",$B541=""),"",BDP($B541,"NAME"))</f>
        <v/>
      </c>
      <c r="D541">
        <f>IF(OR(SwitchUniverse&lt;&gt;"ON",$B541=""),"",BDP($B541,"GICS_SECTOR_NAME"))</f>
        <v/>
      </c>
    </row>
    <row r="542" spans="2:4">
      <c r="B542">
        <f>IF(TRIM(A542&amp;"")="","",IF(RIGHT(TRIM(A542),7)=" Equity",TRIM(A542),TRIM(A542)&amp;" Equity"))</f>
        <v/>
      </c>
      <c r="C542">
        <f>IF(OR(SwitchUniverse&lt;&gt;"ON",$B542=""),"",BDP($B542,"NAME"))</f>
        <v/>
      </c>
      <c r="D542">
        <f>IF(OR(SwitchUniverse&lt;&gt;"ON",$B542=""),"",BDP($B542,"GICS_SECTOR_NAME"))</f>
        <v/>
      </c>
    </row>
    <row r="543" spans="2:4">
      <c r="B543">
        <f>IF(TRIM(A543&amp;"")="","",IF(RIGHT(TRIM(A543),7)=" Equity",TRIM(A543),TRIM(A543)&amp;" Equity"))</f>
        <v/>
      </c>
      <c r="C543">
        <f>IF(OR(SwitchUniverse&lt;&gt;"ON",$B543=""),"",BDP($B543,"NAME"))</f>
        <v/>
      </c>
      <c r="D543">
        <f>IF(OR(SwitchUniverse&lt;&gt;"ON",$B543=""),"",BDP($B543,"GICS_SECTOR_NAME"))</f>
        <v/>
      </c>
    </row>
    <row r="544" spans="2:4">
      <c r="B544">
        <f>IF(TRIM(A544&amp;"")="","",IF(RIGHT(TRIM(A544),7)=" Equity",TRIM(A544),TRIM(A544)&amp;" Equity"))</f>
        <v/>
      </c>
      <c r="C544">
        <f>IF(OR(SwitchUniverse&lt;&gt;"ON",$B544=""),"",BDP($B544,"NAME"))</f>
        <v/>
      </c>
      <c r="D544">
        <f>IF(OR(SwitchUniverse&lt;&gt;"ON",$B544=""),"",BDP($B544,"GICS_SECTOR_NAME"))</f>
        <v/>
      </c>
    </row>
    <row r="545" spans="2:4">
      <c r="B545">
        <f>IF(TRIM(A545&amp;"")="","",IF(RIGHT(TRIM(A545),7)=" Equity",TRIM(A545),TRIM(A545)&amp;" Equity"))</f>
        <v/>
      </c>
      <c r="C545">
        <f>IF(OR(SwitchUniverse&lt;&gt;"ON",$B545=""),"",BDP($B545,"NAME"))</f>
        <v/>
      </c>
      <c r="D545">
        <f>IF(OR(SwitchUniverse&lt;&gt;"ON",$B545=""),"",BDP($B545,"GICS_SECTOR_NAME"))</f>
        <v/>
      </c>
    </row>
    <row r="546" spans="2:4">
      <c r="B546">
        <f>IF(TRIM(A546&amp;"")="","",IF(RIGHT(TRIM(A546),7)=" Equity",TRIM(A546),TRIM(A546)&amp;" Equity"))</f>
        <v/>
      </c>
      <c r="C546">
        <f>IF(OR(SwitchUniverse&lt;&gt;"ON",$B546=""),"",BDP($B546,"NAME"))</f>
        <v/>
      </c>
      <c r="D546">
        <f>IF(OR(SwitchUniverse&lt;&gt;"ON",$B546=""),"",BDP($B546,"GICS_SECTOR_NAME"))</f>
        <v/>
      </c>
    </row>
    <row r="547" spans="2:4">
      <c r="B547">
        <f>IF(TRIM(A547&amp;"")="","",IF(RIGHT(TRIM(A547),7)=" Equity",TRIM(A547),TRIM(A547)&amp;" Equity"))</f>
        <v/>
      </c>
      <c r="C547">
        <f>IF(OR(SwitchUniverse&lt;&gt;"ON",$B547=""),"",BDP($B547,"NAME"))</f>
        <v/>
      </c>
      <c r="D547">
        <f>IF(OR(SwitchUniverse&lt;&gt;"ON",$B547=""),"",BDP($B547,"GICS_SECTOR_NAME"))</f>
        <v/>
      </c>
    </row>
    <row r="548" spans="2:4">
      <c r="B548">
        <f>IF(TRIM(A548&amp;"")="","",IF(RIGHT(TRIM(A548),7)=" Equity",TRIM(A548),TRIM(A548)&amp;" Equity"))</f>
        <v/>
      </c>
      <c r="C548">
        <f>IF(OR(SwitchUniverse&lt;&gt;"ON",$B548=""),"",BDP($B548,"NAME"))</f>
        <v/>
      </c>
      <c r="D548">
        <f>IF(OR(SwitchUniverse&lt;&gt;"ON",$B548=""),"",BDP($B548,"GICS_SECTOR_NAME"))</f>
        <v/>
      </c>
    </row>
    <row r="549" spans="2:4">
      <c r="B549">
        <f>IF(TRIM(A549&amp;"")="","",IF(RIGHT(TRIM(A549),7)=" Equity",TRIM(A549),TRIM(A549)&amp;" Equity"))</f>
        <v/>
      </c>
      <c r="C549">
        <f>IF(OR(SwitchUniverse&lt;&gt;"ON",$B549=""),"",BDP($B549,"NAME"))</f>
        <v/>
      </c>
      <c r="D549">
        <f>IF(OR(SwitchUniverse&lt;&gt;"ON",$B549=""),"",BDP($B549,"GICS_SECTOR_NAME"))</f>
        <v/>
      </c>
    </row>
    <row r="550" spans="2:4">
      <c r="B550">
        <f>IF(TRIM(A550&amp;"")="","",IF(RIGHT(TRIM(A550),7)=" Equity",TRIM(A550),TRIM(A550)&amp;" Equity"))</f>
        <v/>
      </c>
      <c r="C550">
        <f>IF(OR(SwitchUniverse&lt;&gt;"ON",$B550=""),"",BDP($B550,"NAME"))</f>
        <v/>
      </c>
      <c r="D550">
        <f>IF(OR(SwitchUniverse&lt;&gt;"ON",$B550=""),"",BDP($B550,"GICS_SECTOR_NAME"))</f>
        <v/>
      </c>
    </row>
    <row r="551" spans="2:4">
      <c r="B551">
        <f>IF(TRIM(A551&amp;"")="","",IF(RIGHT(TRIM(A551),7)=" Equity",TRIM(A551),TRIM(A551)&amp;" Equity"))</f>
        <v/>
      </c>
      <c r="C551">
        <f>IF(OR(SwitchUniverse&lt;&gt;"ON",$B551=""),"",BDP($B551,"NAME"))</f>
        <v/>
      </c>
      <c r="D551">
        <f>IF(OR(SwitchUniverse&lt;&gt;"ON",$B551=""),"",BDP($B551,"GICS_SECTOR_NAME"))</f>
        <v/>
      </c>
    </row>
    <row r="552" spans="2:4">
      <c r="B552">
        <f>IF(TRIM(A552&amp;"")="","",IF(RIGHT(TRIM(A552),7)=" Equity",TRIM(A552),TRIM(A552)&amp;" Equity"))</f>
        <v/>
      </c>
      <c r="C552">
        <f>IF(OR(SwitchUniverse&lt;&gt;"ON",$B552=""),"",BDP($B552,"NAME"))</f>
        <v/>
      </c>
      <c r="D552">
        <f>IF(OR(SwitchUniverse&lt;&gt;"ON",$B552=""),"",BDP($B552,"GICS_SECTOR_NAME"))</f>
        <v/>
      </c>
    </row>
    <row r="553" spans="2:4">
      <c r="B553">
        <f>IF(TRIM(A553&amp;"")="","",IF(RIGHT(TRIM(A553),7)=" Equity",TRIM(A553),TRIM(A553)&amp;" Equity"))</f>
        <v/>
      </c>
      <c r="C553">
        <f>IF(OR(SwitchUniverse&lt;&gt;"ON",$B553=""),"",BDP($B553,"NAME"))</f>
        <v/>
      </c>
      <c r="D553">
        <f>IF(OR(SwitchUniverse&lt;&gt;"ON",$B553=""),"",BDP($B553,"GICS_SECTOR_NAME"))</f>
        <v/>
      </c>
    </row>
    <row r="554" spans="2:4">
      <c r="B554">
        <f>IF(TRIM(A554&amp;"")="","",IF(RIGHT(TRIM(A554),7)=" Equity",TRIM(A554),TRIM(A554)&amp;" Equity"))</f>
        <v/>
      </c>
      <c r="C554">
        <f>IF(OR(SwitchUniverse&lt;&gt;"ON",$B554=""),"",BDP($B554,"NAME"))</f>
        <v/>
      </c>
      <c r="D554">
        <f>IF(OR(SwitchUniverse&lt;&gt;"ON",$B554=""),"",BDP($B554,"GICS_SECTOR_NAME"))</f>
        <v/>
      </c>
    </row>
    <row r="555" spans="2:4">
      <c r="B555">
        <f>IF(TRIM(A555&amp;"")="","",IF(RIGHT(TRIM(A555),7)=" Equity",TRIM(A555),TRIM(A555)&amp;" Equity"))</f>
        <v/>
      </c>
      <c r="C555">
        <f>IF(OR(SwitchUniverse&lt;&gt;"ON",$B555=""),"",BDP($B555,"NAME"))</f>
        <v/>
      </c>
      <c r="D555">
        <f>IF(OR(SwitchUniverse&lt;&gt;"ON",$B555=""),"",BDP($B555,"GICS_SECTOR_NAME"))</f>
        <v/>
      </c>
    </row>
    <row r="556" spans="2:4">
      <c r="B556">
        <f>IF(TRIM(A556&amp;"")="","",IF(RIGHT(TRIM(A556),7)=" Equity",TRIM(A556),TRIM(A556)&amp;" Equity"))</f>
        <v/>
      </c>
      <c r="C556">
        <f>IF(OR(SwitchUniverse&lt;&gt;"ON",$B556=""),"",BDP($B556,"NAME"))</f>
        <v/>
      </c>
      <c r="D556">
        <f>IF(OR(SwitchUniverse&lt;&gt;"ON",$B556=""),"",BDP($B556,"GICS_SECTOR_NAME"))</f>
        <v/>
      </c>
    </row>
    <row r="557" spans="2:4">
      <c r="B557">
        <f>IF(TRIM(A557&amp;"")="","",IF(RIGHT(TRIM(A557),7)=" Equity",TRIM(A557),TRIM(A557)&amp;" Equity"))</f>
        <v/>
      </c>
      <c r="C557">
        <f>IF(OR(SwitchUniverse&lt;&gt;"ON",$B557=""),"",BDP($B557,"NAME"))</f>
        <v/>
      </c>
      <c r="D557">
        <f>IF(OR(SwitchUniverse&lt;&gt;"ON",$B557=""),"",BDP($B557,"GICS_SECTOR_NAME"))</f>
        <v/>
      </c>
    </row>
    <row r="558" spans="2:4">
      <c r="B558">
        <f>IF(TRIM(A558&amp;"")="","",IF(RIGHT(TRIM(A558),7)=" Equity",TRIM(A558),TRIM(A558)&amp;" Equity"))</f>
        <v/>
      </c>
      <c r="C558">
        <f>IF(OR(SwitchUniverse&lt;&gt;"ON",$B558=""),"",BDP($B558,"NAME"))</f>
        <v/>
      </c>
      <c r="D558">
        <f>IF(OR(SwitchUniverse&lt;&gt;"ON",$B558=""),"",BDP($B558,"GICS_SECTOR_NAME"))</f>
        <v/>
      </c>
    </row>
    <row r="559" spans="2:4">
      <c r="B559">
        <f>IF(TRIM(A559&amp;"")="","",IF(RIGHT(TRIM(A559),7)=" Equity",TRIM(A559),TRIM(A559)&amp;" Equity"))</f>
        <v/>
      </c>
      <c r="C559">
        <f>IF(OR(SwitchUniverse&lt;&gt;"ON",$B559=""),"",BDP($B559,"NAME"))</f>
        <v/>
      </c>
      <c r="D559">
        <f>IF(OR(SwitchUniverse&lt;&gt;"ON",$B559=""),"",BDP($B559,"GICS_SECTOR_NAME"))</f>
        <v/>
      </c>
    </row>
    <row r="560" spans="2:4">
      <c r="B560">
        <f>IF(TRIM(A560&amp;"")="","",IF(RIGHT(TRIM(A560),7)=" Equity",TRIM(A560),TRIM(A560)&amp;" Equity"))</f>
        <v/>
      </c>
      <c r="C560">
        <f>IF(OR(SwitchUniverse&lt;&gt;"ON",$B560=""),"",BDP($B560,"NAME"))</f>
        <v/>
      </c>
      <c r="D560">
        <f>IF(OR(SwitchUniverse&lt;&gt;"ON",$B560=""),"",BDP($B560,"GICS_SECTOR_NAME"))</f>
        <v/>
      </c>
    </row>
    <row r="561" spans="2:4">
      <c r="B561">
        <f>IF(TRIM(A561&amp;"")="","",IF(RIGHT(TRIM(A561),7)=" Equity",TRIM(A561),TRIM(A561)&amp;" Equity"))</f>
        <v/>
      </c>
      <c r="C561">
        <f>IF(OR(SwitchUniverse&lt;&gt;"ON",$B561=""),"",BDP($B561,"NAME"))</f>
        <v/>
      </c>
      <c r="D561">
        <f>IF(OR(SwitchUniverse&lt;&gt;"ON",$B561=""),"",BDP($B561,"GICS_SECTOR_NAME"))</f>
        <v/>
      </c>
    </row>
    <row r="562" spans="2:4">
      <c r="B562">
        <f>IF(TRIM(A562&amp;"")="","",IF(RIGHT(TRIM(A562),7)=" Equity",TRIM(A562),TRIM(A562)&amp;" Equity"))</f>
        <v/>
      </c>
      <c r="C562">
        <f>IF(OR(SwitchUniverse&lt;&gt;"ON",$B562=""),"",BDP($B562,"NAME"))</f>
        <v/>
      </c>
      <c r="D562">
        <f>IF(OR(SwitchUniverse&lt;&gt;"ON",$B562=""),"",BDP($B562,"GICS_SECTOR_NAME"))</f>
        <v/>
      </c>
    </row>
    <row r="563" spans="2:4">
      <c r="B563">
        <f>IF(TRIM(A563&amp;"")="","",IF(RIGHT(TRIM(A563),7)=" Equity",TRIM(A563),TRIM(A563)&amp;" Equity"))</f>
        <v/>
      </c>
      <c r="C563">
        <f>IF(OR(SwitchUniverse&lt;&gt;"ON",$B563=""),"",BDP($B563,"NAME"))</f>
        <v/>
      </c>
      <c r="D563">
        <f>IF(OR(SwitchUniverse&lt;&gt;"ON",$B563=""),"",BDP($B563,"GICS_SECTOR_NAME"))</f>
        <v/>
      </c>
    </row>
    <row r="564" spans="2:4">
      <c r="B564">
        <f>IF(TRIM(A564&amp;"")="","",IF(RIGHT(TRIM(A564),7)=" Equity",TRIM(A564),TRIM(A564)&amp;" Equity"))</f>
        <v/>
      </c>
      <c r="C564">
        <f>IF(OR(SwitchUniverse&lt;&gt;"ON",$B564=""),"",BDP($B564,"NAME"))</f>
        <v/>
      </c>
      <c r="D564">
        <f>IF(OR(SwitchUniverse&lt;&gt;"ON",$B564=""),"",BDP($B564,"GICS_SECTOR_NAME"))</f>
        <v/>
      </c>
    </row>
    <row r="565" spans="2:4">
      <c r="B565">
        <f>IF(TRIM(A565&amp;"")="","",IF(RIGHT(TRIM(A565),7)=" Equity",TRIM(A565),TRIM(A565)&amp;" Equity"))</f>
        <v/>
      </c>
      <c r="C565">
        <f>IF(OR(SwitchUniverse&lt;&gt;"ON",$B565=""),"",BDP($B565,"NAME"))</f>
        <v/>
      </c>
      <c r="D565">
        <f>IF(OR(SwitchUniverse&lt;&gt;"ON",$B565=""),"",BDP($B565,"GICS_SECTOR_NAME"))</f>
        <v/>
      </c>
    </row>
    <row r="566" spans="2:4">
      <c r="B566">
        <f>IF(TRIM(A566&amp;"")="","",IF(RIGHT(TRIM(A566),7)=" Equity",TRIM(A566),TRIM(A566)&amp;" Equity"))</f>
        <v/>
      </c>
      <c r="C566">
        <f>IF(OR(SwitchUniverse&lt;&gt;"ON",$B566=""),"",BDP($B566,"NAME"))</f>
        <v/>
      </c>
      <c r="D566">
        <f>IF(OR(SwitchUniverse&lt;&gt;"ON",$B566=""),"",BDP($B566,"GICS_SECTOR_NAME"))</f>
        <v/>
      </c>
    </row>
    <row r="567" spans="2:4">
      <c r="B567">
        <f>IF(TRIM(A567&amp;"")="","",IF(RIGHT(TRIM(A567),7)=" Equity",TRIM(A567),TRIM(A567)&amp;" Equity"))</f>
        <v/>
      </c>
      <c r="C567">
        <f>IF(OR(SwitchUniverse&lt;&gt;"ON",$B567=""),"",BDP($B567,"NAME"))</f>
        <v/>
      </c>
      <c r="D567">
        <f>IF(OR(SwitchUniverse&lt;&gt;"ON",$B567=""),"",BDP($B567,"GICS_SECTOR_NAME"))</f>
        <v/>
      </c>
    </row>
    <row r="568" spans="2:4">
      <c r="B568">
        <f>IF(TRIM(A568&amp;"")="","",IF(RIGHT(TRIM(A568),7)=" Equity",TRIM(A568),TRIM(A568)&amp;" Equity"))</f>
        <v/>
      </c>
      <c r="C568">
        <f>IF(OR(SwitchUniverse&lt;&gt;"ON",$B568=""),"",BDP($B568,"NAME"))</f>
        <v/>
      </c>
      <c r="D568">
        <f>IF(OR(SwitchUniverse&lt;&gt;"ON",$B568=""),"",BDP($B568,"GICS_SECTOR_NAME"))</f>
        <v/>
      </c>
    </row>
    <row r="569" spans="2:4">
      <c r="B569">
        <f>IF(TRIM(A569&amp;"")="","",IF(RIGHT(TRIM(A569),7)=" Equity",TRIM(A569),TRIM(A569)&amp;" Equity"))</f>
        <v/>
      </c>
      <c r="C569">
        <f>IF(OR(SwitchUniverse&lt;&gt;"ON",$B569=""),"",BDP($B569,"NAME"))</f>
        <v/>
      </c>
      <c r="D569">
        <f>IF(OR(SwitchUniverse&lt;&gt;"ON",$B569=""),"",BDP($B569,"GICS_SECTOR_NAME"))</f>
        <v/>
      </c>
    </row>
    <row r="570" spans="2:4">
      <c r="B570">
        <f>IF(TRIM(A570&amp;"")="","",IF(RIGHT(TRIM(A570),7)=" Equity",TRIM(A570),TRIM(A570)&amp;" Equity"))</f>
        <v/>
      </c>
      <c r="C570">
        <f>IF(OR(SwitchUniverse&lt;&gt;"ON",$B570=""),"",BDP($B570,"NAME"))</f>
        <v/>
      </c>
      <c r="D570">
        <f>IF(OR(SwitchUniverse&lt;&gt;"ON",$B570=""),"",BDP($B570,"GICS_SECTOR_NAME"))</f>
        <v/>
      </c>
    </row>
    <row r="571" spans="2:4">
      <c r="B571">
        <f>IF(TRIM(A571&amp;"")="","",IF(RIGHT(TRIM(A571),7)=" Equity",TRIM(A571),TRIM(A571)&amp;" Equity"))</f>
        <v/>
      </c>
      <c r="C571">
        <f>IF(OR(SwitchUniverse&lt;&gt;"ON",$B571=""),"",BDP($B571,"NAME"))</f>
        <v/>
      </c>
      <c r="D571">
        <f>IF(OR(SwitchUniverse&lt;&gt;"ON",$B571=""),"",BDP($B571,"GICS_SECTOR_NAME"))</f>
        <v/>
      </c>
    </row>
    <row r="572" spans="2:4">
      <c r="B572">
        <f>IF(TRIM(A572&amp;"")="","",IF(RIGHT(TRIM(A572),7)=" Equity",TRIM(A572),TRIM(A572)&amp;" Equity"))</f>
        <v/>
      </c>
      <c r="C572">
        <f>IF(OR(SwitchUniverse&lt;&gt;"ON",$B572=""),"",BDP($B572,"NAME"))</f>
        <v/>
      </c>
      <c r="D572">
        <f>IF(OR(SwitchUniverse&lt;&gt;"ON",$B572=""),"",BDP($B572,"GICS_SECTOR_NAME"))</f>
        <v/>
      </c>
    </row>
    <row r="573" spans="2:4">
      <c r="B573">
        <f>IF(TRIM(A573&amp;"")="","",IF(RIGHT(TRIM(A573),7)=" Equity",TRIM(A573),TRIM(A573)&amp;" Equity"))</f>
        <v/>
      </c>
      <c r="C573">
        <f>IF(OR(SwitchUniverse&lt;&gt;"ON",$B573=""),"",BDP($B573,"NAME"))</f>
        <v/>
      </c>
      <c r="D573">
        <f>IF(OR(SwitchUniverse&lt;&gt;"ON",$B573=""),"",BDP($B573,"GICS_SECTOR_NAME"))</f>
        <v/>
      </c>
    </row>
    <row r="574" spans="2:4">
      <c r="B574">
        <f>IF(TRIM(A574&amp;"")="","",IF(RIGHT(TRIM(A574),7)=" Equity",TRIM(A574),TRIM(A574)&amp;" Equity"))</f>
        <v/>
      </c>
      <c r="C574">
        <f>IF(OR(SwitchUniverse&lt;&gt;"ON",$B574=""),"",BDP($B574,"NAME"))</f>
        <v/>
      </c>
      <c r="D574">
        <f>IF(OR(SwitchUniverse&lt;&gt;"ON",$B574=""),"",BDP($B574,"GICS_SECTOR_NAME"))</f>
        <v/>
      </c>
    </row>
    <row r="575" spans="2:4">
      <c r="B575">
        <f>IF(TRIM(A575&amp;"")="","",IF(RIGHT(TRIM(A575),7)=" Equity",TRIM(A575),TRIM(A575)&amp;" Equity"))</f>
        <v/>
      </c>
      <c r="C575">
        <f>IF(OR(SwitchUniverse&lt;&gt;"ON",$B575=""),"",BDP($B575,"NAME"))</f>
        <v/>
      </c>
      <c r="D575">
        <f>IF(OR(SwitchUniverse&lt;&gt;"ON",$B575=""),"",BDP($B575,"GICS_SECTOR_NAME"))</f>
        <v/>
      </c>
    </row>
    <row r="576" spans="2:4">
      <c r="B576">
        <f>IF(TRIM(A576&amp;"")="","",IF(RIGHT(TRIM(A576),7)=" Equity",TRIM(A576),TRIM(A576)&amp;" Equity"))</f>
        <v/>
      </c>
      <c r="C576">
        <f>IF(OR(SwitchUniverse&lt;&gt;"ON",$B576=""),"",BDP($B576,"NAME"))</f>
        <v/>
      </c>
      <c r="D576">
        <f>IF(OR(SwitchUniverse&lt;&gt;"ON",$B576=""),"",BDP($B576,"GICS_SECTOR_NAME"))</f>
        <v/>
      </c>
    </row>
    <row r="577" spans="2:4">
      <c r="B577">
        <f>IF(TRIM(A577&amp;"")="","",IF(RIGHT(TRIM(A577),7)=" Equity",TRIM(A577),TRIM(A577)&amp;" Equity"))</f>
        <v/>
      </c>
      <c r="C577">
        <f>IF(OR(SwitchUniverse&lt;&gt;"ON",$B577=""),"",BDP($B577,"NAME"))</f>
        <v/>
      </c>
      <c r="D577">
        <f>IF(OR(SwitchUniverse&lt;&gt;"ON",$B577=""),"",BDP($B577,"GICS_SECTOR_NAME"))</f>
        <v/>
      </c>
    </row>
    <row r="578" spans="2:4">
      <c r="B578">
        <f>IF(TRIM(A578&amp;"")="","",IF(RIGHT(TRIM(A578),7)=" Equity",TRIM(A578),TRIM(A578)&amp;" Equity"))</f>
        <v/>
      </c>
      <c r="C578">
        <f>IF(OR(SwitchUniverse&lt;&gt;"ON",$B578=""),"",BDP($B578,"NAME"))</f>
        <v/>
      </c>
      <c r="D578">
        <f>IF(OR(SwitchUniverse&lt;&gt;"ON",$B578=""),"",BDP($B578,"GICS_SECTOR_NAME"))</f>
        <v/>
      </c>
    </row>
    <row r="579" spans="2:4">
      <c r="B579">
        <f>IF(TRIM(A579&amp;"")="","",IF(RIGHT(TRIM(A579),7)=" Equity",TRIM(A579),TRIM(A579)&amp;" Equity"))</f>
        <v/>
      </c>
      <c r="C579">
        <f>IF(OR(SwitchUniverse&lt;&gt;"ON",$B579=""),"",BDP($B579,"NAME"))</f>
        <v/>
      </c>
      <c r="D579">
        <f>IF(OR(SwitchUniverse&lt;&gt;"ON",$B579=""),"",BDP($B579,"GICS_SECTOR_NAME"))</f>
        <v/>
      </c>
    </row>
    <row r="580" spans="2:4">
      <c r="B580">
        <f>IF(TRIM(A580&amp;"")="","",IF(RIGHT(TRIM(A580),7)=" Equity",TRIM(A580),TRIM(A580)&amp;" Equity"))</f>
        <v/>
      </c>
      <c r="C580">
        <f>IF(OR(SwitchUniverse&lt;&gt;"ON",$B580=""),"",BDP($B580,"NAME"))</f>
        <v/>
      </c>
      <c r="D580">
        <f>IF(OR(SwitchUniverse&lt;&gt;"ON",$B580=""),"",BDP($B580,"GICS_SECTOR_NAME"))</f>
        <v/>
      </c>
    </row>
    <row r="581" spans="2:4">
      <c r="B581">
        <f>IF(TRIM(A581&amp;"")="","",IF(RIGHT(TRIM(A581),7)=" Equity",TRIM(A581),TRIM(A581)&amp;" Equity"))</f>
        <v/>
      </c>
      <c r="C581">
        <f>IF(OR(SwitchUniverse&lt;&gt;"ON",$B581=""),"",BDP($B581,"NAME"))</f>
        <v/>
      </c>
      <c r="D581">
        <f>IF(OR(SwitchUniverse&lt;&gt;"ON",$B581=""),"",BDP($B581,"GICS_SECTOR_NAME"))</f>
        <v/>
      </c>
    </row>
    <row r="582" spans="2:4">
      <c r="B582">
        <f>IF(TRIM(A582&amp;"")="","",IF(RIGHT(TRIM(A582),7)=" Equity",TRIM(A582),TRIM(A582)&amp;" Equity"))</f>
        <v/>
      </c>
      <c r="C582">
        <f>IF(OR(SwitchUniverse&lt;&gt;"ON",$B582=""),"",BDP($B582,"NAME"))</f>
        <v/>
      </c>
      <c r="D582">
        <f>IF(OR(SwitchUniverse&lt;&gt;"ON",$B582=""),"",BDP($B582,"GICS_SECTOR_NAME"))</f>
        <v/>
      </c>
    </row>
    <row r="583" spans="2:4">
      <c r="B583">
        <f>IF(TRIM(A583&amp;"")="","",IF(RIGHT(TRIM(A583),7)=" Equity",TRIM(A583),TRIM(A583)&amp;" Equity"))</f>
        <v/>
      </c>
      <c r="C583">
        <f>IF(OR(SwitchUniverse&lt;&gt;"ON",$B583=""),"",BDP($B583,"NAME"))</f>
        <v/>
      </c>
      <c r="D583">
        <f>IF(OR(SwitchUniverse&lt;&gt;"ON",$B583=""),"",BDP($B583,"GICS_SECTOR_NAME"))</f>
        <v/>
      </c>
    </row>
    <row r="584" spans="2:4">
      <c r="B584">
        <f>IF(TRIM(A584&amp;"")="","",IF(RIGHT(TRIM(A584),7)=" Equity",TRIM(A584),TRIM(A584)&amp;" Equity"))</f>
        <v/>
      </c>
      <c r="C584">
        <f>IF(OR(SwitchUniverse&lt;&gt;"ON",$B584=""),"",BDP($B584,"NAME"))</f>
        <v/>
      </c>
      <c r="D584">
        <f>IF(OR(SwitchUniverse&lt;&gt;"ON",$B584=""),"",BDP($B584,"GICS_SECTOR_NAME"))</f>
        <v/>
      </c>
    </row>
    <row r="585" spans="2:4">
      <c r="B585">
        <f>IF(TRIM(A585&amp;"")="","",IF(RIGHT(TRIM(A585),7)=" Equity",TRIM(A585),TRIM(A585)&amp;" Equity"))</f>
        <v/>
      </c>
      <c r="C585">
        <f>IF(OR(SwitchUniverse&lt;&gt;"ON",$B585=""),"",BDP($B585,"NAME"))</f>
        <v/>
      </c>
      <c r="D585">
        <f>IF(OR(SwitchUniverse&lt;&gt;"ON",$B585=""),"",BDP($B585,"GICS_SECTOR_NAME"))</f>
        <v/>
      </c>
    </row>
    <row r="586" spans="2:4">
      <c r="B586">
        <f>IF(TRIM(A586&amp;"")="","",IF(RIGHT(TRIM(A586),7)=" Equity",TRIM(A586),TRIM(A586)&amp;" Equity"))</f>
        <v/>
      </c>
      <c r="C586">
        <f>IF(OR(SwitchUniverse&lt;&gt;"ON",$B586=""),"",BDP($B586,"NAME"))</f>
        <v/>
      </c>
      <c r="D586">
        <f>IF(OR(SwitchUniverse&lt;&gt;"ON",$B586=""),"",BDP($B586,"GICS_SECTOR_NAME"))</f>
        <v/>
      </c>
    </row>
    <row r="587" spans="2:4">
      <c r="B587">
        <f>IF(TRIM(A587&amp;"")="","",IF(RIGHT(TRIM(A587),7)=" Equity",TRIM(A587),TRIM(A587)&amp;" Equity"))</f>
        <v/>
      </c>
      <c r="C587">
        <f>IF(OR(SwitchUniverse&lt;&gt;"ON",$B587=""),"",BDP($B587,"NAME"))</f>
        <v/>
      </c>
      <c r="D587">
        <f>IF(OR(SwitchUniverse&lt;&gt;"ON",$B587=""),"",BDP($B587,"GICS_SECTOR_NAME"))</f>
        <v/>
      </c>
    </row>
    <row r="588" spans="2:4">
      <c r="B588">
        <f>IF(TRIM(A588&amp;"")="","",IF(RIGHT(TRIM(A588),7)=" Equity",TRIM(A588),TRIM(A588)&amp;" Equity"))</f>
        <v/>
      </c>
      <c r="C588">
        <f>IF(OR(SwitchUniverse&lt;&gt;"ON",$B588=""),"",BDP($B588,"NAME"))</f>
        <v/>
      </c>
      <c r="D588">
        <f>IF(OR(SwitchUniverse&lt;&gt;"ON",$B588=""),"",BDP($B588,"GICS_SECTOR_NAME"))</f>
        <v/>
      </c>
    </row>
    <row r="589" spans="2:4">
      <c r="B589">
        <f>IF(TRIM(A589&amp;"")="","",IF(RIGHT(TRIM(A589),7)=" Equity",TRIM(A589),TRIM(A589)&amp;" Equity"))</f>
        <v/>
      </c>
      <c r="C589">
        <f>IF(OR(SwitchUniverse&lt;&gt;"ON",$B589=""),"",BDP($B589,"NAME"))</f>
        <v/>
      </c>
      <c r="D589">
        <f>IF(OR(SwitchUniverse&lt;&gt;"ON",$B589=""),"",BDP($B589,"GICS_SECTOR_NAME"))</f>
        <v/>
      </c>
    </row>
    <row r="590" spans="2:4">
      <c r="B590">
        <f>IF(TRIM(A590&amp;"")="","",IF(RIGHT(TRIM(A590),7)=" Equity",TRIM(A590),TRIM(A590)&amp;" Equity"))</f>
        <v/>
      </c>
      <c r="C590">
        <f>IF(OR(SwitchUniverse&lt;&gt;"ON",$B590=""),"",BDP($B590,"NAME"))</f>
        <v/>
      </c>
      <c r="D590">
        <f>IF(OR(SwitchUniverse&lt;&gt;"ON",$B590=""),"",BDP($B590,"GICS_SECTOR_NAME"))</f>
        <v/>
      </c>
    </row>
    <row r="591" spans="2:4">
      <c r="B591">
        <f>IF(TRIM(A591&amp;"")="","",IF(RIGHT(TRIM(A591),7)=" Equity",TRIM(A591),TRIM(A591)&amp;" Equity"))</f>
        <v/>
      </c>
      <c r="C591">
        <f>IF(OR(SwitchUniverse&lt;&gt;"ON",$B591=""),"",BDP($B591,"NAME"))</f>
        <v/>
      </c>
      <c r="D591">
        <f>IF(OR(SwitchUniverse&lt;&gt;"ON",$B591=""),"",BDP($B591,"GICS_SECTOR_NAME"))</f>
        <v/>
      </c>
    </row>
    <row r="592" spans="2:4">
      <c r="B592">
        <f>IF(TRIM(A592&amp;"")="","",IF(RIGHT(TRIM(A592),7)=" Equity",TRIM(A592),TRIM(A592)&amp;" Equity"))</f>
        <v/>
      </c>
      <c r="C592">
        <f>IF(OR(SwitchUniverse&lt;&gt;"ON",$B592=""),"",BDP($B592,"NAME"))</f>
        <v/>
      </c>
      <c r="D592">
        <f>IF(OR(SwitchUniverse&lt;&gt;"ON",$B592=""),"",BDP($B592,"GICS_SECTOR_NAME"))</f>
        <v/>
      </c>
    </row>
    <row r="593" spans="2:4">
      <c r="B593">
        <f>IF(TRIM(A593&amp;"")="","",IF(RIGHT(TRIM(A593),7)=" Equity",TRIM(A593),TRIM(A593)&amp;" Equity"))</f>
        <v/>
      </c>
      <c r="C593">
        <f>IF(OR(SwitchUniverse&lt;&gt;"ON",$B593=""),"",BDP($B593,"NAME"))</f>
        <v/>
      </c>
      <c r="D593">
        <f>IF(OR(SwitchUniverse&lt;&gt;"ON",$B593=""),"",BDP($B593,"GICS_SECTOR_NAME"))</f>
        <v/>
      </c>
    </row>
    <row r="594" spans="2:4">
      <c r="B594">
        <f>IF(TRIM(A594&amp;"")="","",IF(RIGHT(TRIM(A594),7)=" Equity",TRIM(A594),TRIM(A594)&amp;" Equity"))</f>
        <v/>
      </c>
      <c r="C594">
        <f>IF(OR(SwitchUniverse&lt;&gt;"ON",$B594=""),"",BDP($B594,"NAME"))</f>
        <v/>
      </c>
      <c r="D594">
        <f>IF(OR(SwitchUniverse&lt;&gt;"ON",$B594=""),"",BDP($B594,"GICS_SECTOR_NAME"))</f>
        <v/>
      </c>
    </row>
    <row r="595" spans="2:4">
      <c r="B595">
        <f>IF(TRIM(A595&amp;"")="","",IF(RIGHT(TRIM(A595),7)=" Equity",TRIM(A595),TRIM(A595)&amp;" Equity"))</f>
        <v/>
      </c>
      <c r="C595">
        <f>IF(OR(SwitchUniverse&lt;&gt;"ON",$B595=""),"",BDP($B595,"NAME"))</f>
        <v/>
      </c>
      <c r="D595">
        <f>IF(OR(SwitchUniverse&lt;&gt;"ON",$B595=""),"",BDP($B595,"GICS_SECTOR_NAME"))</f>
        <v/>
      </c>
    </row>
    <row r="596" spans="2:4">
      <c r="B596">
        <f>IF(TRIM(A596&amp;"")="","",IF(RIGHT(TRIM(A596),7)=" Equity",TRIM(A596),TRIM(A596)&amp;" Equity"))</f>
        <v/>
      </c>
      <c r="C596">
        <f>IF(OR(SwitchUniverse&lt;&gt;"ON",$B596=""),"",BDP($B596,"NAME"))</f>
        <v/>
      </c>
      <c r="D596">
        <f>IF(OR(SwitchUniverse&lt;&gt;"ON",$B596=""),"",BDP($B596,"GICS_SECTOR_NAME"))</f>
        <v/>
      </c>
    </row>
    <row r="597" spans="2:4">
      <c r="B597">
        <f>IF(TRIM(A597&amp;"")="","",IF(RIGHT(TRIM(A597),7)=" Equity",TRIM(A597),TRIM(A597)&amp;" Equity"))</f>
        <v/>
      </c>
      <c r="C597">
        <f>IF(OR(SwitchUniverse&lt;&gt;"ON",$B597=""),"",BDP($B597,"NAME"))</f>
        <v/>
      </c>
      <c r="D597">
        <f>IF(OR(SwitchUniverse&lt;&gt;"ON",$B597=""),"",BDP($B597,"GICS_SECTOR_NAME"))</f>
        <v/>
      </c>
    </row>
    <row r="598" spans="2:4">
      <c r="B598">
        <f>IF(TRIM(A598&amp;"")="","",IF(RIGHT(TRIM(A598),7)=" Equity",TRIM(A598),TRIM(A598)&amp;" Equity"))</f>
        <v/>
      </c>
      <c r="C598">
        <f>IF(OR(SwitchUniverse&lt;&gt;"ON",$B598=""),"",BDP($B598,"NAME"))</f>
        <v/>
      </c>
      <c r="D598">
        <f>IF(OR(SwitchUniverse&lt;&gt;"ON",$B598=""),"",BDP($B598,"GICS_SECTOR_NAME"))</f>
        <v/>
      </c>
    </row>
    <row r="599" spans="2:4">
      <c r="B599">
        <f>IF(TRIM(A599&amp;"")="","",IF(RIGHT(TRIM(A599),7)=" Equity",TRIM(A599),TRIM(A599)&amp;" Equity"))</f>
        <v/>
      </c>
      <c r="C599">
        <f>IF(OR(SwitchUniverse&lt;&gt;"ON",$B599=""),"",BDP($B599,"NAME"))</f>
        <v/>
      </c>
      <c r="D599">
        <f>IF(OR(SwitchUniverse&lt;&gt;"ON",$B599=""),"",BDP($B599,"GICS_SECTOR_NAME"))</f>
        <v/>
      </c>
    </row>
    <row r="600" spans="2:4">
      <c r="B600">
        <f>IF(TRIM(A600&amp;"")="","",IF(RIGHT(TRIM(A600),7)=" Equity",TRIM(A600),TRIM(A600)&amp;" Equity"))</f>
        <v/>
      </c>
      <c r="C600">
        <f>IF(OR(SwitchUniverse&lt;&gt;"ON",$B600=""),"",BDP($B600,"NAME"))</f>
        <v/>
      </c>
      <c r="D600">
        <f>IF(OR(SwitchUniverse&lt;&gt;"ON",$B600=""),"",BDP($B600,"GICS_SECTOR_NAME"))</f>
        <v/>
      </c>
    </row>
    <row r="601" spans="2:4">
      <c r="B601">
        <f>IF(TRIM(A601&amp;"")="","",IF(RIGHT(TRIM(A601),7)=" Equity",TRIM(A601),TRIM(A601)&amp;" Equity"))</f>
        <v/>
      </c>
      <c r="C601">
        <f>IF(OR(SwitchUniverse&lt;&gt;"ON",$B601=""),"",BDP($B601,"NAME"))</f>
        <v/>
      </c>
      <c r="D601">
        <f>IF(OR(SwitchUniverse&lt;&gt;"ON",$B601=""),"",BDP($B601,"GICS_SECTOR_NAME"))</f>
        <v/>
      </c>
    </row>
    <row r="602" spans="2:4">
      <c r="B602">
        <f>IF(TRIM(A602&amp;"")="","",IF(RIGHT(TRIM(A602),7)=" Equity",TRIM(A602),TRIM(A602)&amp;" Equity"))</f>
        <v/>
      </c>
      <c r="C602">
        <f>IF(OR(SwitchUniverse&lt;&gt;"ON",$B602=""),"",BDP($B602,"NAME"))</f>
        <v/>
      </c>
      <c r="D602">
        <f>IF(OR(SwitchUniverse&lt;&gt;"ON",$B602=""),"",BDP($B602,"GICS_SECTOR_NAME"))</f>
        <v/>
      </c>
    </row>
    <row r="603" spans="2:4">
      <c r="B603">
        <f>IF(TRIM(A603&amp;"")="","",IF(RIGHT(TRIM(A603),7)=" Equity",TRIM(A603),TRIM(A603)&amp;" Equity"))</f>
        <v/>
      </c>
      <c r="C603">
        <f>IF(OR(SwitchUniverse&lt;&gt;"ON",$B603=""),"",BDP($B603,"NAME"))</f>
        <v/>
      </c>
      <c r="D603">
        <f>IF(OR(SwitchUniverse&lt;&gt;"ON",$B603=""),"",BDP($B603,"GICS_SECTOR_NAME"))</f>
        <v/>
      </c>
    </row>
    <row r="604" spans="2:4">
      <c r="B604">
        <f>IF(TRIM(A604&amp;"")="","",IF(RIGHT(TRIM(A604),7)=" Equity",TRIM(A604),TRIM(A604)&amp;" Equity"))</f>
        <v/>
      </c>
      <c r="C604">
        <f>IF(OR(SwitchUniverse&lt;&gt;"ON",$B604=""),"",BDP($B604,"NAME"))</f>
        <v/>
      </c>
      <c r="D604">
        <f>IF(OR(SwitchUniverse&lt;&gt;"ON",$B604=""),"",BDP($B604,"GICS_SECTOR_NAME"))</f>
        <v/>
      </c>
    </row>
    <row r="605" spans="2:4">
      <c r="B605">
        <f>IF(TRIM(A605&amp;"")="","",IF(RIGHT(TRIM(A605),7)=" Equity",TRIM(A605),TRIM(A605)&amp;" Equity"))</f>
        <v/>
      </c>
      <c r="C605">
        <f>IF(OR(SwitchUniverse&lt;&gt;"ON",$B605=""),"",BDP($B605,"NAME"))</f>
        <v/>
      </c>
      <c r="D605">
        <f>IF(OR(SwitchUniverse&lt;&gt;"ON",$B605=""),"",BDP($B605,"GICS_SECTOR_NAME"))</f>
        <v/>
      </c>
    </row>
    <row r="606" spans="2:4">
      <c r="B606">
        <f>IF(TRIM(A606&amp;"")="","",IF(RIGHT(TRIM(A606),7)=" Equity",TRIM(A606),TRIM(A606)&amp;" Equity"))</f>
        <v/>
      </c>
      <c r="C606">
        <f>IF(OR(SwitchUniverse&lt;&gt;"ON",$B606=""),"",BDP($B606,"NAME"))</f>
        <v/>
      </c>
      <c r="D606">
        <f>IF(OR(SwitchUniverse&lt;&gt;"ON",$B606=""),"",BDP($B606,"GICS_SECTOR_NAME"))</f>
        <v/>
      </c>
    </row>
    <row r="607" spans="2:4">
      <c r="B607">
        <f>IF(TRIM(A607&amp;"")="","",IF(RIGHT(TRIM(A607),7)=" Equity",TRIM(A607),TRIM(A607)&amp;" Equity"))</f>
        <v/>
      </c>
      <c r="C607">
        <f>IF(OR(SwitchUniverse&lt;&gt;"ON",$B607=""),"",BDP($B607,"NAME"))</f>
        <v/>
      </c>
      <c r="D607">
        <f>IF(OR(SwitchUniverse&lt;&gt;"ON",$B607=""),"",BDP($B607,"GICS_SECTOR_NAME"))</f>
        <v/>
      </c>
    </row>
    <row r="608" spans="2:4">
      <c r="B608">
        <f>IF(TRIM(A608&amp;"")="","",IF(RIGHT(TRIM(A608),7)=" Equity",TRIM(A608),TRIM(A608)&amp;" Equity"))</f>
        <v/>
      </c>
      <c r="C608">
        <f>IF(OR(SwitchUniverse&lt;&gt;"ON",$B608=""),"",BDP($B608,"NAME"))</f>
        <v/>
      </c>
      <c r="D608">
        <f>IF(OR(SwitchUniverse&lt;&gt;"ON",$B608=""),"",BDP($B608,"GICS_SECTOR_NAME"))</f>
        <v/>
      </c>
    </row>
    <row r="609" spans="2:4">
      <c r="B609">
        <f>IF(TRIM(A609&amp;"")="","",IF(RIGHT(TRIM(A609),7)=" Equity",TRIM(A609),TRIM(A609)&amp;" Equity"))</f>
        <v/>
      </c>
      <c r="C609">
        <f>IF(OR(SwitchUniverse&lt;&gt;"ON",$B609=""),"",BDP($B609,"NAME"))</f>
        <v/>
      </c>
      <c r="D609">
        <f>IF(OR(SwitchUniverse&lt;&gt;"ON",$B609=""),"",BDP($B609,"GICS_SECTOR_NAME"))</f>
        <v/>
      </c>
    </row>
    <row r="610" spans="2:4">
      <c r="B610">
        <f>IF(TRIM(A610&amp;"")="","",IF(RIGHT(TRIM(A610),7)=" Equity",TRIM(A610),TRIM(A610)&amp;" Equity"))</f>
        <v/>
      </c>
      <c r="C610">
        <f>IF(OR(SwitchUniverse&lt;&gt;"ON",$B610=""),"",BDP($B610,"NAME"))</f>
        <v/>
      </c>
      <c r="D610">
        <f>IF(OR(SwitchUniverse&lt;&gt;"ON",$B610=""),"",BDP($B610,"GICS_SECTOR_NAME"))</f>
        <v/>
      </c>
    </row>
    <row r="611" spans="2:4">
      <c r="B611">
        <f>IF(TRIM(A611&amp;"")="","",IF(RIGHT(TRIM(A611),7)=" Equity",TRIM(A611),TRIM(A611)&amp;" Equity"))</f>
        <v/>
      </c>
      <c r="C611">
        <f>IF(OR(SwitchUniverse&lt;&gt;"ON",$B611=""),"",BDP($B611,"NAME"))</f>
        <v/>
      </c>
      <c r="D611">
        <f>IF(OR(SwitchUniverse&lt;&gt;"ON",$B611=""),"",BDP($B611,"GICS_SECTOR_NAME"))</f>
        <v/>
      </c>
    </row>
    <row r="612" spans="2:4">
      <c r="B612">
        <f>IF(TRIM(A612&amp;"")="","",IF(RIGHT(TRIM(A612),7)=" Equity",TRIM(A612),TRIM(A612)&amp;" Equity"))</f>
        <v/>
      </c>
      <c r="C612">
        <f>IF(OR(SwitchUniverse&lt;&gt;"ON",$B612=""),"",BDP($B612,"NAME"))</f>
        <v/>
      </c>
      <c r="D612">
        <f>IF(OR(SwitchUniverse&lt;&gt;"ON",$B612=""),"",BDP($B612,"GICS_SECTOR_NAME"))</f>
        <v/>
      </c>
    </row>
    <row r="613" spans="2:4">
      <c r="B613">
        <f>IF(TRIM(A613&amp;"")="","",IF(RIGHT(TRIM(A613),7)=" Equity",TRIM(A613),TRIM(A613)&amp;" Equity"))</f>
        <v/>
      </c>
      <c r="C613">
        <f>IF(OR(SwitchUniverse&lt;&gt;"ON",$B613=""),"",BDP($B613,"NAME"))</f>
        <v/>
      </c>
      <c r="D613">
        <f>IF(OR(SwitchUniverse&lt;&gt;"ON",$B613=""),"",BDP($B613,"GICS_SECTOR_NAME"))</f>
        <v/>
      </c>
    </row>
    <row r="614" spans="2:4">
      <c r="B614">
        <f>IF(TRIM(A614&amp;"")="","",IF(RIGHT(TRIM(A614),7)=" Equity",TRIM(A614),TRIM(A614)&amp;" Equity"))</f>
        <v/>
      </c>
      <c r="C614">
        <f>IF(OR(SwitchUniverse&lt;&gt;"ON",$B614=""),"",BDP($B614,"NAME"))</f>
        <v/>
      </c>
      <c r="D614">
        <f>IF(OR(SwitchUniverse&lt;&gt;"ON",$B614=""),"",BDP($B614,"GICS_SECTOR_NAME"))</f>
        <v/>
      </c>
    </row>
    <row r="615" spans="2:4">
      <c r="B615">
        <f>IF(TRIM(A615&amp;"")="","",IF(RIGHT(TRIM(A615),7)=" Equity",TRIM(A615),TRIM(A615)&amp;" Equity"))</f>
        <v/>
      </c>
      <c r="C615">
        <f>IF(OR(SwitchUniverse&lt;&gt;"ON",$B615=""),"",BDP($B615,"NAME"))</f>
        <v/>
      </c>
      <c r="D615">
        <f>IF(OR(SwitchUniverse&lt;&gt;"ON",$B615=""),"",BDP($B615,"GICS_SECTOR_NAME"))</f>
        <v/>
      </c>
    </row>
    <row r="616" spans="2:4">
      <c r="B616">
        <f>IF(TRIM(A616&amp;"")="","",IF(RIGHT(TRIM(A616),7)=" Equity",TRIM(A616),TRIM(A616)&amp;" Equity"))</f>
        <v/>
      </c>
      <c r="C616">
        <f>IF(OR(SwitchUniverse&lt;&gt;"ON",$B616=""),"",BDP($B616,"NAME"))</f>
        <v/>
      </c>
      <c r="D616">
        <f>IF(OR(SwitchUniverse&lt;&gt;"ON",$B616=""),"",BDP($B616,"GICS_SECTOR_NAME"))</f>
        <v/>
      </c>
    </row>
    <row r="617" spans="2:4">
      <c r="B617">
        <f>IF(TRIM(A617&amp;"")="","",IF(RIGHT(TRIM(A617),7)=" Equity",TRIM(A617),TRIM(A617)&amp;" Equity"))</f>
        <v/>
      </c>
      <c r="C617">
        <f>IF(OR(SwitchUniverse&lt;&gt;"ON",$B617=""),"",BDP($B617,"NAME"))</f>
        <v/>
      </c>
      <c r="D617">
        <f>IF(OR(SwitchUniverse&lt;&gt;"ON",$B617=""),"",BDP($B617,"GICS_SECTOR_NAME"))</f>
        <v/>
      </c>
    </row>
    <row r="618" spans="2:4">
      <c r="B618">
        <f>IF(TRIM(A618&amp;"")="","",IF(RIGHT(TRIM(A618),7)=" Equity",TRIM(A618),TRIM(A618)&amp;" Equity"))</f>
        <v/>
      </c>
      <c r="C618">
        <f>IF(OR(SwitchUniverse&lt;&gt;"ON",$B618=""),"",BDP($B618,"NAME"))</f>
        <v/>
      </c>
      <c r="D618">
        <f>IF(OR(SwitchUniverse&lt;&gt;"ON",$B618=""),"",BDP($B618,"GICS_SECTOR_NAME"))</f>
        <v/>
      </c>
    </row>
    <row r="619" spans="2:4">
      <c r="B619">
        <f>IF(TRIM(A619&amp;"")="","",IF(RIGHT(TRIM(A619),7)=" Equity",TRIM(A619),TRIM(A619)&amp;" Equity"))</f>
        <v/>
      </c>
      <c r="C619">
        <f>IF(OR(SwitchUniverse&lt;&gt;"ON",$B619=""),"",BDP($B619,"NAME"))</f>
        <v/>
      </c>
      <c r="D619">
        <f>IF(OR(SwitchUniverse&lt;&gt;"ON",$B619=""),"",BDP($B619,"GICS_SECTOR_NAME"))</f>
        <v/>
      </c>
    </row>
    <row r="620" spans="2:4">
      <c r="B620">
        <f>IF(TRIM(A620&amp;"")="","",IF(RIGHT(TRIM(A620),7)=" Equity",TRIM(A620),TRIM(A620)&amp;" Equity"))</f>
        <v/>
      </c>
      <c r="C620">
        <f>IF(OR(SwitchUniverse&lt;&gt;"ON",$B620=""),"",BDP($B620,"NAME"))</f>
        <v/>
      </c>
      <c r="D620">
        <f>IF(OR(SwitchUniverse&lt;&gt;"ON",$B620=""),"",BDP($B620,"GICS_SECTOR_NAME"))</f>
        <v/>
      </c>
    </row>
    <row r="621" spans="2:4">
      <c r="B621">
        <f>IF(TRIM(A621&amp;"")="","",IF(RIGHT(TRIM(A621),7)=" Equity",TRIM(A621),TRIM(A621)&amp;" Equity"))</f>
        <v/>
      </c>
      <c r="C621">
        <f>IF(OR(SwitchUniverse&lt;&gt;"ON",$B621=""),"",BDP($B621,"NAME"))</f>
        <v/>
      </c>
      <c r="D621">
        <f>IF(OR(SwitchUniverse&lt;&gt;"ON",$B621=""),"",BDP($B621,"GICS_SECTOR_NAME"))</f>
        <v/>
      </c>
    </row>
    <row r="622" spans="2:4">
      <c r="B622">
        <f>IF(TRIM(A622&amp;"")="","",IF(RIGHT(TRIM(A622),7)=" Equity",TRIM(A622),TRIM(A622)&amp;" Equity"))</f>
        <v/>
      </c>
      <c r="C622">
        <f>IF(OR(SwitchUniverse&lt;&gt;"ON",$B622=""),"",BDP($B622,"NAME"))</f>
        <v/>
      </c>
      <c r="D622">
        <f>IF(OR(SwitchUniverse&lt;&gt;"ON",$B622=""),"",BDP($B622,"GICS_SECTOR_NAME"))</f>
        <v/>
      </c>
    </row>
    <row r="623" spans="2:4">
      <c r="B623">
        <f>IF(TRIM(A623&amp;"")="","",IF(RIGHT(TRIM(A623),7)=" Equity",TRIM(A623),TRIM(A623)&amp;" Equity"))</f>
        <v/>
      </c>
      <c r="C623">
        <f>IF(OR(SwitchUniverse&lt;&gt;"ON",$B623=""),"",BDP($B623,"NAME"))</f>
        <v/>
      </c>
      <c r="D623">
        <f>IF(OR(SwitchUniverse&lt;&gt;"ON",$B623=""),"",BDP($B623,"GICS_SECTOR_NAME"))</f>
        <v/>
      </c>
    </row>
    <row r="624" spans="2:4">
      <c r="B624">
        <f>IF(TRIM(A624&amp;"")="","",IF(RIGHT(TRIM(A624),7)=" Equity",TRIM(A624),TRIM(A624)&amp;" Equity"))</f>
        <v/>
      </c>
      <c r="C624">
        <f>IF(OR(SwitchUniverse&lt;&gt;"ON",$B624=""),"",BDP($B624,"NAME"))</f>
        <v/>
      </c>
      <c r="D624">
        <f>IF(OR(SwitchUniverse&lt;&gt;"ON",$B624=""),"",BDP($B624,"GICS_SECTOR_NAME"))</f>
        <v/>
      </c>
    </row>
    <row r="625" spans="2:4">
      <c r="B625">
        <f>IF(TRIM(A625&amp;"")="","",IF(RIGHT(TRIM(A625),7)=" Equity",TRIM(A625),TRIM(A625)&amp;" Equity"))</f>
        <v/>
      </c>
      <c r="C625">
        <f>IF(OR(SwitchUniverse&lt;&gt;"ON",$B625=""),"",BDP($B625,"NAME"))</f>
        <v/>
      </c>
      <c r="D625">
        <f>IF(OR(SwitchUniverse&lt;&gt;"ON",$B625=""),"",BDP($B625,"GICS_SECTOR_NAME"))</f>
        <v/>
      </c>
    </row>
    <row r="626" spans="2:4">
      <c r="B626">
        <f>IF(TRIM(A626&amp;"")="","",IF(RIGHT(TRIM(A626),7)=" Equity",TRIM(A626),TRIM(A626)&amp;" Equity"))</f>
        <v/>
      </c>
      <c r="C626">
        <f>IF(OR(SwitchUniverse&lt;&gt;"ON",$B626=""),"",BDP($B626,"NAME"))</f>
        <v/>
      </c>
      <c r="D626">
        <f>IF(OR(SwitchUniverse&lt;&gt;"ON",$B626=""),"",BDP($B626,"GICS_SECTOR_NAME"))</f>
        <v/>
      </c>
    </row>
    <row r="627" spans="2:4">
      <c r="B627">
        <f>IF(TRIM(A627&amp;"")="","",IF(RIGHT(TRIM(A627),7)=" Equity",TRIM(A627),TRIM(A627)&amp;" Equity"))</f>
        <v/>
      </c>
      <c r="C627">
        <f>IF(OR(SwitchUniverse&lt;&gt;"ON",$B627=""),"",BDP($B627,"NAME"))</f>
        <v/>
      </c>
      <c r="D627">
        <f>IF(OR(SwitchUniverse&lt;&gt;"ON",$B627=""),"",BDP($B627,"GICS_SECTOR_NAME"))</f>
        <v/>
      </c>
    </row>
    <row r="628" spans="2:4">
      <c r="B628">
        <f>IF(TRIM(A628&amp;"")="","",IF(RIGHT(TRIM(A628),7)=" Equity",TRIM(A628),TRIM(A628)&amp;" Equity"))</f>
        <v/>
      </c>
      <c r="C628">
        <f>IF(OR(SwitchUniverse&lt;&gt;"ON",$B628=""),"",BDP($B628,"NAME"))</f>
        <v/>
      </c>
      <c r="D628">
        <f>IF(OR(SwitchUniverse&lt;&gt;"ON",$B628=""),"",BDP($B628,"GICS_SECTOR_NAME"))</f>
        <v/>
      </c>
    </row>
    <row r="629" spans="2:4">
      <c r="B629">
        <f>IF(TRIM(A629&amp;"")="","",IF(RIGHT(TRIM(A629),7)=" Equity",TRIM(A629),TRIM(A629)&amp;" Equity"))</f>
        <v/>
      </c>
      <c r="C629">
        <f>IF(OR(SwitchUniverse&lt;&gt;"ON",$B629=""),"",BDP($B629,"NAME"))</f>
        <v/>
      </c>
      <c r="D629">
        <f>IF(OR(SwitchUniverse&lt;&gt;"ON",$B629=""),"",BDP($B629,"GICS_SECTOR_NAME"))</f>
        <v/>
      </c>
    </row>
    <row r="630" spans="2:4">
      <c r="B630">
        <f>IF(TRIM(A630&amp;"")="","",IF(RIGHT(TRIM(A630),7)=" Equity",TRIM(A630),TRIM(A630)&amp;" Equity"))</f>
        <v/>
      </c>
      <c r="C630">
        <f>IF(OR(SwitchUniverse&lt;&gt;"ON",$B630=""),"",BDP($B630,"NAME"))</f>
        <v/>
      </c>
      <c r="D630">
        <f>IF(OR(SwitchUniverse&lt;&gt;"ON",$B630=""),"",BDP($B630,"GICS_SECTOR_NAME"))</f>
        <v/>
      </c>
    </row>
    <row r="631" spans="2:4">
      <c r="B631">
        <f>IF(TRIM(A631&amp;"")="","",IF(RIGHT(TRIM(A631),7)=" Equity",TRIM(A631),TRIM(A631)&amp;" Equity"))</f>
        <v/>
      </c>
      <c r="C631">
        <f>IF(OR(SwitchUniverse&lt;&gt;"ON",$B631=""),"",BDP($B631,"NAME"))</f>
        <v/>
      </c>
      <c r="D631">
        <f>IF(OR(SwitchUniverse&lt;&gt;"ON",$B631=""),"",BDP($B631,"GICS_SECTOR_NAME"))</f>
        <v/>
      </c>
    </row>
    <row r="632" spans="2:4">
      <c r="B632">
        <f>IF(TRIM(A632&amp;"")="","",IF(RIGHT(TRIM(A632),7)=" Equity",TRIM(A632),TRIM(A632)&amp;" Equity"))</f>
        <v/>
      </c>
      <c r="C632">
        <f>IF(OR(SwitchUniverse&lt;&gt;"ON",$B632=""),"",BDP($B632,"NAME"))</f>
        <v/>
      </c>
      <c r="D632">
        <f>IF(OR(SwitchUniverse&lt;&gt;"ON",$B632=""),"",BDP($B632,"GICS_SECTOR_NAME"))</f>
        <v/>
      </c>
    </row>
    <row r="633" spans="2:4">
      <c r="B633">
        <f>IF(TRIM(A633&amp;"")="","",IF(RIGHT(TRIM(A633),7)=" Equity",TRIM(A633),TRIM(A633)&amp;" Equity"))</f>
        <v/>
      </c>
      <c r="C633">
        <f>IF(OR(SwitchUniverse&lt;&gt;"ON",$B633=""),"",BDP($B633,"NAME"))</f>
        <v/>
      </c>
      <c r="D633">
        <f>IF(OR(SwitchUniverse&lt;&gt;"ON",$B633=""),"",BDP($B633,"GICS_SECTOR_NAME"))</f>
        <v/>
      </c>
    </row>
    <row r="634" spans="2:4">
      <c r="B634">
        <f>IF(TRIM(A634&amp;"")="","",IF(RIGHT(TRIM(A634),7)=" Equity",TRIM(A634),TRIM(A634)&amp;" Equity"))</f>
        <v/>
      </c>
      <c r="C634">
        <f>IF(OR(SwitchUniverse&lt;&gt;"ON",$B634=""),"",BDP($B634,"NAME"))</f>
        <v/>
      </c>
      <c r="D634">
        <f>IF(OR(SwitchUniverse&lt;&gt;"ON",$B634=""),"",BDP($B634,"GICS_SECTOR_NAME"))</f>
        <v/>
      </c>
    </row>
    <row r="635" spans="2:4">
      <c r="B635">
        <f>IF(TRIM(A635&amp;"")="","",IF(RIGHT(TRIM(A635),7)=" Equity",TRIM(A635),TRIM(A635)&amp;" Equity"))</f>
        <v/>
      </c>
      <c r="C635">
        <f>IF(OR(SwitchUniverse&lt;&gt;"ON",$B635=""),"",BDP($B635,"NAME"))</f>
        <v/>
      </c>
      <c r="D635">
        <f>IF(OR(SwitchUniverse&lt;&gt;"ON",$B635=""),"",BDP($B635,"GICS_SECTOR_NAME"))</f>
        <v/>
      </c>
    </row>
    <row r="636" spans="2:4">
      <c r="B636">
        <f>IF(TRIM(A636&amp;"")="","",IF(RIGHT(TRIM(A636),7)=" Equity",TRIM(A636),TRIM(A636)&amp;" Equity"))</f>
        <v/>
      </c>
      <c r="C636">
        <f>IF(OR(SwitchUniverse&lt;&gt;"ON",$B636=""),"",BDP($B636,"NAME"))</f>
        <v/>
      </c>
      <c r="D636">
        <f>IF(OR(SwitchUniverse&lt;&gt;"ON",$B636=""),"",BDP($B636,"GICS_SECTOR_NAME"))</f>
        <v/>
      </c>
    </row>
    <row r="637" spans="2:4">
      <c r="B637">
        <f>IF(TRIM(A637&amp;"")="","",IF(RIGHT(TRIM(A637),7)=" Equity",TRIM(A637),TRIM(A637)&amp;" Equity"))</f>
        <v/>
      </c>
      <c r="C637">
        <f>IF(OR(SwitchUniverse&lt;&gt;"ON",$B637=""),"",BDP($B637,"NAME"))</f>
        <v/>
      </c>
      <c r="D637">
        <f>IF(OR(SwitchUniverse&lt;&gt;"ON",$B637=""),"",BDP($B637,"GICS_SECTOR_NAME"))</f>
        <v/>
      </c>
    </row>
    <row r="638" spans="2:4">
      <c r="B638">
        <f>IF(TRIM(A638&amp;"")="","",IF(RIGHT(TRIM(A638),7)=" Equity",TRIM(A638),TRIM(A638)&amp;" Equity"))</f>
        <v/>
      </c>
      <c r="C638">
        <f>IF(OR(SwitchUniverse&lt;&gt;"ON",$B638=""),"",BDP($B638,"NAME"))</f>
        <v/>
      </c>
      <c r="D638">
        <f>IF(OR(SwitchUniverse&lt;&gt;"ON",$B638=""),"",BDP($B638,"GICS_SECTOR_NAME"))</f>
        <v/>
      </c>
    </row>
    <row r="639" spans="2:4">
      <c r="B639">
        <f>IF(TRIM(A639&amp;"")="","",IF(RIGHT(TRIM(A639),7)=" Equity",TRIM(A639),TRIM(A639)&amp;" Equity"))</f>
        <v/>
      </c>
      <c r="C639">
        <f>IF(OR(SwitchUniverse&lt;&gt;"ON",$B639=""),"",BDP($B639,"NAME"))</f>
        <v/>
      </c>
      <c r="D639">
        <f>IF(OR(SwitchUniverse&lt;&gt;"ON",$B639=""),"",BDP($B639,"GICS_SECTOR_NAME"))</f>
        <v/>
      </c>
    </row>
    <row r="640" spans="2:4">
      <c r="B640">
        <f>IF(TRIM(A640&amp;"")="","",IF(RIGHT(TRIM(A640),7)=" Equity",TRIM(A640),TRIM(A640)&amp;" Equity"))</f>
        <v/>
      </c>
      <c r="C640">
        <f>IF(OR(SwitchUniverse&lt;&gt;"ON",$B640=""),"",BDP($B640,"NAME"))</f>
        <v/>
      </c>
      <c r="D640">
        <f>IF(OR(SwitchUniverse&lt;&gt;"ON",$B640=""),"",BDP($B640,"GICS_SECTOR_NAME"))</f>
        <v/>
      </c>
    </row>
    <row r="641" spans="2:4">
      <c r="B641">
        <f>IF(TRIM(A641&amp;"")="","",IF(RIGHT(TRIM(A641),7)=" Equity",TRIM(A641),TRIM(A641)&amp;" Equity"))</f>
        <v/>
      </c>
      <c r="C641">
        <f>IF(OR(SwitchUniverse&lt;&gt;"ON",$B641=""),"",BDP($B641,"NAME"))</f>
        <v/>
      </c>
      <c r="D641">
        <f>IF(OR(SwitchUniverse&lt;&gt;"ON",$B641=""),"",BDP($B641,"GICS_SECTOR_NAME"))</f>
        <v/>
      </c>
    </row>
    <row r="642" spans="2:4">
      <c r="B642">
        <f>IF(TRIM(A642&amp;"")="","",IF(RIGHT(TRIM(A642),7)=" Equity",TRIM(A642),TRIM(A642)&amp;" Equity"))</f>
        <v/>
      </c>
      <c r="C642">
        <f>IF(OR(SwitchUniverse&lt;&gt;"ON",$B642=""),"",BDP($B642,"NAME"))</f>
        <v/>
      </c>
      <c r="D642">
        <f>IF(OR(SwitchUniverse&lt;&gt;"ON",$B642=""),"",BDP($B642,"GICS_SECTOR_NAME"))</f>
        <v/>
      </c>
    </row>
    <row r="643" spans="2:4">
      <c r="B643">
        <f>IF(TRIM(A643&amp;"")="","",IF(RIGHT(TRIM(A643),7)=" Equity",TRIM(A643),TRIM(A643)&amp;" Equity"))</f>
        <v/>
      </c>
      <c r="C643">
        <f>IF(OR(SwitchUniverse&lt;&gt;"ON",$B643=""),"",BDP($B643,"NAME"))</f>
        <v/>
      </c>
      <c r="D643">
        <f>IF(OR(SwitchUniverse&lt;&gt;"ON",$B643=""),"",BDP($B643,"GICS_SECTOR_NAME"))</f>
        <v/>
      </c>
    </row>
    <row r="644" spans="2:4">
      <c r="B644">
        <f>IF(TRIM(A644&amp;"")="","",IF(RIGHT(TRIM(A644),7)=" Equity",TRIM(A644),TRIM(A644)&amp;" Equity"))</f>
        <v/>
      </c>
      <c r="C644">
        <f>IF(OR(SwitchUniverse&lt;&gt;"ON",$B644=""),"",BDP($B644,"NAME"))</f>
        <v/>
      </c>
      <c r="D644">
        <f>IF(OR(SwitchUniverse&lt;&gt;"ON",$B644=""),"",BDP($B644,"GICS_SECTOR_NAME"))</f>
        <v/>
      </c>
    </row>
    <row r="645" spans="2:4">
      <c r="B645">
        <f>IF(TRIM(A645&amp;"")="","",IF(RIGHT(TRIM(A645),7)=" Equity",TRIM(A645),TRIM(A645)&amp;" Equity"))</f>
        <v/>
      </c>
      <c r="C645">
        <f>IF(OR(SwitchUniverse&lt;&gt;"ON",$B645=""),"",BDP($B645,"NAME"))</f>
        <v/>
      </c>
      <c r="D645">
        <f>IF(OR(SwitchUniverse&lt;&gt;"ON",$B645=""),"",BDP($B645,"GICS_SECTOR_NAME"))</f>
        <v/>
      </c>
    </row>
    <row r="646" spans="2:4">
      <c r="B646">
        <f>IF(TRIM(A646&amp;"")="","",IF(RIGHT(TRIM(A646),7)=" Equity",TRIM(A646),TRIM(A646)&amp;" Equity"))</f>
        <v/>
      </c>
      <c r="C646">
        <f>IF(OR(SwitchUniverse&lt;&gt;"ON",$B646=""),"",BDP($B646,"NAME"))</f>
        <v/>
      </c>
      <c r="D646">
        <f>IF(OR(SwitchUniverse&lt;&gt;"ON",$B646=""),"",BDP($B646,"GICS_SECTOR_NAME"))</f>
        <v/>
      </c>
    </row>
    <row r="647" spans="2:4">
      <c r="B647">
        <f>IF(TRIM(A647&amp;"")="","",IF(RIGHT(TRIM(A647),7)=" Equity",TRIM(A647),TRIM(A647)&amp;" Equity"))</f>
        <v/>
      </c>
      <c r="C647">
        <f>IF(OR(SwitchUniverse&lt;&gt;"ON",$B647=""),"",BDP($B647,"NAME"))</f>
        <v/>
      </c>
      <c r="D647">
        <f>IF(OR(SwitchUniverse&lt;&gt;"ON",$B647=""),"",BDP($B647,"GICS_SECTOR_NAME"))</f>
        <v/>
      </c>
    </row>
    <row r="648" spans="2:4">
      <c r="B648">
        <f>IF(TRIM(A648&amp;"")="","",IF(RIGHT(TRIM(A648),7)=" Equity",TRIM(A648),TRIM(A648)&amp;" Equity"))</f>
        <v/>
      </c>
      <c r="C648">
        <f>IF(OR(SwitchUniverse&lt;&gt;"ON",$B648=""),"",BDP($B648,"NAME"))</f>
        <v/>
      </c>
      <c r="D648">
        <f>IF(OR(SwitchUniverse&lt;&gt;"ON",$B648=""),"",BDP($B648,"GICS_SECTOR_NAME"))</f>
        <v/>
      </c>
    </row>
    <row r="649" spans="2:4">
      <c r="B649">
        <f>IF(TRIM(A649&amp;"")="","",IF(RIGHT(TRIM(A649),7)=" Equity",TRIM(A649),TRIM(A649)&amp;" Equity"))</f>
        <v/>
      </c>
      <c r="C649">
        <f>IF(OR(SwitchUniverse&lt;&gt;"ON",$B649=""),"",BDP($B649,"NAME"))</f>
        <v/>
      </c>
      <c r="D649">
        <f>IF(OR(SwitchUniverse&lt;&gt;"ON",$B649=""),"",BDP($B649,"GICS_SECTOR_NAME"))</f>
        <v/>
      </c>
    </row>
    <row r="650" spans="2:4">
      <c r="B650">
        <f>IF(TRIM(A650&amp;"")="","",IF(RIGHT(TRIM(A650),7)=" Equity",TRIM(A650),TRIM(A650)&amp;" Equity"))</f>
        <v/>
      </c>
      <c r="C650">
        <f>IF(OR(SwitchUniverse&lt;&gt;"ON",$B650=""),"",BDP($B650,"NAME"))</f>
        <v/>
      </c>
      <c r="D650">
        <f>IF(OR(SwitchUniverse&lt;&gt;"ON",$B650=""),"",BDP($B650,"GICS_SECTOR_NAME"))</f>
        <v/>
      </c>
    </row>
    <row r="651" spans="2:4">
      <c r="B651">
        <f>IF(TRIM(A651&amp;"")="","",IF(RIGHT(TRIM(A651),7)=" Equity",TRIM(A651),TRIM(A651)&amp;" Equity"))</f>
        <v/>
      </c>
      <c r="C651">
        <f>IF(OR(SwitchUniverse&lt;&gt;"ON",$B651=""),"",BDP($B651,"NAME"))</f>
        <v/>
      </c>
      <c r="D651">
        <f>IF(OR(SwitchUniverse&lt;&gt;"ON",$B651=""),"",BDP($B651,"GICS_SECTOR_NAME"))</f>
        <v/>
      </c>
    </row>
    <row r="652" spans="2:4">
      <c r="B652">
        <f>IF(TRIM(A652&amp;"")="","",IF(RIGHT(TRIM(A652),7)=" Equity",TRIM(A652),TRIM(A652)&amp;" Equity"))</f>
        <v/>
      </c>
      <c r="C652">
        <f>IF(OR(SwitchUniverse&lt;&gt;"ON",$B652=""),"",BDP($B652,"NAME"))</f>
        <v/>
      </c>
      <c r="D652">
        <f>IF(OR(SwitchUniverse&lt;&gt;"ON",$B652=""),"",BDP($B652,"GICS_SECTOR_NAME"))</f>
        <v/>
      </c>
    </row>
    <row r="653" spans="2:4">
      <c r="B653">
        <f>IF(TRIM(A653&amp;"")="","",IF(RIGHT(TRIM(A653),7)=" Equity",TRIM(A653),TRIM(A653)&amp;" Equity"))</f>
        <v/>
      </c>
      <c r="C653">
        <f>IF(OR(SwitchUniverse&lt;&gt;"ON",$B653=""),"",BDP($B653,"NAME"))</f>
        <v/>
      </c>
      <c r="D653">
        <f>IF(OR(SwitchUniverse&lt;&gt;"ON",$B653=""),"",BDP($B653,"GICS_SECTOR_NAME"))</f>
        <v/>
      </c>
    </row>
    <row r="654" spans="2:4">
      <c r="B654">
        <f>IF(TRIM(A654&amp;"")="","",IF(RIGHT(TRIM(A654),7)=" Equity",TRIM(A654),TRIM(A654)&amp;" Equity"))</f>
        <v/>
      </c>
      <c r="C654">
        <f>IF(OR(SwitchUniverse&lt;&gt;"ON",$B654=""),"",BDP($B654,"NAME"))</f>
        <v/>
      </c>
      <c r="D654">
        <f>IF(OR(SwitchUniverse&lt;&gt;"ON",$B654=""),"",BDP($B654,"GICS_SECTOR_NAME"))</f>
        <v/>
      </c>
    </row>
    <row r="655" spans="2:4">
      <c r="B655">
        <f>IF(TRIM(A655&amp;"")="","",IF(RIGHT(TRIM(A655),7)=" Equity",TRIM(A655),TRIM(A655)&amp;" Equity"))</f>
        <v/>
      </c>
      <c r="C655">
        <f>IF(OR(SwitchUniverse&lt;&gt;"ON",$B655=""),"",BDP($B655,"NAME"))</f>
        <v/>
      </c>
      <c r="D655">
        <f>IF(OR(SwitchUniverse&lt;&gt;"ON",$B655=""),"",BDP($B655,"GICS_SECTOR_NAME"))</f>
        <v/>
      </c>
    </row>
    <row r="656" spans="2:4">
      <c r="B656">
        <f>IF(TRIM(A656&amp;"")="","",IF(RIGHT(TRIM(A656),7)=" Equity",TRIM(A656),TRIM(A656)&amp;" Equity"))</f>
        <v/>
      </c>
      <c r="C656">
        <f>IF(OR(SwitchUniverse&lt;&gt;"ON",$B656=""),"",BDP($B656,"NAME"))</f>
        <v/>
      </c>
      <c r="D656">
        <f>IF(OR(SwitchUniverse&lt;&gt;"ON",$B656=""),"",BDP($B656,"GICS_SECTOR_NAME"))</f>
        <v/>
      </c>
    </row>
    <row r="657" spans="2:4">
      <c r="B657">
        <f>IF(TRIM(A657&amp;"")="","",IF(RIGHT(TRIM(A657),7)=" Equity",TRIM(A657),TRIM(A657)&amp;" Equity"))</f>
        <v/>
      </c>
      <c r="C657">
        <f>IF(OR(SwitchUniverse&lt;&gt;"ON",$B657=""),"",BDP($B657,"NAME"))</f>
        <v/>
      </c>
      <c r="D657">
        <f>IF(OR(SwitchUniverse&lt;&gt;"ON",$B657=""),"",BDP($B657,"GICS_SECTOR_NAME"))</f>
        <v/>
      </c>
    </row>
    <row r="658" spans="2:4">
      <c r="B658">
        <f>IF(TRIM(A658&amp;"")="","",IF(RIGHT(TRIM(A658),7)=" Equity",TRIM(A658),TRIM(A658)&amp;" Equity"))</f>
        <v/>
      </c>
      <c r="C658">
        <f>IF(OR(SwitchUniverse&lt;&gt;"ON",$B658=""),"",BDP($B658,"NAME"))</f>
        <v/>
      </c>
      <c r="D658">
        <f>IF(OR(SwitchUniverse&lt;&gt;"ON",$B658=""),"",BDP($B658,"GICS_SECTOR_NAME"))</f>
        <v/>
      </c>
    </row>
    <row r="659" spans="2:4">
      <c r="B659">
        <f>IF(TRIM(A659&amp;"")="","",IF(RIGHT(TRIM(A659),7)=" Equity",TRIM(A659),TRIM(A659)&amp;" Equity"))</f>
        <v/>
      </c>
      <c r="C659">
        <f>IF(OR(SwitchUniverse&lt;&gt;"ON",$B659=""),"",BDP($B659,"NAME"))</f>
        <v/>
      </c>
      <c r="D659">
        <f>IF(OR(SwitchUniverse&lt;&gt;"ON",$B659=""),"",BDP($B659,"GICS_SECTOR_NAME"))</f>
        <v/>
      </c>
    </row>
    <row r="660" spans="2:4">
      <c r="B660">
        <f>IF(TRIM(A660&amp;"")="","",IF(RIGHT(TRIM(A660),7)=" Equity",TRIM(A660),TRIM(A660)&amp;" Equity"))</f>
        <v/>
      </c>
      <c r="C660">
        <f>IF(OR(SwitchUniverse&lt;&gt;"ON",$B660=""),"",BDP($B660,"NAME"))</f>
        <v/>
      </c>
      <c r="D660">
        <f>IF(OR(SwitchUniverse&lt;&gt;"ON",$B660=""),"",BDP($B660,"GICS_SECTOR_NAME"))</f>
        <v/>
      </c>
    </row>
    <row r="661" spans="2:4">
      <c r="B661">
        <f>IF(TRIM(A661&amp;"")="","",IF(RIGHT(TRIM(A661),7)=" Equity",TRIM(A661),TRIM(A661)&amp;" Equity"))</f>
        <v/>
      </c>
      <c r="C661">
        <f>IF(OR(SwitchUniverse&lt;&gt;"ON",$B661=""),"",BDP($B661,"NAME"))</f>
        <v/>
      </c>
      <c r="D661">
        <f>IF(OR(SwitchUniverse&lt;&gt;"ON",$B661=""),"",BDP($B661,"GICS_SECTOR_NAME"))</f>
        <v/>
      </c>
    </row>
    <row r="662" spans="2:4">
      <c r="B662">
        <f>IF(TRIM(A662&amp;"")="","",IF(RIGHT(TRIM(A662),7)=" Equity",TRIM(A662),TRIM(A662)&amp;" Equity"))</f>
        <v/>
      </c>
      <c r="C662">
        <f>IF(OR(SwitchUniverse&lt;&gt;"ON",$B662=""),"",BDP($B662,"NAME"))</f>
        <v/>
      </c>
      <c r="D662">
        <f>IF(OR(SwitchUniverse&lt;&gt;"ON",$B662=""),"",BDP($B662,"GICS_SECTOR_NAME"))</f>
        <v/>
      </c>
    </row>
    <row r="663" spans="2:4">
      <c r="B663">
        <f>IF(TRIM(A663&amp;"")="","",IF(RIGHT(TRIM(A663),7)=" Equity",TRIM(A663),TRIM(A663)&amp;" Equity"))</f>
        <v/>
      </c>
      <c r="C663">
        <f>IF(OR(SwitchUniverse&lt;&gt;"ON",$B663=""),"",BDP($B663,"NAME"))</f>
        <v/>
      </c>
      <c r="D663">
        <f>IF(OR(SwitchUniverse&lt;&gt;"ON",$B663=""),"",BDP($B663,"GICS_SECTOR_NAME"))</f>
        <v/>
      </c>
    </row>
    <row r="664" spans="2:4">
      <c r="B664">
        <f>IF(TRIM(A664&amp;"")="","",IF(RIGHT(TRIM(A664),7)=" Equity",TRIM(A664),TRIM(A664)&amp;" Equity"))</f>
        <v/>
      </c>
      <c r="C664">
        <f>IF(OR(SwitchUniverse&lt;&gt;"ON",$B664=""),"",BDP($B664,"NAME"))</f>
        <v/>
      </c>
      <c r="D664">
        <f>IF(OR(SwitchUniverse&lt;&gt;"ON",$B664=""),"",BDP($B664,"GICS_SECTOR_NAME"))</f>
        <v/>
      </c>
    </row>
    <row r="665" spans="2:4">
      <c r="B665">
        <f>IF(TRIM(A665&amp;"")="","",IF(RIGHT(TRIM(A665),7)=" Equity",TRIM(A665),TRIM(A665)&amp;" Equity"))</f>
        <v/>
      </c>
      <c r="C665">
        <f>IF(OR(SwitchUniverse&lt;&gt;"ON",$B665=""),"",BDP($B665,"NAME"))</f>
        <v/>
      </c>
      <c r="D665">
        <f>IF(OR(SwitchUniverse&lt;&gt;"ON",$B665=""),"",BDP($B665,"GICS_SECTOR_NAME"))</f>
        <v/>
      </c>
    </row>
    <row r="666" spans="2:4">
      <c r="B666">
        <f>IF(TRIM(A666&amp;"")="","",IF(RIGHT(TRIM(A666),7)=" Equity",TRIM(A666),TRIM(A666)&amp;" Equity"))</f>
        <v/>
      </c>
      <c r="C666">
        <f>IF(OR(SwitchUniverse&lt;&gt;"ON",$B666=""),"",BDP($B666,"NAME"))</f>
        <v/>
      </c>
      <c r="D666">
        <f>IF(OR(SwitchUniverse&lt;&gt;"ON",$B666=""),"",BDP($B666,"GICS_SECTOR_NAME"))</f>
        <v/>
      </c>
    </row>
    <row r="667" spans="2:4">
      <c r="B667">
        <f>IF(TRIM(A667&amp;"")="","",IF(RIGHT(TRIM(A667),7)=" Equity",TRIM(A667),TRIM(A667)&amp;" Equity"))</f>
        <v/>
      </c>
      <c r="C667">
        <f>IF(OR(SwitchUniverse&lt;&gt;"ON",$B667=""),"",BDP($B667,"NAME"))</f>
        <v/>
      </c>
      <c r="D667">
        <f>IF(OR(SwitchUniverse&lt;&gt;"ON",$B667=""),"",BDP($B667,"GICS_SECTOR_NAME"))</f>
        <v/>
      </c>
    </row>
    <row r="668" spans="2:4">
      <c r="B668">
        <f>IF(TRIM(A668&amp;"")="","",IF(RIGHT(TRIM(A668),7)=" Equity",TRIM(A668),TRIM(A668)&amp;" Equity"))</f>
        <v/>
      </c>
      <c r="C668">
        <f>IF(OR(SwitchUniverse&lt;&gt;"ON",$B668=""),"",BDP($B668,"NAME"))</f>
        <v/>
      </c>
      <c r="D668">
        <f>IF(OR(SwitchUniverse&lt;&gt;"ON",$B668=""),"",BDP($B668,"GICS_SECTOR_NAME"))</f>
        <v/>
      </c>
    </row>
    <row r="669" spans="2:4">
      <c r="B669">
        <f>IF(TRIM(A669&amp;"")="","",IF(RIGHT(TRIM(A669),7)=" Equity",TRIM(A669),TRIM(A669)&amp;" Equity"))</f>
        <v/>
      </c>
      <c r="C669">
        <f>IF(OR(SwitchUniverse&lt;&gt;"ON",$B669=""),"",BDP($B669,"NAME"))</f>
        <v/>
      </c>
      <c r="D669">
        <f>IF(OR(SwitchUniverse&lt;&gt;"ON",$B669=""),"",BDP($B669,"GICS_SECTOR_NAME"))</f>
        <v/>
      </c>
    </row>
    <row r="670" spans="2:4">
      <c r="B670">
        <f>IF(TRIM(A670&amp;"")="","",IF(RIGHT(TRIM(A670),7)=" Equity",TRIM(A670),TRIM(A670)&amp;" Equity"))</f>
        <v/>
      </c>
      <c r="C670">
        <f>IF(OR(SwitchUniverse&lt;&gt;"ON",$B670=""),"",BDP($B670,"NAME"))</f>
        <v/>
      </c>
      <c r="D670">
        <f>IF(OR(SwitchUniverse&lt;&gt;"ON",$B670=""),"",BDP($B670,"GICS_SECTOR_NAME"))</f>
        <v/>
      </c>
    </row>
    <row r="671" spans="2:4">
      <c r="B671">
        <f>IF(TRIM(A671&amp;"")="","",IF(RIGHT(TRIM(A671),7)=" Equity",TRIM(A671),TRIM(A671)&amp;" Equity"))</f>
        <v/>
      </c>
      <c r="C671">
        <f>IF(OR(SwitchUniverse&lt;&gt;"ON",$B671=""),"",BDP($B671,"NAME"))</f>
        <v/>
      </c>
      <c r="D671">
        <f>IF(OR(SwitchUniverse&lt;&gt;"ON",$B671=""),"",BDP($B671,"GICS_SECTOR_NAME"))</f>
        <v/>
      </c>
    </row>
    <row r="672" spans="2:4">
      <c r="B672">
        <f>IF(TRIM(A672&amp;"")="","",IF(RIGHT(TRIM(A672),7)=" Equity",TRIM(A672),TRIM(A672)&amp;" Equity"))</f>
        <v/>
      </c>
      <c r="C672">
        <f>IF(OR(SwitchUniverse&lt;&gt;"ON",$B672=""),"",BDP($B672,"NAME"))</f>
        <v/>
      </c>
      <c r="D672">
        <f>IF(OR(SwitchUniverse&lt;&gt;"ON",$B672=""),"",BDP($B672,"GICS_SECTOR_NAME"))</f>
        <v/>
      </c>
    </row>
    <row r="673" spans="2:4">
      <c r="B673">
        <f>IF(TRIM(A673&amp;"")="","",IF(RIGHT(TRIM(A673),7)=" Equity",TRIM(A673),TRIM(A673)&amp;" Equity"))</f>
        <v/>
      </c>
      <c r="C673">
        <f>IF(OR(SwitchUniverse&lt;&gt;"ON",$B673=""),"",BDP($B673,"NAME"))</f>
        <v/>
      </c>
      <c r="D673">
        <f>IF(OR(SwitchUniverse&lt;&gt;"ON",$B673=""),"",BDP($B673,"GICS_SECTOR_NAME"))</f>
        <v/>
      </c>
    </row>
    <row r="674" spans="2:4">
      <c r="B674">
        <f>IF(TRIM(A674&amp;"")="","",IF(RIGHT(TRIM(A674),7)=" Equity",TRIM(A674),TRIM(A674)&amp;" Equity"))</f>
        <v/>
      </c>
      <c r="C674">
        <f>IF(OR(SwitchUniverse&lt;&gt;"ON",$B674=""),"",BDP($B674,"NAME"))</f>
        <v/>
      </c>
      <c r="D674">
        <f>IF(OR(SwitchUniverse&lt;&gt;"ON",$B674=""),"",BDP($B674,"GICS_SECTOR_NAME"))</f>
        <v/>
      </c>
    </row>
    <row r="675" spans="2:4">
      <c r="B675">
        <f>IF(TRIM(A675&amp;"")="","",IF(RIGHT(TRIM(A675),7)=" Equity",TRIM(A675),TRIM(A675)&amp;" Equity"))</f>
        <v/>
      </c>
      <c r="C675">
        <f>IF(OR(SwitchUniverse&lt;&gt;"ON",$B675=""),"",BDP($B675,"NAME"))</f>
        <v/>
      </c>
      <c r="D675">
        <f>IF(OR(SwitchUniverse&lt;&gt;"ON",$B675=""),"",BDP($B675,"GICS_SECTOR_NAME"))</f>
        <v/>
      </c>
    </row>
    <row r="676" spans="2:4">
      <c r="B676">
        <f>IF(TRIM(A676&amp;"")="","",IF(RIGHT(TRIM(A676),7)=" Equity",TRIM(A676),TRIM(A676)&amp;" Equity"))</f>
        <v/>
      </c>
      <c r="C676">
        <f>IF(OR(SwitchUniverse&lt;&gt;"ON",$B676=""),"",BDP($B676,"NAME"))</f>
        <v/>
      </c>
      <c r="D676">
        <f>IF(OR(SwitchUniverse&lt;&gt;"ON",$B676=""),"",BDP($B676,"GICS_SECTOR_NAME"))</f>
        <v/>
      </c>
    </row>
    <row r="677" spans="2:4">
      <c r="B677">
        <f>IF(TRIM(A677&amp;"")="","",IF(RIGHT(TRIM(A677),7)=" Equity",TRIM(A677),TRIM(A677)&amp;" Equity"))</f>
        <v/>
      </c>
      <c r="C677">
        <f>IF(OR(SwitchUniverse&lt;&gt;"ON",$B677=""),"",BDP($B677,"NAME"))</f>
        <v/>
      </c>
      <c r="D677">
        <f>IF(OR(SwitchUniverse&lt;&gt;"ON",$B677=""),"",BDP($B677,"GICS_SECTOR_NAME"))</f>
        <v/>
      </c>
    </row>
    <row r="678" spans="2:4">
      <c r="B678">
        <f>IF(TRIM(A678&amp;"")="","",IF(RIGHT(TRIM(A678),7)=" Equity",TRIM(A678),TRIM(A678)&amp;" Equity"))</f>
        <v/>
      </c>
      <c r="C678">
        <f>IF(OR(SwitchUniverse&lt;&gt;"ON",$B678=""),"",BDP($B678,"NAME"))</f>
        <v/>
      </c>
      <c r="D678">
        <f>IF(OR(SwitchUniverse&lt;&gt;"ON",$B678=""),"",BDP($B678,"GICS_SECTOR_NAME"))</f>
        <v/>
      </c>
    </row>
    <row r="679" spans="2:4">
      <c r="B679">
        <f>IF(TRIM(A679&amp;"")="","",IF(RIGHT(TRIM(A679),7)=" Equity",TRIM(A679),TRIM(A679)&amp;" Equity"))</f>
        <v/>
      </c>
      <c r="C679">
        <f>IF(OR(SwitchUniverse&lt;&gt;"ON",$B679=""),"",BDP($B679,"NAME"))</f>
        <v/>
      </c>
      <c r="D679">
        <f>IF(OR(SwitchUniverse&lt;&gt;"ON",$B679=""),"",BDP($B679,"GICS_SECTOR_NAME"))</f>
        <v/>
      </c>
    </row>
    <row r="680" spans="2:4">
      <c r="B680">
        <f>IF(TRIM(A680&amp;"")="","",IF(RIGHT(TRIM(A680),7)=" Equity",TRIM(A680),TRIM(A680)&amp;" Equity"))</f>
        <v/>
      </c>
      <c r="C680">
        <f>IF(OR(SwitchUniverse&lt;&gt;"ON",$B680=""),"",BDP($B680,"NAME"))</f>
        <v/>
      </c>
      <c r="D680">
        <f>IF(OR(SwitchUniverse&lt;&gt;"ON",$B680=""),"",BDP($B680,"GICS_SECTOR_NAME"))</f>
        <v/>
      </c>
    </row>
    <row r="681" spans="2:4">
      <c r="B681">
        <f>IF(TRIM(A681&amp;"")="","",IF(RIGHT(TRIM(A681),7)=" Equity",TRIM(A681),TRIM(A681)&amp;" Equity"))</f>
        <v/>
      </c>
      <c r="C681">
        <f>IF(OR(SwitchUniverse&lt;&gt;"ON",$B681=""),"",BDP($B681,"NAME"))</f>
        <v/>
      </c>
      <c r="D681">
        <f>IF(OR(SwitchUniverse&lt;&gt;"ON",$B681=""),"",BDP($B681,"GICS_SECTOR_NAME"))</f>
        <v/>
      </c>
    </row>
    <row r="682" spans="2:4">
      <c r="B682">
        <f>IF(TRIM(A682&amp;"")="","",IF(RIGHT(TRIM(A682),7)=" Equity",TRIM(A682),TRIM(A682)&amp;" Equity"))</f>
        <v/>
      </c>
      <c r="C682">
        <f>IF(OR(SwitchUniverse&lt;&gt;"ON",$B682=""),"",BDP($B682,"NAME"))</f>
        <v/>
      </c>
      <c r="D682">
        <f>IF(OR(SwitchUniverse&lt;&gt;"ON",$B682=""),"",BDP($B682,"GICS_SECTOR_NAME"))</f>
        <v/>
      </c>
    </row>
    <row r="683" spans="2:4">
      <c r="B683">
        <f>IF(TRIM(A683&amp;"")="","",IF(RIGHT(TRIM(A683),7)=" Equity",TRIM(A683),TRIM(A683)&amp;" Equity"))</f>
        <v/>
      </c>
      <c r="C683">
        <f>IF(OR(SwitchUniverse&lt;&gt;"ON",$B683=""),"",BDP($B683,"NAME"))</f>
        <v/>
      </c>
      <c r="D683">
        <f>IF(OR(SwitchUniverse&lt;&gt;"ON",$B683=""),"",BDP($B683,"GICS_SECTOR_NAME"))</f>
        <v/>
      </c>
    </row>
    <row r="684" spans="2:4">
      <c r="B684">
        <f>IF(TRIM(A684&amp;"")="","",IF(RIGHT(TRIM(A684),7)=" Equity",TRIM(A684),TRIM(A684)&amp;" Equity"))</f>
        <v/>
      </c>
      <c r="C684">
        <f>IF(OR(SwitchUniverse&lt;&gt;"ON",$B684=""),"",BDP($B684,"NAME"))</f>
        <v/>
      </c>
      <c r="D684">
        <f>IF(OR(SwitchUniverse&lt;&gt;"ON",$B684=""),"",BDP($B684,"GICS_SECTOR_NAME"))</f>
        <v/>
      </c>
    </row>
    <row r="685" spans="2:4">
      <c r="B685">
        <f>IF(TRIM(A685&amp;"")="","",IF(RIGHT(TRIM(A685),7)=" Equity",TRIM(A685),TRIM(A685)&amp;" Equity"))</f>
        <v/>
      </c>
      <c r="C685">
        <f>IF(OR(SwitchUniverse&lt;&gt;"ON",$B685=""),"",BDP($B685,"NAME"))</f>
        <v/>
      </c>
      <c r="D685">
        <f>IF(OR(SwitchUniverse&lt;&gt;"ON",$B685=""),"",BDP($B685,"GICS_SECTOR_NAME"))</f>
        <v/>
      </c>
    </row>
    <row r="686" spans="2:4">
      <c r="B686">
        <f>IF(TRIM(A686&amp;"")="","",IF(RIGHT(TRIM(A686),7)=" Equity",TRIM(A686),TRIM(A686)&amp;" Equity"))</f>
        <v/>
      </c>
      <c r="C686">
        <f>IF(OR(SwitchUniverse&lt;&gt;"ON",$B686=""),"",BDP($B686,"NAME"))</f>
        <v/>
      </c>
      <c r="D686">
        <f>IF(OR(SwitchUniverse&lt;&gt;"ON",$B686=""),"",BDP($B686,"GICS_SECTOR_NAME"))</f>
        <v/>
      </c>
    </row>
    <row r="687" spans="2:4">
      <c r="B687">
        <f>IF(TRIM(A687&amp;"")="","",IF(RIGHT(TRIM(A687),7)=" Equity",TRIM(A687),TRIM(A687)&amp;" Equity"))</f>
        <v/>
      </c>
      <c r="C687">
        <f>IF(OR(SwitchUniverse&lt;&gt;"ON",$B687=""),"",BDP($B687,"NAME"))</f>
        <v/>
      </c>
      <c r="D687">
        <f>IF(OR(SwitchUniverse&lt;&gt;"ON",$B687=""),"",BDP($B687,"GICS_SECTOR_NAME"))</f>
        <v/>
      </c>
    </row>
    <row r="688" spans="2:4">
      <c r="B688">
        <f>IF(TRIM(A688&amp;"")="","",IF(RIGHT(TRIM(A688),7)=" Equity",TRIM(A688),TRIM(A688)&amp;" Equity"))</f>
        <v/>
      </c>
      <c r="C688">
        <f>IF(OR(SwitchUniverse&lt;&gt;"ON",$B688=""),"",BDP($B688,"NAME"))</f>
        <v/>
      </c>
      <c r="D688">
        <f>IF(OR(SwitchUniverse&lt;&gt;"ON",$B688=""),"",BDP($B688,"GICS_SECTOR_NAME"))</f>
        <v/>
      </c>
    </row>
    <row r="689" spans="2:4">
      <c r="B689">
        <f>IF(TRIM(A689&amp;"")="","",IF(RIGHT(TRIM(A689),7)=" Equity",TRIM(A689),TRIM(A689)&amp;" Equity"))</f>
        <v/>
      </c>
      <c r="C689">
        <f>IF(OR(SwitchUniverse&lt;&gt;"ON",$B689=""),"",BDP($B689,"NAME"))</f>
        <v/>
      </c>
      <c r="D689">
        <f>IF(OR(SwitchUniverse&lt;&gt;"ON",$B689=""),"",BDP($B689,"GICS_SECTOR_NAME"))</f>
        <v/>
      </c>
    </row>
    <row r="690" spans="2:4">
      <c r="B690">
        <f>IF(TRIM(A690&amp;"")="","",IF(RIGHT(TRIM(A690),7)=" Equity",TRIM(A690),TRIM(A690)&amp;" Equity"))</f>
        <v/>
      </c>
      <c r="C690">
        <f>IF(OR(SwitchUniverse&lt;&gt;"ON",$B690=""),"",BDP($B690,"NAME"))</f>
        <v/>
      </c>
      <c r="D690">
        <f>IF(OR(SwitchUniverse&lt;&gt;"ON",$B690=""),"",BDP($B690,"GICS_SECTOR_NAME"))</f>
        <v/>
      </c>
    </row>
    <row r="691" spans="2:4">
      <c r="B691">
        <f>IF(TRIM(A691&amp;"")="","",IF(RIGHT(TRIM(A691),7)=" Equity",TRIM(A691),TRIM(A691)&amp;" Equity"))</f>
        <v/>
      </c>
      <c r="C691">
        <f>IF(OR(SwitchUniverse&lt;&gt;"ON",$B691=""),"",BDP($B691,"NAME"))</f>
        <v/>
      </c>
      <c r="D691">
        <f>IF(OR(SwitchUniverse&lt;&gt;"ON",$B691=""),"",BDP($B691,"GICS_SECTOR_NAME"))</f>
        <v/>
      </c>
    </row>
    <row r="692" spans="2:4">
      <c r="B692">
        <f>IF(TRIM(A692&amp;"")="","",IF(RIGHT(TRIM(A692),7)=" Equity",TRIM(A692),TRIM(A692)&amp;" Equity"))</f>
        <v/>
      </c>
      <c r="C692">
        <f>IF(OR(SwitchUniverse&lt;&gt;"ON",$B692=""),"",BDP($B692,"NAME"))</f>
        <v/>
      </c>
      <c r="D692">
        <f>IF(OR(SwitchUniverse&lt;&gt;"ON",$B692=""),"",BDP($B692,"GICS_SECTOR_NAME"))</f>
        <v/>
      </c>
    </row>
    <row r="693" spans="2:4">
      <c r="B693">
        <f>IF(TRIM(A693&amp;"")="","",IF(RIGHT(TRIM(A693),7)=" Equity",TRIM(A693),TRIM(A693)&amp;" Equity"))</f>
        <v/>
      </c>
      <c r="C693">
        <f>IF(OR(SwitchUniverse&lt;&gt;"ON",$B693=""),"",BDP($B693,"NAME"))</f>
        <v/>
      </c>
      <c r="D693">
        <f>IF(OR(SwitchUniverse&lt;&gt;"ON",$B693=""),"",BDP($B693,"GICS_SECTOR_NAME"))</f>
        <v/>
      </c>
    </row>
    <row r="694" spans="2:4">
      <c r="B694">
        <f>IF(TRIM(A694&amp;"")="","",IF(RIGHT(TRIM(A694),7)=" Equity",TRIM(A694),TRIM(A694)&amp;" Equity"))</f>
        <v/>
      </c>
      <c r="C694">
        <f>IF(OR(SwitchUniverse&lt;&gt;"ON",$B694=""),"",BDP($B694,"NAME"))</f>
        <v/>
      </c>
      <c r="D694">
        <f>IF(OR(SwitchUniverse&lt;&gt;"ON",$B694=""),"",BDP($B694,"GICS_SECTOR_NAME"))</f>
        <v/>
      </c>
    </row>
    <row r="695" spans="2:4">
      <c r="B695">
        <f>IF(TRIM(A695&amp;"")="","",IF(RIGHT(TRIM(A695),7)=" Equity",TRIM(A695),TRIM(A695)&amp;" Equity"))</f>
        <v/>
      </c>
      <c r="C695">
        <f>IF(OR(SwitchUniverse&lt;&gt;"ON",$B695=""),"",BDP($B695,"NAME"))</f>
        <v/>
      </c>
      <c r="D695">
        <f>IF(OR(SwitchUniverse&lt;&gt;"ON",$B695=""),"",BDP($B695,"GICS_SECTOR_NAME"))</f>
        <v/>
      </c>
    </row>
    <row r="696" spans="2:4">
      <c r="B696">
        <f>IF(TRIM(A696&amp;"")="","",IF(RIGHT(TRIM(A696),7)=" Equity",TRIM(A696),TRIM(A696)&amp;" Equity"))</f>
        <v/>
      </c>
      <c r="C696">
        <f>IF(OR(SwitchUniverse&lt;&gt;"ON",$B696=""),"",BDP($B696,"NAME"))</f>
        <v/>
      </c>
      <c r="D696">
        <f>IF(OR(SwitchUniverse&lt;&gt;"ON",$B696=""),"",BDP($B696,"GICS_SECTOR_NAME"))</f>
        <v/>
      </c>
    </row>
    <row r="697" spans="2:4">
      <c r="B697">
        <f>IF(TRIM(A697&amp;"")="","",IF(RIGHT(TRIM(A697),7)=" Equity",TRIM(A697),TRIM(A697)&amp;" Equity"))</f>
        <v/>
      </c>
      <c r="C697">
        <f>IF(OR(SwitchUniverse&lt;&gt;"ON",$B697=""),"",BDP($B697,"NAME"))</f>
        <v/>
      </c>
      <c r="D697">
        <f>IF(OR(SwitchUniverse&lt;&gt;"ON",$B697=""),"",BDP($B697,"GICS_SECTOR_NAME"))</f>
        <v/>
      </c>
    </row>
    <row r="698" spans="2:4">
      <c r="B698">
        <f>IF(TRIM(A698&amp;"")="","",IF(RIGHT(TRIM(A698),7)=" Equity",TRIM(A698),TRIM(A698)&amp;" Equity"))</f>
        <v/>
      </c>
      <c r="C698">
        <f>IF(OR(SwitchUniverse&lt;&gt;"ON",$B698=""),"",BDP($B698,"NAME"))</f>
        <v/>
      </c>
      <c r="D698">
        <f>IF(OR(SwitchUniverse&lt;&gt;"ON",$B698=""),"",BDP($B698,"GICS_SECTOR_NAME"))</f>
        <v/>
      </c>
    </row>
    <row r="699" spans="2:4">
      <c r="B699">
        <f>IF(TRIM(A699&amp;"")="","",IF(RIGHT(TRIM(A699),7)=" Equity",TRIM(A699),TRIM(A699)&amp;" Equity"))</f>
        <v/>
      </c>
      <c r="C699">
        <f>IF(OR(SwitchUniverse&lt;&gt;"ON",$B699=""),"",BDP($B699,"NAME"))</f>
        <v/>
      </c>
      <c r="D699">
        <f>IF(OR(SwitchUniverse&lt;&gt;"ON",$B699=""),"",BDP($B699,"GICS_SECTOR_NAME"))</f>
        <v/>
      </c>
    </row>
    <row r="700" spans="2:4">
      <c r="B700">
        <f>IF(TRIM(A700&amp;"")="","",IF(RIGHT(TRIM(A700),7)=" Equity",TRIM(A700),TRIM(A700)&amp;" Equity"))</f>
        <v/>
      </c>
      <c r="C700">
        <f>IF(OR(SwitchUniverse&lt;&gt;"ON",$B700=""),"",BDP($B700,"NAME"))</f>
        <v/>
      </c>
      <c r="D700">
        <f>IF(OR(SwitchUniverse&lt;&gt;"ON",$B700=""),"",BDP($B700,"GICS_SECTOR_NAME"))</f>
        <v/>
      </c>
    </row>
    <row r="701" spans="2:4">
      <c r="B701">
        <f>IF(TRIM(A701&amp;"")="","",IF(RIGHT(TRIM(A701),7)=" Equity",TRIM(A701),TRIM(A701)&amp;" Equity"))</f>
        <v/>
      </c>
      <c r="C701">
        <f>IF(OR(SwitchUniverse&lt;&gt;"ON",$B701=""),"",BDP($B701,"NAME"))</f>
        <v/>
      </c>
      <c r="D701">
        <f>IF(OR(SwitchUniverse&lt;&gt;"ON",$B701=""),"",BDP($B701,"GICS_SECTOR_NAME"))</f>
        <v/>
      </c>
    </row>
    <row r="702" spans="2:4">
      <c r="B702">
        <f>IF(TRIM(A702&amp;"")="","",IF(RIGHT(TRIM(A702),7)=" Equity",TRIM(A702),TRIM(A702)&amp;" Equity"))</f>
        <v/>
      </c>
      <c r="C702">
        <f>IF(OR(SwitchUniverse&lt;&gt;"ON",$B702=""),"",BDP($B702,"NAME"))</f>
        <v/>
      </c>
      <c r="D702">
        <f>IF(OR(SwitchUniverse&lt;&gt;"ON",$B702=""),"",BDP($B702,"GICS_SECTOR_NAME"))</f>
        <v/>
      </c>
    </row>
    <row r="703" spans="2:4">
      <c r="B703">
        <f>IF(TRIM(A703&amp;"")="","",IF(RIGHT(TRIM(A703),7)=" Equity",TRIM(A703),TRIM(A703)&amp;" Equity"))</f>
        <v/>
      </c>
      <c r="C703">
        <f>IF(OR(SwitchUniverse&lt;&gt;"ON",$B703=""),"",BDP($B703,"NAME"))</f>
        <v/>
      </c>
      <c r="D703">
        <f>IF(OR(SwitchUniverse&lt;&gt;"ON",$B703=""),"",BDP($B703,"GICS_SECTOR_NAME"))</f>
        <v/>
      </c>
    </row>
    <row r="704" spans="2:4">
      <c r="B704">
        <f>IF(TRIM(A704&amp;"")="","",IF(RIGHT(TRIM(A704),7)=" Equity",TRIM(A704),TRIM(A704)&amp;" Equity"))</f>
        <v/>
      </c>
      <c r="C704">
        <f>IF(OR(SwitchUniverse&lt;&gt;"ON",$B704=""),"",BDP($B704,"NAME"))</f>
        <v/>
      </c>
      <c r="D704">
        <f>IF(OR(SwitchUniverse&lt;&gt;"ON",$B704=""),"",BDP($B704,"GICS_SECTOR_NAME"))</f>
        <v/>
      </c>
    </row>
    <row r="705" spans="2:4">
      <c r="B705">
        <f>IF(TRIM(A705&amp;"")="","",IF(RIGHT(TRIM(A705),7)=" Equity",TRIM(A705),TRIM(A705)&amp;" Equity"))</f>
        <v/>
      </c>
      <c r="C705">
        <f>IF(OR(SwitchUniverse&lt;&gt;"ON",$B705=""),"",BDP($B705,"NAME"))</f>
        <v/>
      </c>
      <c r="D705">
        <f>IF(OR(SwitchUniverse&lt;&gt;"ON",$B705=""),"",BDP($B705,"GICS_SECTOR_NAME"))</f>
        <v/>
      </c>
    </row>
    <row r="706" spans="2:4">
      <c r="B706">
        <f>IF(TRIM(A706&amp;"")="","",IF(RIGHT(TRIM(A706),7)=" Equity",TRIM(A706),TRIM(A706)&amp;" Equity"))</f>
        <v/>
      </c>
      <c r="C706">
        <f>IF(OR(SwitchUniverse&lt;&gt;"ON",$B706=""),"",BDP($B706,"NAME"))</f>
        <v/>
      </c>
      <c r="D706">
        <f>IF(OR(SwitchUniverse&lt;&gt;"ON",$B706=""),"",BDP($B706,"GICS_SECTOR_NAME"))</f>
        <v/>
      </c>
    </row>
    <row r="707" spans="2:4">
      <c r="B707">
        <f>IF(TRIM(A707&amp;"")="","",IF(RIGHT(TRIM(A707),7)=" Equity",TRIM(A707),TRIM(A707)&amp;" Equity"))</f>
        <v/>
      </c>
      <c r="C707">
        <f>IF(OR(SwitchUniverse&lt;&gt;"ON",$B707=""),"",BDP($B707,"NAME"))</f>
        <v/>
      </c>
      <c r="D707">
        <f>IF(OR(SwitchUniverse&lt;&gt;"ON",$B707=""),"",BDP($B707,"GICS_SECTOR_NAME"))</f>
        <v/>
      </c>
    </row>
    <row r="708" spans="2:4">
      <c r="B708">
        <f>IF(TRIM(A708&amp;"")="","",IF(RIGHT(TRIM(A708),7)=" Equity",TRIM(A708),TRIM(A708)&amp;" Equity"))</f>
        <v/>
      </c>
      <c r="C708">
        <f>IF(OR(SwitchUniverse&lt;&gt;"ON",$B708=""),"",BDP($B708,"NAME"))</f>
        <v/>
      </c>
      <c r="D708">
        <f>IF(OR(SwitchUniverse&lt;&gt;"ON",$B708=""),"",BDP($B708,"GICS_SECTOR_NAME"))</f>
        <v/>
      </c>
    </row>
    <row r="709" spans="2:4">
      <c r="B709">
        <f>IF(TRIM(A709&amp;"")="","",IF(RIGHT(TRIM(A709),7)=" Equity",TRIM(A709),TRIM(A709)&amp;" Equity"))</f>
        <v/>
      </c>
      <c r="C709">
        <f>IF(OR(SwitchUniverse&lt;&gt;"ON",$B709=""),"",BDP($B709,"NAME"))</f>
        <v/>
      </c>
      <c r="D709">
        <f>IF(OR(SwitchUniverse&lt;&gt;"ON",$B709=""),"",BDP($B709,"GICS_SECTOR_NAME"))</f>
        <v/>
      </c>
    </row>
    <row r="710" spans="2:4">
      <c r="B710">
        <f>IF(TRIM(A710&amp;"")="","",IF(RIGHT(TRIM(A710),7)=" Equity",TRIM(A710),TRIM(A710)&amp;" Equity"))</f>
        <v/>
      </c>
      <c r="C710">
        <f>IF(OR(SwitchUniverse&lt;&gt;"ON",$B710=""),"",BDP($B710,"NAME"))</f>
        <v/>
      </c>
      <c r="D710">
        <f>IF(OR(SwitchUniverse&lt;&gt;"ON",$B710=""),"",BDP($B710,"GICS_SECTOR_NAME"))</f>
        <v/>
      </c>
    </row>
    <row r="711" spans="2:4">
      <c r="B711">
        <f>IF(TRIM(A711&amp;"")="","",IF(RIGHT(TRIM(A711),7)=" Equity",TRIM(A711),TRIM(A711)&amp;" Equity"))</f>
        <v/>
      </c>
      <c r="C711">
        <f>IF(OR(SwitchUniverse&lt;&gt;"ON",$B711=""),"",BDP($B711,"NAME"))</f>
        <v/>
      </c>
      <c r="D711">
        <f>IF(OR(SwitchUniverse&lt;&gt;"ON",$B711=""),"",BDP($B711,"GICS_SECTOR_NAME"))</f>
        <v/>
      </c>
    </row>
    <row r="712" spans="2:4">
      <c r="B712">
        <f>IF(TRIM(A712&amp;"")="","",IF(RIGHT(TRIM(A712),7)=" Equity",TRIM(A712),TRIM(A712)&amp;" Equity"))</f>
        <v/>
      </c>
      <c r="C712">
        <f>IF(OR(SwitchUniverse&lt;&gt;"ON",$B712=""),"",BDP($B712,"NAME"))</f>
        <v/>
      </c>
      <c r="D712">
        <f>IF(OR(SwitchUniverse&lt;&gt;"ON",$B712=""),"",BDP($B712,"GICS_SECTOR_NAME"))</f>
        <v/>
      </c>
    </row>
    <row r="713" spans="2:4">
      <c r="B713">
        <f>IF(TRIM(A713&amp;"")="","",IF(RIGHT(TRIM(A713),7)=" Equity",TRIM(A713),TRIM(A713)&amp;" Equity"))</f>
        <v/>
      </c>
      <c r="C713">
        <f>IF(OR(SwitchUniverse&lt;&gt;"ON",$B713=""),"",BDP($B713,"NAME"))</f>
        <v/>
      </c>
      <c r="D713">
        <f>IF(OR(SwitchUniverse&lt;&gt;"ON",$B713=""),"",BDP($B713,"GICS_SECTOR_NAME"))</f>
        <v/>
      </c>
    </row>
    <row r="714" spans="2:4">
      <c r="B714">
        <f>IF(TRIM(A714&amp;"")="","",IF(RIGHT(TRIM(A714),7)=" Equity",TRIM(A714),TRIM(A714)&amp;" Equity"))</f>
        <v/>
      </c>
      <c r="C714">
        <f>IF(OR(SwitchUniverse&lt;&gt;"ON",$B714=""),"",BDP($B714,"NAME"))</f>
        <v/>
      </c>
      <c r="D714">
        <f>IF(OR(SwitchUniverse&lt;&gt;"ON",$B714=""),"",BDP($B714,"GICS_SECTOR_NAME"))</f>
        <v/>
      </c>
    </row>
    <row r="715" spans="2:4">
      <c r="B715">
        <f>IF(TRIM(A715&amp;"")="","",IF(RIGHT(TRIM(A715),7)=" Equity",TRIM(A715),TRIM(A715)&amp;" Equity"))</f>
        <v/>
      </c>
      <c r="C715">
        <f>IF(OR(SwitchUniverse&lt;&gt;"ON",$B715=""),"",BDP($B715,"NAME"))</f>
        <v/>
      </c>
      <c r="D715">
        <f>IF(OR(SwitchUniverse&lt;&gt;"ON",$B715=""),"",BDP($B715,"GICS_SECTOR_NAME"))</f>
        <v/>
      </c>
    </row>
    <row r="716" spans="2:4">
      <c r="B716">
        <f>IF(TRIM(A716&amp;"")="","",IF(RIGHT(TRIM(A716),7)=" Equity",TRIM(A716),TRIM(A716)&amp;" Equity"))</f>
        <v/>
      </c>
      <c r="C716">
        <f>IF(OR(SwitchUniverse&lt;&gt;"ON",$B716=""),"",BDP($B716,"NAME"))</f>
        <v/>
      </c>
      <c r="D716">
        <f>IF(OR(SwitchUniverse&lt;&gt;"ON",$B716=""),"",BDP($B716,"GICS_SECTOR_NAME"))</f>
        <v/>
      </c>
    </row>
    <row r="717" spans="2:4">
      <c r="B717">
        <f>IF(TRIM(A717&amp;"")="","",IF(RIGHT(TRIM(A717),7)=" Equity",TRIM(A717),TRIM(A717)&amp;" Equity"))</f>
        <v/>
      </c>
      <c r="C717">
        <f>IF(OR(SwitchUniverse&lt;&gt;"ON",$B717=""),"",BDP($B717,"NAME"))</f>
        <v/>
      </c>
      <c r="D717">
        <f>IF(OR(SwitchUniverse&lt;&gt;"ON",$B717=""),"",BDP($B717,"GICS_SECTOR_NAME"))</f>
        <v/>
      </c>
    </row>
    <row r="718" spans="2:4">
      <c r="B718">
        <f>IF(TRIM(A718&amp;"")="","",IF(RIGHT(TRIM(A718),7)=" Equity",TRIM(A718),TRIM(A718)&amp;" Equity"))</f>
        <v/>
      </c>
      <c r="C718">
        <f>IF(OR(SwitchUniverse&lt;&gt;"ON",$B718=""),"",BDP($B718,"NAME"))</f>
        <v/>
      </c>
      <c r="D718">
        <f>IF(OR(SwitchUniverse&lt;&gt;"ON",$B718=""),"",BDP($B718,"GICS_SECTOR_NAME"))</f>
        <v/>
      </c>
    </row>
    <row r="719" spans="2:4">
      <c r="B719">
        <f>IF(TRIM(A719&amp;"")="","",IF(RIGHT(TRIM(A719),7)=" Equity",TRIM(A719),TRIM(A719)&amp;" Equity"))</f>
        <v/>
      </c>
      <c r="C719">
        <f>IF(OR(SwitchUniverse&lt;&gt;"ON",$B719=""),"",BDP($B719,"NAME"))</f>
        <v/>
      </c>
      <c r="D719">
        <f>IF(OR(SwitchUniverse&lt;&gt;"ON",$B719=""),"",BDP($B719,"GICS_SECTOR_NAME"))</f>
        <v/>
      </c>
    </row>
    <row r="720" spans="2:4">
      <c r="B720">
        <f>IF(TRIM(A720&amp;"")="","",IF(RIGHT(TRIM(A720),7)=" Equity",TRIM(A720),TRIM(A720)&amp;" Equity"))</f>
        <v/>
      </c>
      <c r="C720">
        <f>IF(OR(SwitchUniverse&lt;&gt;"ON",$B720=""),"",BDP($B720,"NAME"))</f>
        <v/>
      </c>
      <c r="D720">
        <f>IF(OR(SwitchUniverse&lt;&gt;"ON",$B720=""),"",BDP($B720,"GICS_SECTOR_NAME"))</f>
        <v/>
      </c>
    </row>
    <row r="721" spans="2:4">
      <c r="B721">
        <f>IF(TRIM(A721&amp;"")="","",IF(RIGHT(TRIM(A721),7)=" Equity",TRIM(A721),TRIM(A721)&amp;" Equity"))</f>
        <v/>
      </c>
      <c r="C721">
        <f>IF(OR(SwitchUniverse&lt;&gt;"ON",$B721=""),"",BDP($B721,"NAME"))</f>
        <v/>
      </c>
      <c r="D721">
        <f>IF(OR(SwitchUniverse&lt;&gt;"ON",$B721=""),"",BDP($B721,"GICS_SECTOR_NAME"))</f>
        <v/>
      </c>
    </row>
    <row r="722" spans="2:4">
      <c r="B722">
        <f>IF(TRIM(A722&amp;"")="","",IF(RIGHT(TRIM(A722),7)=" Equity",TRIM(A722),TRIM(A722)&amp;" Equity"))</f>
        <v/>
      </c>
      <c r="C722">
        <f>IF(OR(SwitchUniverse&lt;&gt;"ON",$B722=""),"",BDP($B722,"NAME"))</f>
        <v/>
      </c>
      <c r="D722">
        <f>IF(OR(SwitchUniverse&lt;&gt;"ON",$B722=""),"",BDP($B722,"GICS_SECTOR_NAME"))</f>
        <v/>
      </c>
    </row>
    <row r="723" spans="2:4">
      <c r="B723">
        <f>IF(TRIM(A723&amp;"")="","",IF(RIGHT(TRIM(A723),7)=" Equity",TRIM(A723),TRIM(A723)&amp;" Equity"))</f>
        <v/>
      </c>
      <c r="C723">
        <f>IF(OR(SwitchUniverse&lt;&gt;"ON",$B723=""),"",BDP($B723,"NAME"))</f>
        <v/>
      </c>
      <c r="D723">
        <f>IF(OR(SwitchUniverse&lt;&gt;"ON",$B723=""),"",BDP($B723,"GICS_SECTOR_NAME"))</f>
        <v/>
      </c>
    </row>
    <row r="724" spans="2:4">
      <c r="B724">
        <f>IF(TRIM(A724&amp;"")="","",IF(RIGHT(TRIM(A724),7)=" Equity",TRIM(A724),TRIM(A724)&amp;" Equity"))</f>
        <v/>
      </c>
      <c r="C724">
        <f>IF(OR(SwitchUniverse&lt;&gt;"ON",$B724=""),"",BDP($B724,"NAME"))</f>
        <v/>
      </c>
      <c r="D724">
        <f>IF(OR(SwitchUniverse&lt;&gt;"ON",$B724=""),"",BDP($B724,"GICS_SECTOR_NAME"))</f>
        <v/>
      </c>
    </row>
    <row r="725" spans="2:4">
      <c r="B725">
        <f>IF(TRIM(A725&amp;"")="","",IF(RIGHT(TRIM(A725),7)=" Equity",TRIM(A725),TRIM(A725)&amp;" Equity"))</f>
        <v/>
      </c>
      <c r="C725">
        <f>IF(OR(SwitchUniverse&lt;&gt;"ON",$B725=""),"",BDP($B725,"NAME"))</f>
        <v/>
      </c>
      <c r="D725">
        <f>IF(OR(SwitchUniverse&lt;&gt;"ON",$B725=""),"",BDP($B725,"GICS_SECTOR_NAME"))</f>
        <v/>
      </c>
    </row>
    <row r="726" spans="2:4">
      <c r="B726">
        <f>IF(TRIM(A726&amp;"")="","",IF(RIGHT(TRIM(A726),7)=" Equity",TRIM(A726),TRIM(A726)&amp;" Equity"))</f>
        <v/>
      </c>
      <c r="C726">
        <f>IF(OR(SwitchUniverse&lt;&gt;"ON",$B726=""),"",BDP($B726,"NAME"))</f>
        <v/>
      </c>
      <c r="D726">
        <f>IF(OR(SwitchUniverse&lt;&gt;"ON",$B726=""),"",BDP($B726,"GICS_SECTOR_NAME"))</f>
        <v/>
      </c>
    </row>
    <row r="727" spans="2:4">
      <c r="B727">
        <f>IF(TRIM(A727&amp;"")="","",IF(RIGHT(TRIM(A727),7)=" Equity",TRIM(A727),TRIM(A727)&amp;" Equity"))</f>
        <v/>
      </c>
      <c r="C727">
        <f>IF(OR(SwitchUniverse&lt;&gt;"ON",$B727=""),"",BDP($B727,"NAME"))</f>
        <v/>
      </c>
      <c r="D727">
        <f>IF(OR(SwitchUniverse&lt;&gt;"ON",$B727=""),"",BDP($B727,"GICS_SECTOR_NAME"))</f>
        <v/>
      </c>
    </row>
    <row r="728" spans="2:4">
      <c r="B728">
        <f>IF(TRIM(A728&amp;"")="","",IF(RIGHT(TRIM(A728),7)=" Equity",TRIM(A728),TRIM(A728)&amp;" Equity"))</f>
        <v/>
      </c>
      <c r="C728">
        <f>IF(OR(SwitchUniverse&lt;&gt;"ON",$B728=""),"",BDP($B728,"NAME"))</f>
        <v/>
      </c>
      <c r="D728">
        <f>IF(OR(SwitchUniverse&lt;&gt;"ON",$B728=""),"",BDP($B728,"GICS_SECTOR_NAME"))</f>
        <v/>
      </c>
    </row>
    <row r="729" spans="2:4">
      <c r="B729">
        <f>IF(TRIM(A729&amp;"")="","",IF(RIGHT(TRIM(A729),7)=" Equity",TRIM(A729),TRIM(A729)&amp;" Equity"))</f>
        <v/>
      </c>
      <c r="C729">
        <f>IF(OR(SwitchUniverse&lt;&gt;"ON",$B729=""),"",BDP($B729,"NAME"))</f>
        <v/>
      </c>
      <c r="D729">
        <f>IF(OR(SwitchUniverse&lt;&gt;"ON",$B729=""),"",BDP($B729,"GICS_SECTOR_NAME"))</f>
        <v/>
      </c>
    </row>
    <row r="730" spans="2:4">
      <c r="B730">
        <f>IF(TRIM(A730&amp;"")="","",IF(RIGHT(TRIM(A730),7)=" Equity",TRIM(A730),TRIM(A730)&amp;" Equity"))</f>
        <v/>
      </c>
      <c r="C730">
        <f>IF(OR(SwitchUniverse&lt;&gt;"ON",$B730=""),"",BDP($B730,"NAME"))</f>
        <v/>
      </c>
      <c r="D730">
        <f>IF(OR(SwitchUniverse&lt;&gt;"ON",$B730=""),"",BDP($B730,"GICS_SECTOR_NAME"))</f>
        <v/>
      </c>
    </row>
    <row r="731" spans="2:4">
      <c r="B731">
        <f>IF(TRIM(A731&amp;"")="","",IF(RIGHT(TRIM(A731),7)=" Equity",TRIM(A731),TRIM(A731)&amp;" Equity"))</f>
        <v/>
      </c>
      <c r="C731">
        <f>IF(OR(SwitchUniverse&lt;&gt;"ON",$B731=""),"",BDP($B731,"NAME"))</f>
        <v/>
      </c>
      <c r="D731">
        <f>IF(OR(SwitchUniverse&lt;&gt;"ON",$B731=""),"",BDP($B731,"GICS_SECTOR_NAME"))</f>
        <v/>
      </c>
    </row>
    <row r="732" spans="2:4">
      <c r="B732">
        <f>IF(TRIM(A732&amp;"")="","",IF(RIGHT(TRIM(A732),7)=" Equity",TRIM(A732),TRIM(A732)&amp;" Equity"))</f>
        <v/>
      </c>
      <c r="C732">
        <f>IF(OR(SwitchUniverse&lt;&gt;"ON",$B732=""),"",BDP($B732,"NAME"))</f>
        <v/>
      </c>
      <c r="D732">
        <f>IF(OR(SwitchUniverse&lt;&gt;"ON",$B732=""),"",BDP($B732,"GICS_SECTOR_NAME"))</f>
        <v/>
      </c>
    </row>
    <row r="733" spans="2:4">
      <c r="B733">
        <f>IF(TRIM(A733&amp;"")="","",IF(RIGHT(TRIM(A733),7)=" Equity",TRIM(A733),TRIM(A733)&amp;" Equity"))</f>
        <v/>
      </c>
      <c r="C733">
        <f>IF(OR(SwitchUniverse&lt;&gt;"ON",$B733=""),"",BDP($B733,"NAME"))</f>
        <v/>
      </c>
      <c r="D733">
        <f>IF(OR(SwitchUniverse&lt;&gt;"ON",$B733=""),"",BDP($B733,"GICS_SECTOR_NAME"))</f>
        <v/>
      </c>
    </row>
    <row r="734" spans="2:4">
      <c r="B734">
        <f>IF(TRIM(A734&amp;"")="","",IF(RIGHT(TRIM(A734),7)=" Equity",TRIM(A734),TRIM(A734)&amp;" Equity"))</f>
        <v/>
      </c>
      <c r="C734">
        <f>IF(OR(SwitchUniverse&lt;&gt;"ON",$B734=""),"",BDP($B734,"NAME"))</f>
        <v/>
      </c>
      <c r="D734">
        <f>IF(OR(SwitchUniverse&lt;&gt;"ON",$B734=""),"",BDP($B734,"GICS_SECTOR_NAME"))</f>
        <v/>
      </c>
    </row>
    <row r="735" spans="2:4">
      <c r="B735">
        <f>IF(TRIM(A735&amp;"")="","",IF(RIGHT(TRIM(A735),7)=" Equity",TRIM(A735),TRIM(A735)&amp;" Equity"))</f>
        <v/>
      </c>
      <c r="C735">
        <f>IF(OR(SwitchUniverse&lt;&gt;"ON",$B735=""),"",BDP($B735,"NAME"))</f>
        <v/>
      </c>
      <c r="D735">
        <f>IF(OR(SwitchUniverse&lt;&gt;"ON",$B735=""),"",BDP($B735,"GICS_SECTOR_NAME"))</f>
        <v/>
      </c>
    </row>
    <row r="736" spans="2:4">
      <c r="B736">
        <f>IF(TRIM(A736&amp;"")="","",IF(RIGHT(TRIM(A736),7)=" Equity",TRIM(A736),TRIM(A736)&amp;" Equity"))</f>
        <v/>
      </c>
      <c r="C736">
        <f>IF(OR(SwitchUniverse&lt;&gt;"ON",$B736=""),"",BDP($B736,"NAME"))</f>
        <v/>
      </c>
      <c r="D736">
        <f>IF(OR(SwitchUniverse&lt;&gt;"ON",$B736=""),"",BDP($B736,"GICS_SECTOR_NAME"))</f>
        <v/>
      </c>
    </row>
    <row r="737" spans="2:4">
      <c r="B737">
        <f>IF(TRIM(A737&amp;"")="","",IF(RIGHT(TRIM(A737),7)=" Equity",TRIM(A737),TRIM(A737)&amp;" Equity"))</f>
        <v/>
      </c>
      <c r="C737">
        <f>IF(OR(SwitchUniverse&lt;&gt;"ON",$B737=""),"",BDP($B737,"NAME"))</f>
        <v/>
      </c>
      <c r="D737">
        <f>IF(OR(SwitchUniverse&lt;&gt;"ON",$B737=""),"",BDP($B737,"GICS_SECTOR_NAME"))</f>
        <v/>
      </c>
    </row>
    <row r="738" spans="2:4">
      <c r="B738">
        <f>IF(TRIM(A738&amp;"")="","",IF(RIGHT(TRIM(A738),7)=" Equity",TRIM(A738),TRIM(A738)&amp;" Equity"))</f>
        <v/>
      </c>
      <c r="C738">
        <f>IF(OR(SwitchUniverse&lt;&gt;"ON",$B738=""),"",BDP($B738,"NAME"))</f>
        <v/>
      </c>
      <c r="D738">
        <f>IF(OR(SwitchUniverse&lt;&gt;"ON",$B738=""),"",BDP($B738,"GICS_SECTOR_NAME"))</f>
        <v/>
      </c>
    </row>
    <row r="739" spans="2:4">
      <c r="B739">
        <f>IF(TRIM(A739&amp;"")="","",IF(RIGHT(TRIM(A739),7)=" Equity",TRIM(A739),TRIM(A739)&amp;" Equity"))</f>
        <v/>
      </c>
      <c r="C739">
        <f>IF(OR(SwitchUniverse&lt;&gt;"ON",$B739=""),"",BDP($B739,"NAME"))</f>
        <v/>
      </c>
      <c r="D739">
        <f>IF(OR(SwitchUniverse&lt;&gt;"ON",$B739=""),"",BDP($B739,"GICS_SECTOR_NAME"))</f>
        <v/>
      </c>
    </row>
    <row r="740" spans="2:4">
      <c r="B740">
        <f>IF(TRIM(A740&amp;"")="","",IF(RIGHT(TRIM(A740),7)=" Equity",TRIM(A740),TRIM(A740)&amp;" Equity"))</f>
        <v/>
      </c>
      <c r="C740">
        <f>IF(OR(SwitchUniverse&lt;&gt;"ON",$B740=""),"",BDP($B740,"NAME"))</f>
        <v/>
      </c>
      <c r="D740">
        <f>IF(OR(SwitchUniverse&lt;&gt;"ON",$B740=""),"",BDP($B740,"GICS_SECTOR_NAME"))</f>
        <v/>
      </c>
    </row>
    <row r="741" spans="2:4">
      <c r="B741">
        <f>IF(TRIM(A741&amp;"")="","",IF(RIGHT(TRIM(A741),7)=" Equity",TRIM(A741),TRIM(A741)&amp;" Equity"))</f>
        <v/>
      </c>
      <c r="C741">
        <f>IF(OR(SwitchUniverse&lt;&gt;"ON",$B741=""),"",BDP($B741,"NAME"))</f>
        <v/>
      </c>
      <c r="D741">
        <f>IF(OR(SwitchUniverse&lt;&gt;"ON",$B741=""),"",BDP($B741,"GICS_SECTOR_NAME"))</f>
        <v/>
      </c>
    </row>
    <row r="742" spans="2:4">
      <c r="B742">
        <f>IF(TRIM(A742&amp;"")="","",IF(RIGHT(TRIM(A742),7)=" Equity",TRIM(A742),TRIM(A742)&amp;" Equity"))</f>
        <v/>
      </c>
      <c r="C742">
        <f>IF(OR(SwitchUniverse&lt;&gt;"ON",$B742=""),"",BDP($B742,"NAME"))</f>
        <v/>
      </c>
      <c r="D742">
        <f>IF(OR(SwitchUniverse&lt;&gt;"ON",$B742=""),"",BDP($B742,"GICS_SECTOR_NAME"))</f>
        <v/>
      </c>
    </row>
    <row r="743" spans="2:4">
      <c r="B743">
        <f>IF(TRIM(A743&amp;"")="","",IF(RIGHT(TRIM(A743),7)=" Equity",TRIM(A743),TRIM(A743)&amp;" Equity"))</f>
        <v/>
      </c>
      <c r="C743">
        <f>IF(OR(SwitchUniverse&lt;&gt;"ON",$B743=""),"",BDP($B743,"NAME"))</f>
        <v/>
      </c>
      <c r="D743">
        <f>IF(OR(SwitchUniverse&lt;&gt;"ON",$B743=""),"",BDP($B743,"GICS_SECTOR_NAME"))</f>
        <v/>
      </c>
    </row>
    <row r="744" spans="2:4">
      <c r="B744">
        <f>IF(TRIM(A744&amp;"")="","",IF(RIGHT(TRIM(A744),7)=" Equity",TRIM(A744),TRIM(A744)&amp;" Equity"))</f>
        <v/>
      </c>
      <c r="C744">
        <f>IF(OR(SwitchUniverse&lt;&gt;"ON",$B744=""),"",BDP($B744,"NAME"))</f>
        <v/>
      </c>
      <c r="D744">
        <f>IF(OR(SwitchUniverse&lt;&gt;"ON",$B744=""),"",BDP($B744,"GICS_SECTOR_NAME"))</f>
        <v/>
      </c>
    </row>
    <row r="745" spans="2:4">
      <c r="B745">
        <f>IF(TRIM(A745&amp;"")="","",IF(RIGHT(TRIM(A745),7)=" Equity",TRIM(A745),TRIM(A745)&amp;" Equity"))</f>
        <v/>
      </c>
      <c r="C745">
        <f>IF(OR(SwitchUniverse&lt;&gt;"ON",$B745=""),"",BDP($B745,"NAME"))</f>
        <v/>
      </c>
      <c r="D745">
        <f>IF(OR(SwitchUniverse&lt;&gt;"ON",$B745=""),"",BDP($B745,"GICS_SECTOR_NAME"))</f>
        <v/>
      </c>
    </row>
    <row r="746" spans="2:4">
      <c r="B746">
        <f>IF(TRIM(A746&amp;"")="","",IF(RIGHT(TRIM(A746),7)=" Equity",TRIM(A746),TRIM(A746)&amp;" Equity"))</f>
        <v/>
      </c>
      <c r="C746">
        <f>IF(OR(SwitchUniverse&lt;&gt;"ON",$B746=""),"",BDP($B746,"NAME"))</f>
        <v/>
      </c>
      <c r="D746">
        <f>IF(OR(SwitchUniverse&lt;&gt;"ON",$B746=""),"",BDP($B746,"GICS_SECTOR_NAME"))</f>
        <v/>
      </c>
    </row>
    <row r="747" spans="2:4">
      <c r="B747">
        <f>IF(TRIM(A747&amp;"")="","",IF(RIGHT(TRIM(A747),7)=" Equity",TRIM(A747),TRIM(A747)&amp;" Equity"))</f>
        <v/>
      </c>
      <c r="C747">
        <f>IF(OR(SwitchUniverse&lt;&gt;"ON",$B747=""),"",BDP($B747,"NAME"))</f>
        <v/>
      </c>
      <c r="D747">
        <f>IF(OR(SwitchUniverse&lt;&gt;"ON",$B747=""),"",BDP($B747,"GICS_SECTOR_NAME"))</f>
        <v/>
      </c>
    </row>
    <row r="748" spans="2:4">
      <c r="B748">
        <f>IF(TRIM(A748&amp;"")="","",IF(RIGHT(TRIM(A748),7)=" Equity",TRIM(A748),TRIM(A748)&amp;" Equity"))</f>
        <v/>
      </c>
      <c r="C748">
        <f>IF(OR(SwitchUniverse&lt;&gt;"ON",$B748=""),"",BDP($B748,"NAME"))</f>
        <v/>
      </c>
      <c r="D748">
        <f>IF(OR(SwitchUniverse&lt;&gt;"ON",$B748=""),"",BDP($B748,"GICS_SECTOR_NAME"))</f>
        <v/>
      </c>
    </row>
    <row r="749" spans="2:4">
      <c r="B749">
        <f>IF(TRIM(A749&amp;"")="","",IF(RIGHT(TRIM(A749),7)=" Equity",TRIM(A749),TRIM(A749)&amp;" Equity"))</f>
        <v/>
      </c>
      <c r="C749">
        <f>IF(OR(SwitchUniverse&lt;&gt;"ON",$B749=""),"",BDP($B749,"NAME"))</f>
        <v/>
      </c>
      <c r="D749">
        <f>IF(OR(SwitchUniverse&lt;&gt;"ON",$B749=""),"",BDP($B749,"GICS_SECTOR_NAME"))</f>
        <v/>
      </c>
    </row>
    <row r="750" spans="2:4">
      <c r="B750">
        <f>IF(TRIM(A750&amp;"")="","",IF(RIGHT(TRIM(A750),7)=" Equity",TRIM(A750),TRIM(A750)&amp;" Equity"))</f>
        <v/>
      </c>
      <c r="C750">
        <f>IF(OR(SwitchUniverse&lt;&gt;"ON",$B750=""),"",BDP($B750,"NAME"))</f>
        <v/>
      </c>
      <c r="D750">
        <f>IF(OR(SwitchUniverse&lt;&gt;"ON",$B750=""),"",BDP($B750,"GICS_SECTOR_NAME"))</f>
        <v/>
      </c>
    </row>
    <row r="751" spans="2:4">
      <c r="B751">
        <f>IF(TRIM(A751&amp;"")="","",IF(RIGHT(TRIM(A751),7)=" Equity",TRIM(A751),TRIM(A751)&amp;" Equity"))</f>
        <v/>
      </c>
      <c r="C751">
        <f>IF(OR(SwitchUniverse&lt;&gt;"ON",$B751=""),"",BDP($B751,"NAME"))</f>
        <v/>
      </c>
      <c r="D751">
        <f>IF(OR(SwitchUniverse&lt;&gt;"ON",$B751=""),"",BDP($B751,"GICS_SECTOR_NAME"))</f>
        <v/>
      </c>
    </row>
    <row r="752" spans="2:4">
      <c r="B752">
        <f>IF(TRIM(A752&amp;"")="","",IF(RIGHT(TRIM(A752),7)=" Equity",TRIM(A752),TRIM(A752)&amp;" Equity"))</f>
        <v/>
      </c>
      <c r="C752">
        <f>IF(OR(SwitchUniverse&lt;&gt;"ON",$B752=""),"",BDP($B752,"NAME"))</f>
        <v/>
      </c>
      <c r="D752">
        <f>IF(OR(SwitchUniverse&lt;&gt;"ON",$B752=""),"",BDP($B752,"GICS_SECTOR_NAME"))</f>
        <v/>
      </c>
    </row>
    <row r="753" spans="2:4">
      <c r="B753">
        <f>IF(TRIM(A753&amp;"")="","",IF(RIGHT(TRIM(A753),7)=" Equity",TRIM(A753),TRIM(A753)&amp;" Equity"))</f>
        <v/>
      </c>
      <c r="C753">
        <f>IF(OR(SwitchUniverse&lt;&gt;"ON",$B753=""),"",BDP($B753,"NAME"))</f>
        <v/>
      </c>
      <c r="D753">
        <f>IF(OR(SwitchUniverse&lt;&gt;"ON",$B753=""),"",BDP($B753,"GICS_SECTOR_NAME"))</f>
        <v/>
      </c>
    </row>
    <row r="754" spans="2:4">
      <c r="B754">
        <f>IF(TRIM(A754&amp;"")="","",IF(RIGHT(TRIM(A754),7)=" Equity",TRIM(A754),TRIM(A754)&amp;" Equity"))</f>
        <v/>
      </c>
      <c r="C754">
        <f>IF(OR(SwitchUniverse&lt;&gt;"ON",$B754=""),"",BDP($B754,"NAME"))</f>
        <v/>
      </c>
      <c r="D754">
        <f>IF(OR(SwitchUniverse&lt;&gt;"ON",$B754=""),"",BDP($B754,"GICS_SECTOR_NAME"))</f>
        <v/>
      </c>
    </row>
    <row r="755" spans="2:4">
      <c r="B755">
        <f>IF(TRIM(A755&amp;"")="","",IF(RIGHT(TRIM(A755),7)=" Equity",TRIM(A755),TRIM(A755)&amp;" Equity"))</f>
        <v/>
      </c>
      <c r="C755">
        <f>IF(OR(SwitchUniverse&lt;&gt;"ON",$B755=""),"",BDP($B755,"NAME"))</f>
        <v/>
      </c>
      <c r="D755">
        <f>IF(OR(SwitchUniverse&lt;&gt;"ON",$B755=""),"",BDP($B755,"GICS_SECTOR_NAME"))</f>
        <v/>
      </c>
    </row>
    <row r="756" spans="2:4">
      <c r="B756">
        <f>IF(TRIM(A756&amp;"")="","",IF(RIGHT(TRIM(A756),7)=" Equity",TRIM(A756),TRIM(A756)&amp;" Equity"))</f>
        <v/>
      </c>
      <c r="C756">
        <f>IF(OR(SwitchUniverse&lt;&gt;"ON",$B756=""),"",BDP($B756,"NAME"))</f>
        <v/>
      </c>
      <c r="D756">
        <f>IF(OR(SwitchUniverse&lt;&gt;"ON",$B756=""),"",BDP($B756,"GICS_SECTOR_NAME"))</f>
        <v/>
      </c>
    </row>
    <row r="757" spans="2:4">
      <c r="B757">
        <f>IF(TRIM(A757&amp;"")="","",IF(RIGHT(TRIM(A757),7)=" Equity",TRIM(A757),TRIM(A757)&amp;" Equity"))</f>
        <v/>
      </c>
      <c r="C757">
        <f>IF(OR(SwitchUniverse&lt;&gt;"ON",$B757=""),"",BDP($B757,"NAME"))</f>
        <v/>
      </c>
      <c r="D757">
        <f>IF(OR(SwitchUniverse&lt;&gt;"ON",$B757=""),"",BDP($B757,"GICS_SECTOR_NAME"))</f>
        <v/>
      </c>
    </row>
    <row r="758" spans="2:4">
      <c r="B758">
        <f>IF(TRIM(A758&amp;"")="","",IF(RIGHT(TRIM(A758),7)=" Equity",TRIM(A758),TRIM(A758)&amp;" Equity"))</f>
        <v/>
      </c>
      <c r="C758">
        <f>IF(OR(SwitchUniverse&lt;&gt;"ON",$B758=""),"",BDP($B758,"NAME"))</f>
        <v/>
      </c>
      <c r="D758">
        <f>IF(OR(SwitchUniverse&lt;&gt;"ON",$B758=""),"",BDP($B758,"GICS_SECTOR_NAME"))</f>
        <v/>
      </c>
    </row>
    <row r="759" spans="2:4">
      <c r="B759">
        <f>IF(TRIM(A759&amp;"")="","",IF(RIGHT(TRIM(A759),7)=" Equity",TRIM(A759),TRIM(A759)&amp;" Equity"))</f>
        <v/>
      </c>
      <c r="C759">
        <f>IF(OR(SwitchUniverse&lt;&gt;"ON",$B759=""),"",BDP($B759,"NAME"))</f>
        <v/>
      </c>
      <c r="D759">
        <f>IF(OR(SwitchUniverse&lt;&gt;"ON",$B759=""),"",BDP($B759,"GICS_SECTOR_NAME"))</f>
        <v/>
      </c>
    </row>
    <row r="760" spans="2:4">
      <c r="B760">
        <f>IF(TRIM(A760&amp;"")="","",IF(RIGHT(TRIM(A760),7)=" Equity",TRIM(A760),TRIM(A760)&amp;" Equity"))</f>
        <v/>
      </c>
      <c r="C760">
        <f>IF(OR(SwitchUniverse&lt;&gt;"ON",$B760=""),"",BDP($B760,"NAME"))</f>
        <v/>
      </c>
      <c r="D760">
        <f>IF(OR(SwitchUniverse&lt;&gt;"ON",$B760=""),"",BDP($B760,"GICS_SECTOR_NAME"))</f>
        <v/>
      </c>
    </row>
    <row r="761" spans="2:4">
      <c r="B761">
        <f>IF(TRIM(A761&amp;"")="","",IF(RIGHT(TRIM(A761),7)=" Equity",TRIM(A761),TRIM(A761)&amp;" Equity"))</f>
        <v/>
      </c>
      <c r="C761">
        <f>IF(OR(SwitchUniverse&lt;&gt;"ON",$B761=""),"",BDP($B761,"NAME"))</f>
        <v/>
      </c>
      <c r="D761">
        <f>IF(OR(SwitchUniverse&lt;&gt;"ON",$B761=""),"",BDP($B761,"GICS_SECTOR_NAME"))</f>
        <v/>
      </c>
    </row>
    <row r="762" spans="2:4">
      <c r="B762">
        <f>IF(TRIM(A762&amp;"")="","",IF(RIGHT(TRIM(A762),7)=" Equity",TRIM(A762),TRIM(A762)&amp;" Equity"))</f>
        <v/>
      </c>
      <c r="C762">
        <f>IF(OR(SwitchUniverse&lt;&gt;"ON",$B762=""),"",BDP($B762,"NAME"))</f>
        <v/>
      </c>
      <c r="D762">
        <f>IF(OR(SwitchUniverse&lt;&gt;"ON",$B762=""),"",BDP($B762,"GICS_SECTOR_NAME"))</f>
        <v/>
      </c>
    </row>
    <row r="763" spans="2:4">
      <c r="B763">
        <f>IF(TRIM(A763&amp;"")="","",IF(RIGHT(TRIM(A763),7)=" Equity",TRIM(A763),TRIM(A763)&amp;" Equity"))</f>
        <v/>
      </c>
      <c r="C763">
        <f>IF(OR(SwitchUniverse&lt;&gt;"ON",$B763=""),"",BDP($B763,"NAME"))</f>
        <v/>
      </c>
      <c r="D763">
        <f>IF(OR(SwitchUniverse&lt;&gt;"ON",$B763=""),"",BDP($B763,"GICS_SECTOR_NAME"))</f>
        <v/>
      </c>
    </row>
    <row r="764" spans="2:4">
      <c r="B764">
        <f>IF(TRIM(A764&amp;"")="","",IF(RIGHT(TRIM(A764),7)=" Equity",TRIM(A764),TRIM(A764)&amp;" Equity"))</f>
        <v/>
      </c>
      <c r="C764">
        <f>IF(OR(SwitchUniverse&lt;&gt;"ON",$B764=""),"",BDP($B764,"NAME"))</f>
        <v/>
      </c>
      <c r="D764">
        <f>IF(OR(SwitchUniverse&lt;&gt;"ON",$B764=""),"",BDP($B764,"GICS_SECTOR_NAME"))</f>
        <v/>
      </c>
    </row>
    <row r="765" spans="2:4">
      <c r="B765">
        <f>IF(TRIM(A765&amp;"")="","",IF(RIGHT(TRIM(A765),7)=" Equity",TRIM(A765),TRIM(A765)&amp;" Equity"))</f>
        <v/>
      </c>
      <c r="C765">
        <f>IF(OR(SwitchUniverse&lt;&gt;"ON",$B765=""),"",BDP($B765,"NAME"))</f>
        <v/>
      </c>
      <c r="D765">
        <f>IF(OR(SwitchUniverse&lt;&gt;"ON",$B765=""),"",BDP($B765,"GICS_SECTOR_NAME"))</f>
        <v/>
      </c>
    </row>
    <row r="766" spans="2:4">
      <c r="B766">
        <f>IF(TRIM(A766&amp;"")="","",IF(RIGHT(TRIM(A766),7)=" Equity",TRIM(A766),TRIM(A766)&amp;" Equity"))</f>
        <v/>
      </c>
      <c r="C766">
        <f>IF(OR(SwitchUniverse&lt;&gt;"ON",$B766=""),"",BDP($B766,"NAME"))</f>
        <v/>
      </c>
      <c r="D766">
        <f>IF(OR(SwitchUniverse&lt;&gt;"ON",$B766=""),"",BDP($B766,"GICS_SECTOR_NAME"))</f>
        <v/>
      </c>
    </row>
    <row r="767" spans="2:4">
      <c r="B767">
        <f>IF(TRIM(A767&amp;"")="","",IF(RIGHT(TRIM(A767),7)=" Equity",TRIM(A767),TRIM(A767)&amp;" Equity"))</f>
        <v/>
      </c>
      <c r="C767">
        <f>IF(OR(SwitchUniverse&lt;&gt;"ON",$B767=""),"",BDP($B767,"NAME"))</f>
        <v/>
      </c>
      <c r="D767">
        <f>IF(OR(SwitchUniverse&lt;&gt;"ON",$B767=""),"",BDP($B767,"GICS_SECTOR_NAME"))</f>
        <v/>
      </c>
    </row>
    <row r="768" spans="2:4">
      <c r="B768">
        <f>IF(TRIM(A768&amp;"")="","",IF(RIGHT(TRIM(A768),7)=" Equity",TRIM(A768),TRIM(A768)&amp;" Equity"))</f>
        <v/>
      </c>
      <c r="C768">
        <f>IF(OR(SwitchUniverse&lt;&gt;"ON",$B768=""),"",BDP($B768,"NAME"))</f>
        <v/>
      </c>
      <c r="D768">
        <f>IF(OR(SwitchUniverse&lt;&gt;"ON",$B768=""),"",BDP($B768,"GICS_SECTOR_NAME"))</f>
        <v/>
      </c>
    </row>
    <row r="769" spans="2:4">
      <c r="B769">
        <f>IF(TRIM(A769&amp;"")="","",IF(RIGHT(TRIM(A769),7)=" Equity",TRIM(A769),TRIM(A769)&amp;" Equity"))</f>
        <v/>
      </c>
      <c r="C769">
        <f>IF(OR(SwitchUniverse&lt;&gt;"ON",$B769=""),"",BDP($B769,"NAME"))</f>
        <v/>
      </c>
      <c r="D769">
        <f>IF(OR(SwitchUniverse&lt;&gt;"ON",$B769=""),"",BDP($B769,"GICS_SECTOR_NAME"))</f>
        <v/>
      </c>
    </row>
    <row r="770" spans="2:4">
      <c r="B770">
        <f>IF(TRIM(A770&amp;"")="","",IF(RIGHT(TRIM(A770),7)=" Equity",TRIM(A770),TRIM(A770)&amp;" Equity"))</f>
        <v/>
      </c>
      <c r="C770">
        <f>IF(OR(SwitchUniverse&lt;&gt;"ON",$B770=""),"",BDP($B770,"NAME"))</f>
        <v/>
      </c>
      <c r="D770">
        <f>IF(OR(SwitchUniverse&lt;&gt;"ON",$B770=""),"",BDP($B770,"GICS_SECTOR_NAME"))</f>
        <v/>
      </c>
    </row>
    <row r="771" spans="2:4">
      <c r="B771">
        <f>IF(TRIM(A771&amp;"")="","",IF(RIGHT(TRIM(A771),7)=" Equity",TRIM(A771),TRIM(A771)&amp;" Equity"))</f>
        <v/>
      </c>
      <c r="C771">
        <f>IF(OR(SwitchUniverse&lt;&gt;"ON",$B771=""),"",BDP($B771,"NAME"))</f>
        <v/>
      </c>
      <c r="D771">
        <f>IF(OR(SwitchUniverse&lt;&gt;"ON",$B771=""),"",BDP($B771,"GICS_SECTOR_NAME"))</f>
        <v/>
      </c>
    </row>
    <row r="772" spans="2:4">
      <c r="B772">
        <f>IF(TRIM(A772&amp;"")="","",IF(RIGHT(TRIM(A772),7)=" Equity",TRIM(A772),TRIM(A772)&amp;" Equity"))</f>
        <v/>
      </c>
      <c r="C772">
        <f>IF(OR(SwitchUniverse&lt;&gt;"ON",$B772=""),"",BDP($B772,"NAME"))</f>
        <v/>
      </c>
      <c r="D772">
        <f>IF(OR(SwitchUniverse&lt;&gt;"ON",$B772=""),"",BDP($B772,"GICS_SECTOR_NAME"))</f>
        <v/>
      </c>
    </row>
    <row r="773" spans="2:4">
      <c r="B773">
        <f>IF(TRIM(A773&amp;"")="","",IF(RIGHT(TRIM(A773),7)=" Equity",TRIM(A773),TRIM(A773)&amp;" Equity"))</f>
        <v/>
      </c>
      <c r="C773">
        <f>IF(OR(SwitchUniverse&lt;&gt;"ON",$B773=""),"",BDP($B773,"NAME"))</f>
        <v/>
      </c>
      <c r="D773">
        <f>IF(OR(SwitchUniverse&lt;&gt;"ON",$B773=""),"",BDP($B773,"GICS_SECTOR_NAME"))</f>
        <v/>
      </c>
    </row>
    <row r="774" spans="2:4">
      <c r="B774">
        <f>IF(TRIM(A774&amp;"")="","",IF(RIGHT(TRIM(A774),7)=" Equity",TRIM(A774),TRIM(A774)&amp;" Equity"))</f>
        <v/>
      </c>
      <c r="C774">
        <f>IF(OR(SwitchUniverse&lt;&gt;"ON",$B774=""),"",BDP($B774,"NAME"))</f>
        <v/>
      </c>
      <c r="D774">
        <f>IF(OR(SwitchUniverse&lt;&gt;"ON",$B774=""),"",BDP($B774,"GICS_SECTOR_NAME"))</f>
        <v/>
      </c>
    </row>
    <row r="775" spans="2:4">
      <c r="B775">
        <f>IF(TRIM(A775&amp;"")="","",IF(RIGHT(TRIM(A775),7)=" Equity",TRIM(A775),TRIM(A775)&amp;" Equity"))</f>
        <v/>
      </c>
      <c r="C775">
        <f>IF(OR(SwitchUniverse&lt;&gt;"ON",$B775=""),"",BDP($B775,"NAME"))</f>
        <v/>
      </c>
      <c r="D775">
        <f>IF(OR(SwitchUniverse&lt;&gt;"ON",$B775=""),"",BDP($B775,"GICS_SECTOR_NAME"))</f>
        <v/>
      </c>
    </row>
    <row r="776" spans="2:4">
      <c r="B776">
        <f>IF(TRIM(A776&amp;"")="","",IF(RIGHT(TRIM(A776),7)=" Equity",TRIM(A776),TRIM(A776)&amp;" Equity"))</f>
        <v/>
      </c>
      <c r="C776">
        <f>IF(OR(SwitchUniverse&lt;&gt;"ON",$B776=""),"",BDP($B776,"NAME"))</f>
        <v/>
      </c>
      <c r="D776">
        <f>IF(OR(SwitchUniverse&lt;&gt;"ON",$B776=""),"",BDP($B776,"GICS_SECTOR_NAME"))</f>
        <v/>
      </c>
    </row>
    <row r="777" spans="2:4">
      <c r="B777">
        <f>IF(TRIM(A777&amp;"")="","",IF(RIGHT(TRIM(A777),7)=" Equity",TRIM(A777),TRIM(A777)&amp;" Equity"))</f>
        <v/>
      </c>
      <c r="C777">
        <f>IF(OR(SwitchUniverse&lt;&gt;"ON",$B777=""),"",BDP($B777,"NAME"))</f>
        <v/>
      </c>
      <c r="D777">
        <f>IF(OR(SwitchUniverse&lt;&gt;"ON",$B777=""),"",BDP($B777,"GICS_SECTOR_NAME"))</f>
        <v/>
      </c>
    </row>
    <row r="778" spans="2:4">
      <c r="B778">
        <f>IF(TRIM(A778&amp;"")="","",IF(RIGHT(TRIM(A778),7)=" Equity",TRIM(A778),TRIM(A778)&amp;" Equity"))</f>
        <v/>
      </c>
      <c r="C778">
        <f>IF(OR(SwitchUniverse&lt;&gt;"ON",$B778=""),"",BDP($B778,"NAME"))</f>
        <v/>
      </c>
      <c r="D778">
        <f>IF(OR(SwitchUniverse&lt;&gt;"ON",$B778=""),"",BDP($B778,"GICS_SECTOR_NAME"))</f>
        <v/>
      </c>
    </row>
    <row r="779" spans="2:4">
      <c r="B779">
        <f>IF(TRIM(A779&amp;"")="","",IF(RIGHT(TRIM(A779),7)=" Equity",TRIM(A779),TRIM(A779)&amp;" Equity"))</f>
        <v/>
      </c>
      <c r="C779">
        <f>IF(OR(SwitchUniverse&lt;&gt;"ON",$B779=""),"",BDP($B779,"NAME"))</f>
        <v/>
      </c>
      <c r="D779">
        <f>IF(OR(SwitchUniverse&lt;&gt;"ON",$B779=""),"",BDP($B779,"GICS_SECTOR_NAME"))</f>
        <v/>
      </c>
    </row>
    <row r="780" spans="2:4">
      <c r="B780">
        <f>IF(TRIM(A780&amp;"")="","",IF(RIGHT(TRIM(A780),7)=" Equity",TRIM(A780),TRIM(A780)&amp;" Equity"))</f>
        <v/>
      </c>
      <c r="C780">
        <f>IF(OR(SwitchUniverse&lt;&gt;"ON",$B780=""),"",BDP($B780,"NAME"))</f>
        <v/>
      </c>
      <c r="D780">
        <f>IF(OR(SwitchUniverse&lt;&gt;"ON",$B780=""),"",BDP($B780,"GICS_SECTOR_NAME"))</f>
        <v/>
      </c>
    </row>
    <row r="781" spans="2:4">
      <c r="B781">
        <f>IF(TRIM(A781&amp;"")="","",IF(RIGHT(TRIM(A781),7)=" Equity",TRIM(A781),TRIM(A781)&amp;" Equity"))</f>
        <v/>
      </c>
      <c r="C781">
        <f>IF(OR(SwitchUniverse&lt;&gt;"ON",$B781=""),"",BDP($B781,"NAME"))</f>
        <v/>
      </c>
      <c r="D781">
        <f>IF(OR(SwitchUniverse&lt;&gt;"ON",$B781=""),"",BDP($B781,"GICS_SECTOR_NAME"))</f>
        <v/>
      </c>
    </row>
    <row r="782" spans="2:4">
      <c r="B782">
        <f>IF(TRIM(A782&amp;"")="","",IF(RIGHT(TRIM(A782),7)=" Equity",TRIM(A782),TRIM(A782)&amp;" Equity"))</f>
        <v/>
      </c>
      <c r="C782">
        <f>IF(OR(SwitchUniverse&lt;&gt;"ON",$B782=""),"",BDP($B782,"NAME"))</f>
        <v/>
      </c>
      <c r="D782">
        <f>IF(OR(SwitchUniverse&lt;&gt;"ON",$B782=""),"",BDP($B782,"GICS_SECTOR_NAME"))</f>
        <v/>
      </c>
    </row>
    <row r="783" spans="2:4">
      <c r="B783">
        <f>IF(TRIM(A783&amp;"")="","",IF(RIGHT(TRIM(A783),7)=" Equity",TRIM(A783),TRIM(A783)&amp;" Equity"))</f>
        <v/>
      </c>
      <c r="C783">
        <f>IF(OR(SwitchUniverse&lt;&gt;"ON",$B783=""),"",BDP($B783,"NAME"))</f>
        <v/>
      </c>
      <c r="D783">
        <f>IF(OR(SwitchUniverse&lt;&gt;"ON",$B783=""),"",BDP($B783,"GICS_SECTOR_NAME"))</f>
        <v/>
      </c>
    </row>
    <row r="784" spans="2:4">
      <c r="B784">
        <f>IF(TRIM(A784&amp;"")="","",IF(RIGHT(TRIM(A784),7)=" Equity",TRIM(A784),TRIM(A784)&amp;" Equity"))</f>
        <v/>
      </c>
      <c r="C784">
        <f>IF(OR(SwitchUniverse&lt;&gt;"ON",$B784=""),"",BDP($B784,"NAME"))</f>
        <v/>
      </c>
      <c r="D784">
        <f>IF(OR(SwitchUniverse&lt;&gt;"ON",$B784=""),"",BDP($B784,"GICS_SECTOR_NAME"))</f>
        <v/>
      </c>
    </row>
    <row r="785" spans="2:4">
      <c r="B785">
        <f>IF(TRIM(A785&amp;"")="","",IF(RIGHT(TRIM(A785),7)=" Equity",TRIM(A785),TRIM(A785)&amp;" Equity"))</f>
        <v/>
      </c>
      <c r="C785">
        <f>IF(OR(SwitchUniverse&lt;&gt;"ON",$B785=""),"",BDP($B785,"NAME"))</f>
        <v/>
      </c>
      <c r="D785">
        <f>IF(OR(SwitchUniverse&lt;&gt;"ON",$B785=""),"",BDP($B785,"GICS_SECTOR_NAME"))</f>
        <v/>
      </c>
    </row>
    <row r="786" spans="2:4">
      <c r="B786">
        <f>IF(TRIM(A786&amp;"")="","",IF(RIGHT(TRIM(A786),7)=" Equity",TRIM(A786),TRIM(A786)&amp;" Equity"))</f>
        <v/>
      </c>
      <c r="C786">
        <f>IF(OR(SwitchUniverse&lt;&gt;"ON",$B786=""),"",BDP($B786,"NAME"))</f>
        <v/>
      </c>
      <c r="D786">
        <f>IF(OR(SwitchUniverse&lt;&gt;"ON",$B786=""),"",BDP($B786,"GICS_SECTOR_NAME"))</f>
        <v/>
      </c>
    </row>
    <row r="787" spans="2:4">
      <c r="B787">
        <f>IF(TRIM(A787&amp;"")="","",IF(RIGHT(TRIM(A787),7)=" Equity",TRIM(A787),TRIM(A787)&amp;" Equity"))</f>
        <v/>
      </c>
      <c r="C787">
        <f>IF(OR(SwitchUniverse&lt;&gt;"ON",$B787=""),"",BDP($B787,"NAME"))</f>
        <v/>
      </c>
      <c r="D787">
        <f>IF(OR(SwitchUniverse&lt;&gt;"ON",$B787=""),"",BDP($B787,"GICS_SECTOR_NAME"))</f>
        <v/>
      </c>
    </row>
    <row r="788" spans="2:4">
      <c r="B788">
        <f>IF(TRIM(A788&amp;"")="","",IF(RIGHT(TRIM(A788),7)=" Equity",TRIM(A788),TRIM(A788)&amp;" Equity"))</f>
        <v/>
      </c>
      <c r="C788">
        <f>IF(OR(SwitchUniverse&lt;&gt;"ON",$B788=""),"",BDP($B788,"NAME"))</f>
        <v/>
      </c>
      <c r="D788">
        <f>IF(OR(SwitchUniverse&lt;&gt;"ON",$B788=""),"",BDP($B788,"GICS_SECTOR_NAME"))</f>
        <v/>
      </c>
    </row>
    <row r="789" spans="2:4">
      <c r="B789">
        <f>IF(TRIM(A789&amp;"")="","",IF(RIGHT(TRIM(A789),7)=" Equity",TRIM(A789),TRIM(A789)&amp;" Equity"))</f>
        <v/>
      </c>
      <c r="C789">
        <f>IF(OR(SwitchUniverse&lt;&gt;"ON",$B789=""),"",BDP($B789,"NAME"))</f>
        <v/>
      </c>
      <c r="D789">
        <f>IF(OR(SwitchUniverse&lt;&gt;"ON",$B789=""),"",BDP($B789,"GICS_SECTOR_NAME"))</f>
        <v/>
      </c>
    </row>
    <row r="790" spans="2:4">
      <c r="B790">
        <f>IF(TRIM(A790&amp;"")="","",IF(RIGHT(TRIM(A790),7)=" Equity",TRIM(A790),TRIM(A790)&amp;" Equity"))</f>
        <v/>
      </c>
      <c r="C790">
        <f>IF(OR(SwitchUniverse&lt;&gt;"ON",$B790=""),"",BDP($B790,"NAME"))</f>
        <v/>
      </c>
      <c r="D790">
        <f>IF(OR(SwitchUniverse&lt;&gt;"ON",$B790=""),"",BDP($B790,"GICS_SECTOR_NAME"))</f>
        <v/>
      </c>
    </row>
    <row r="791" spans="2:4">
      <c r="B791">
        <f>IF(TRIM(A791&amp;"")="","",IF(RIGHT(TRIM(A791),7)=" Equity",TRIM(A791),TRIM(A791)&amp;" Equity"))</f>
        <v/>
      </c>
      <c r="C791">
        <f>IF(OR(SwitchUniverse&lt;&gt;"ON",$B791=""),"",BDP($B791,"NAME"))</f>
        <v/>
      </c>
      <c r="D791">
        <f>IF(OR(SwitchUniverse&lt;&gt;"ON",$B791=""),"",BDP($B791,"GICS_SECTOR_NAME"))</f>
        <v/>
      </c>
    </row>
    <row r="792" spans="2:4">
      <c r="B792">
        <f>IF(TRIM(A792&amp;"")="","",IF(RIGHT(TRIM(A792),7)=" Equity",TRIM(A792),TRIM(A792)&amp;" Equity"))</f>
        <v/>
      </c>
      <c r="C792">
        <f>IF(OR(SwitchUniverse&lt;&gt;"ON",$B792=""),"",BDP($B792,"NAME"))</f>
        <v/>
      </c>
      <c r="D792">
        <f>IF(OR(SwitchUniverse&lt;&gt;"ON",$B792=""),"",BDP($B792,"GICS_SECTOR_NAME"))</f>
        <v/>
      </c>
    </row>
    <row r="793" spans="2:4">
      <c r="B793">
        <f>IF(TRIM(A793&amp;"")="","",IF(RIGHT(TRIM(A793),7)=" Equity",TRIM(A793),TRIM(A793)&amp;" Equity"))</f>
        <v/>
      </c>
      <c r="C793">
        <f>IF(OR(SwitchUniverse&lt;&gt;"ON",$B793=""),"",BDP($B793,"NAME"))</f>
        <v/>
      </c>
      <c r="D793">
        <f>IF(OR(SwitchUniverse&lt;&gt;"ON",$B793=""),"",BDP($B793,"GICS_SECTOR_NAME"))</f>
        <v/>
      </c>
    </row>
    <row r="794" spans="2:4">
      <c r="B794">
        <f>IF(TRIM(A794&amp;"")="","",IF(RIGHT(TRIM(A794),7)=" Equity",TRIM(A794),TRIM(A794)&amp;" Equity"))</f>
        <v/>
      </c>
      <c r="C794">
        <f>IF(OR(SwitchUniverse&lt;&gt;"ON",$B794=""),"",BDP($B794,"NAME"))</f>
        <v/>
      </c>
      <c r="D794">
        <f>IF(OR(SwitchUniverse&lt;&gt;"ON",$B794=""),"",BDP($B794,"GICS_SECTOR_NAME"))</f>
        <v/>
      </c>
    </row>
    <row r="795" spans="2:4">
      <c r="B795">
        <f>IF(TRIM(A795&amp;"")="","",IF(RIGHT(TRIM(A795),7)=" Equity",TRIM(A795),TRIM(A795)&amp;" Equity"))</f>
        <v/>
      </c>
      <c r="C795">
        <f>IF(OR(SwitchUniverse&lt;&gt;"ON",$B795=""),"",BDP($B795,"NAME"))</f>
        <v/>
      </c>
      <c r="D795">
        <f>IF(OR(SwitchUniverse&lt;&gt;"ON",$B795=""),"",BDP($B795,"GICS_SECTOR_NAME"))</f>
        <v/>
      </c>
    </row>
    <row r="796" spans="2:4">
      <c r="B796">
        <f>IF(TRIM(A796&amp;"")="","",IF(RIGHT(TRIM(A796),7)=" Equity",TRIM(A796),TRIM(A796)&amp;" Equity"))</f>
        <v/>
      </c>
      <c r="C796">
        <f>IF(OR(SwitchUniverse&lt;&gt;"ON",$B796=""),"",BDP($B796,"NAME"))</f>
        <v/>
      </c>
      <c r="D796">
        <f>IF(OR(SwitchUniverse&lt;&gt;"ON",$B796=""),"",BDP($B796,"GICS_SECTOR_NAME"))</f>
        <v/>
      </c>
    </row>
    <row r="797" spans="2:4">
      <c r="B797">
        <f>IF(TRIM(A797&amp;"")="","",IF(RIGHT(TRIM(A797),7)=" Equity",TRIM(A797),TRIM(A797)&amp;" Equity"))</f>
        <v/>
      </c>
      <c r="C797">
        <f>IF(OR(SwitchUniverse&lt;&gt;"ON",$B797=""),"",BDP($B797,"NAME"))</f>
        <v/>
      </c>
      <c r="D797">
        <f>IF(OR(SwitchUniverse&lt;&gt;"ON",$B797=""),"",BDP($B797,"GICS_SECTOR_NAME"))</f>
        <v/>
      </c>
    </row>
    <row r="798" spans="2:4">
      <c r="B798">
        <f>IF(TRIM(A798&amp;"")="","",IF(RIGHT(TRIM(A798),7)=" Equity",TRIM(A798),TRIM(A798)&amp;" Equity"))</f>
        <v/>
      </c>
      <c r="C798">
        <f>IF(OR(SwitchUniverse&lt;&gt;"ON",$B798=""),"",BDP($B798,"NAME"))</f>
        <v/>
      </c>
      <c r="D798">
        <f>IF(OR(SwitchUniverse&lt;&gt;"ON",$B798=""),"",BDP($B798,"GICS_SECTOR_NAME"))</f>
        <v/>
      </c>
    </row>
    <row r="799" spans="2:4">
      <c r="B799">
        <f>IF(TRIM(A799&amp;"")="","",IF(RIGHT(TRIM(A799),7)=" Equity",TRIM(A799),TRIM(A799)&amp;" Equity"))</f>
        <v/>
      </c>
      <c r="C799">
        <f>IF(OR(SwitchUniverse&lt;&gt;"ON",$B799=""),"",BDP($B799,"NAME"))</f>
        <v/>
      </c>
      <c r="D799">
        <f>IF(OR(SwitchUniverse&lt;&gt;"ON",$B799=""),"",BDP($B799,"GICS_SECTOR_NAME"))</f>
        <v/>
      </c>
    </row>
    <row r="800" spans="2:4">
      <c r="B800">
        <f>IF(TRIM(A800&amp;"")="","",IF(RIGHT(TRIM(A800),7)=" Equity",TRIM(A800),TRIM(A800)&amp;" Equity"))</f>
        <v/>
      </c>
      <c r="C800">
        <f>IF(OR(SwitchUniverse&lt;&gt;"ON",$B800=""),"",BDP($B800,"NAME"))</f>
        <v/>
      </c>
      <c r="D800">
        <f>IF(OR(SwitchUniverse&lt;&gt;"ON",$B800=""),"",BDP($B800,"GICS_SECTOR_NAME"))</f>
        <v/>
      </c>
    </row>
    <row r="801" spans="2:4">
      <c r="B801">
        <f>IF(TRIM(A801&amp;"")="","",IF(RIGHT(TRIM(A801),7)=" Equity",TRIM(A801),TRIM(A801)&amp;" Equity"))</f>
        <v/>
      </c>
      <c r="C801">
        <f>IF(OR(SwitchUniverse&lt;&gt;"ON",$B801=""),"",BDP($B801,"NAME"))</f>
        <v/>
      </c>
      <c r="D801">
        <f>IF(OR(SwitchUniverse&lt;&gt;"ON",$B801=""),"",BDP($B801,"GICS_SECTOR_NAME"))</f>
        <v/>
      </c>
    </row>
    <row r="802" spans="2:4">
      <c r="B802">
        <f>IF(TRIM(A802&amp;"")="","",IF(RIGHT(TRIM(A802),7)=" Equity",TRIM(A802),TRIM(A802)&amp;" Equity"))</f>
        <v/>
      </c>
      <c r="C802">
        <f>IF(OR(SwitchUniverse&lt;&gt;"ON",$B802=""),"",BDP($B802,"NAME"))</f>
        <v/>
      </c>
      <c r="D802">
        <f>IF(OR(SwitchUniverse&lt;&gt;"ON",$B802=""),"",BDP($B802,"GICS_SECTOR_NAME"))</f>
        <v/>
      </c>
    </row>
    <row r="803" spans="2:4">
      <c r="B803">
        <f>IF(TRIM(A803&amp;"")="","",IF(RIGHT(TRIM(A803),7)=" Equity",TRIM(A803),TRIM(A803)&amp;" Equity"))</f>
        <v/>
      </c>
      <c r="C803">
        <f>IF(OR(SwitchUniverse&lt;&gt;"ON",$B803=""),"",BDP($B803,"NAME"))</f>
        <v/>
      </c>
      <c r="D803">
        <f>IF(OR(SwitchUniverse&lt;&gt;"ON",$B803=""),"",BDP($B803,"GICS_SECTOR_NAME"))</f>
        <v/>
      </c>
    </row>
    <row r="804" spans="2:4">
      <c r="B804">
        <f>IF(TRIM(A804&amp;"")="","",IF(RIGHT(TRIM(A804),7)=" Equity",TRIM(A804),TRIM(A804)&amp;" Equity"))</f>
        <v/>
      </c>
      <c r="C804">
        <f>IF(OR(SwitchUniverse&lt;&gt;"ON",$B804=""),"",BDP($B804,"NAME"))</f>
        <v/>
      </c>
      <c r="D804">
        <f>IF(OR(SwitchUniverse&lt;&gt;"ON",$B804=""),"",BDP($B804,"GICS_SECTOR_NAME"))</f>
        <v/>
      </c>
    </row>
    <row r="805" spans="2:4">
      <c r="B805">
        <f>IF(TRIM(A805&amp;"")="","",IF(RIGHT(TRIM(A805),7)=" Equity",TRIM(A805),TRIM(A805)&amp;" Equity"))</f>
        <v/>
      </c>
      <c r="C805">
        <f>IF(OR(SwitchUniverse&lt;&gt;"ON",$B805=""),"",BDP($B805,"NAME"))</f>
        <v/>
      </c>
      <c r="D805">
        <f>IF(OR(SwitchUniverse&lt;&gt;"ON",$B805=""),"",BDP($B805,"GICS_SECTOR_NAME"))</f>
        <v/>
      </c>
    </row>
    <row r="806" spans="2:4">
      <c r="B806">
        <f>IF(TRIM(A806&amp;"")="","",IF(RIGHT(TRIM(A806),7)=" Equity",TRIM(A806),TRIM(A806)&amp;" Equity"))</f>
        <v/>
      </c>
      <c r="C806">
        <f>IF(OR(SwitchUniverse&lt;&gt;"ON",$B806=""),"",BDP($B806,"NAME"))</f>
        <v/>
      </c>
      <c r="D806">
        <f>IF(OR(SwitchUniverse&lt;&gt;"ON",$B806=""),"",BDP($B806,"GICS_SECTOR_NAME"))</f>
        <v/>
      </c>
    </row>
    <row r="807" spans="2:4">
      <c r="B807">
        <f>IF(TRIM(A807&amp;"")="","",IF(RIGHT(TRIM(A807),7)=" Equity",TRIM(A807),TRIM(A807)&amp;" Equity"))</f>
        <v/>
      </c>
      <c r="C807">
        <f>IF(OR(SwitchUniverse&lt;&gt;"ON",$B807=""),"",BDP($B807,"NAME"))</f>
        <v/>
      </c>
      <c r="D807">
        <f>IF(OR(SwitchUniverse&lt;&gt;"ON",$B807=""),"",BDP($B807,"GICS_SECTOR_NAME"))</f>
        <v/>
      </c>
    </row>
    <row r="808" spans="2:4">
      <c r="B808">
        <f>IF(TRIM(A808&amp;"")="","",IF(RIGHT(TRIM(A808),7)=" Equity",TRIM(A808),TRIM(A808)&amp;" Equity"))</f>
        <v/>
      </c>
      <c r="C808">
        <f>IF(OR(SwitchUniverse&lt;&gt;"ON",$B808=""),"",BDP($B808,"NAME"))</f>
        <v/>
      </c>
      <c r="D808">
        <f>IF(OR(SwitchUniverse&lt;&gt;"ON",$B808=""),"",BDP($B808,"GICS_SECTOR_NAME"))</f>
        <v/>
      </c>
    </row>
    <row r="809" spans="2:4">
      <c r="B809">
        <f>IF(TRIM(A809&amp;"")="","",IF(RIGHT(TRIM(A809),7)=" Equity",TRIM(A809),TRIM(A809)&amp;" Equity"))</f>
        <v/>
      </c>
      <c r="C809">
        <f>IF(OR(SwitchUniverse&lt;&gt;"ON",$B809=""),"",BDP($B809,"NAME"))</f>
        <v/>
      </c>
      <c r="D809">
        <f>IF(OR(SwitchUniverse&lt;&gt;"ON",$B809=""),"",BDP($B809,"GICS_SECTOR_NAME"))</f>
        <v/>
      </c>
    </row>
    <row r="810" spans="2:4">
      <c r="B810">
        <f>IF(TRIM(A810&amp;"")="","",IF(RIGHT(TRIM(A810),7)=" Equity",TRIM(A810),TRIM(A810)&amp;" Equity"))</f>
        <v/>
      </c>
      <c r="C810">
        <f>IF(OR(SwitchUniverse&lt;&gt;"ON",$B810=""),"",BDP($B810,"NAME"))</f>
        <v/>
      </c>
      <c r="D810">
        <f>IF(OR(SwitchUniverse&lt;&gt;"ON",$B810=""),"",BDP($B810,"GICS_SECTOR_NAME"))</f>
        <v/>
      </c>
    </row>
    <row r="811" spans="2:4">
      <c r="B811">
        <f>IF(TRIM(A811&amp;"")="","",IF(RIGHT(TRIM(A811),7)=" Equity",TRIM(A811),TRIM(A811)&amp;" Equity"))</f>
        <v/>
      </c>
      <c r="C811">
        <f>IF(OR(SwitchUniverse&lt;&gt;"ON",$B811=""),"",BDP($B811,"NAME"))</f>
        <v/>
      </c>
      <c r="D811">
        <f>IF(OR(SwitchUniverse&lt;&gt;"ON",$B811=""),"",BDP($B811,"GICS_SECTOR_NAME"))</f>
        <v/>
      </c>
    </row>
    <row r="812" spans="2:4">
      <c r="B812">
        <f>IF(TRIM(A812&amp;"")="","",IF(RIGHT(TRIM(A812),7)=" Equity",TRIM(A812),TRIM(A812)&amp;" Equity"))</f>
        <v/>
      </c>
      <c r="C812">
        <f>IF(OR(SwitchUniverse&lt;&gt;"ON",$B812=""),"",BDP($B812,"NAME"))</f>
        <v/>
      </c>
      <c r="D812">
        <f>IF(OR(SwitchUniverse&lt;&gt;"ON",$B812=""),"",BDP($B812,"GICS_SECTOR_NAME"))</f>
        <v/>
      </c>
    </row>
    <row r="813" spans="2:4">
      <c r="B813">
        <f>IF(TRIM(A813&amp;"")="","",IF(RIGHT(TRIM(A813),7)=" Equity",TRIM(A813),TRIM(A813)&amp;" Equity"))</f>
        <v/>
      </c>
      <c r="C813">
        <f>IF(OR(SwitchUniverse&lt;&gt;"ON",$B813=""),"",BDP($B813,"NAME"))</f>
        <v/>
      </c>
      <c r="D813">
        <f>IF(OR(SwitchUniverse&lt;&gt;"ON",$B813=""),"",BDP($B813,"GICS_SECTOR_NAME"))</f>
        <v/>
      </c>
    </row>
    <row r="814" spans="2:4">
      <c r="B814">
        <f>IF(TRIM(A814&amp;"")="","",IF(RIGHT(TRIM(A814),7)=" Equity",TRIM(A814),TRIM(A814)&amp;" Equity"))</f>
        <v/>
      </c>
      <c r="C814">
        <f>IF(OR(SwitchUniverse&lt;&gt;"ON",$B814=""),"",BDP($B814,"NAME"))</f>
        <v/>
      </c>
      <c r="D814">
        <f>IF(OR(SwitchUniverse&lt;&gt;"ON",$B814=""),"",BDP($B814,"GICS_SECTOR_NAME"))</f>
        <v/>
      </c>
    </row>
    <row r="815" spans="2:4">
      <c r="B815">
        <f>IF(TRIM(A815&amp;"")="","",IF(RIGHT(TRIM(A815),7)=" Equity",TRIM(A815),TRIM(A815)&amp;" Equity"))</f>
        <v/>
      </c>
      <c r="C815">
        <f>IF(OR(SwitchUniverse&lt;&gt;"ON",$B815=""),"",BDP($B815,"NAME"))</f>
        <v/>
      </c>
      <c r="D815">
        <f>IF(OR(SwitchUniverse&lt;&gt;"ON",$B815=""),"",BDP($B815,"GICS_SECTOR_NAME"))</f>
        <v/>
      </c>
    </row>
    <row r="816" spans="2:4">
      <c r="B816">
        <f>IF(TRIM(A816&amp;"")="","",IF(RIGHT(TRIM(A816),7)=" Equity",TRIM(A816),TRIM(A816)&amp;" Equity"))</f>
        <v/>
      </c>
      <c r="C816">
        <f>IF(OR(SwitchUniverse&lt;&gt;"ON",$B816=""),"",BDP($B816,"NAME"))</f>
        <v/>
      </c>
      <c r="D816">
        <f>IF(OR(SwitchUniverse&lt;&gt;"ON",$B816=""),"",BDP($B816,"GICS_SECTOR_NAME"))</f>
        <v/>
      </c>
    </row>
    <row r="817" spans="2:4">
      <c r="B817">
        <f>IF(TRIM(A817&amp;"")="","",IF(RIGHT(TRIM(A817),7)=" Equity",TRIM(A817),TRIM(A817)&amp;" Equity"))</f>
        <v/>
      </c>
      <c r="C817">
        <f>IF(OR(SwitchUniverse&lt;&gt;"ON",$B817=""),"",BDP($B817,"NAME"))</f>
        <v/>
      </c>
      <c r="D817">
        <f>IF(OR(SwitchUniverse&lt;&gt;"ON",$B817=""),"",BDP($B817,"GICS_SECTOR_NAME"))</f>
        <v/>
      </c>
    </row>
    <row r="818" spans="2:4">
      <c r="B818">
        <f>IF(TRIM(A818&amp;"")="","",IF(RIGHT(TRIM(A818),7)=" Equity",TRIM(A818),TRIM(A818)&amp;" Equity"))</f>
        <v/>
      </c>
      <c r="C818">
        <f>IF(OR(SwitchUniverse&lt;&gt;"ON",$B818=""),"",BDP($B818,"NAME"))</f>
        <v/>
      </c>
      <c r="D818">
        <f>IF(OR(SwitchUniverse&lt;&gt;"ON",$B818=""),"",BDP($B818,"GICS_SECTOR_NAME"))</f>
        <v/>
      </c>
    </row>
    <row r="819" spans="2:4">
      <c r="B819">
        <f>IF(TRIM(A819&amp;"")="","",IF(RIGHT(TRIM(A819),7)=" Equity",TRIM(A819),TRIM(A819)&amp;" Equity"))</f>
        <v/>
      </c>
      <c r="C819">
        <f>IF(OR(SwitchUniverse&lt;&gt;"ON",$B819=""),"",BDP($B819,"NAME"))</f>
        <v/>
      </c>
      <c r="D819">
        <f>IF(OR(SwitchUniverse&lt;&gt;"ON",$B819=""),"",BDP($B819,"GICS_SECTOR_NAME"))</f>
        <v/>
      </c>
    </row>
    <row r="820" spans="2:4">
      <c r="B820">
        <f>IF(TRIM(A820&amp;"")="","",IF(RIGHT(TRIM(A820),7)=" Equity",TRIM(A820),TRIM(A820)&amp;" Equity"))</f>
        <v/>
      </c>
      <c r="C820">
        <f>IF(OR(SwitchUniverse&lt;&gt;"ON",$B820=""),"",BDP($B820,"NAME"))</f>
        <v/>
      </c>
      <c r="D820">
        <f>IF(OR(SwitchUniverse&lt;&gt;"ON",$B820=""),"",BDP($B820,"GICS_SECTOR_NAME"))</f>
        <v/>
      </c>
    </row>
    <row r="821" spans="2:4">
      <c r="B821">
        <f>IF(TRIM(A821&amp;"")="","",IF(RIGHT(TRIM(A821),7)=" Equity",TRIM(A821),TRIM(A821)&amp;" Equity"))</f>
        <v/>
      </c>
      <c r="C821">
        <f>IF(OR(SwitchUniverse&lt;&gt;"ON",$B821=""),"",BDP($B821,"NAME"))</f>
        <v/>
      </c>
      <c r="D821">
        <f>IF(OR(SwitchUniverse&lt;&gt;"ON",$B821=""),"",BDP($B821,"GICS_SECTOR_NAME"))</f>
        <v/>
      </c>
    </row>
    <row r="822" spans="2:4">
      <c r="B822">
        <f>IF(TRIM(A822&amp;"")="","",IF(RIGHT(TRIM(A822),7)=" Equity",TRIM(A822),TRIM(A822)&amp;" Equity"))</f>
        <v/>
      </c>
      <c r="C822">
        <f>IF(OR(SwitchUniverse&lt;&gt;"ON",$B822=""),"",BDP($B822,"NAME"))</f>
        <v/>
      </c>
      <c r="D822">
        <f>IF(OR(SwitchUniverse&lt;&gt;"ON",$B822=""),"",BDP($B822,"GICS_SECTOR_NAME"))</f>
        <v/>
      </c>
    </row>
    <row r="823" spans="2:4">
      <c r="B823">
        <f>IF(TRIM(A823&amp;"")="","",IF(RIGHT(TRIM(A823),7)=" Equity",TRIM(A823),TRIM(A823)&amp;" Equity"))</f>
        <v/>
      </c>
      <c r="C823">
        <f>IF(OR(SwitchUniverse&lt;&gt;"ON",$B823=""),"",BDP($B823,"NAME"))</f>
        <v/>
      </c>
      <c r="D823">
        <f>IF(OR(SwitchUniverse&lt;&gt;"ON",$B823=""),"",BDP($B823,"GICS_SECTOR_NAME"))</f>
        <v/>
      </c>
    </row>
    <row r="824" spans="2:4">
      <c r="B824">
        <f>IF(TRIM(A824&amp;"")="","",IF(RIGHT(TRIM(A824),7)=" Equity",TRIM(A824),TRIM(A824)&amp;" Equity"))</f>
        <v/>
      </c>
      <c r="C824">
        <f>IF(OR(SwitchUniverse&lt;&gt;"ON",$B824=""),"",BDP($B824,"NAME"))</f>
        <v/>
      </c>
      <c r="D824">
        <f>IF(OR(SwitchUniverse&lt;&gt;"ON",$B824=""),"",BDP($B824,"GICS_SECTOR_NAME"))</f>
        <v/>
      </c>
    </row>
    <row r="825" spans="2:4">
      <c r="B825">
        <f>IF(TRIM(A825&amp;"")="","",IF(RIGHT(TRIM(A825),7)=" Equity",TRIM(A825),TRIM(A825)&amp;" Equity"))</f>
        <v/>
      </c>
      <c r="C825">
        <f>IF(OR(SwitchUniverse&lt;&gt;"ON",$B825=""),"",BDP($B825,"NAME"))</f>
        <v/>
      </c>
      <c r="D825">
        <f>IF(OR(SwitchUniverse&lt;&gt;"ON",$B825=""),"",BDP($B825,"GICS_SECTOR_NAME"))</f>
        <v/>
      </c>
    </row>
    <row r="826" spans="2:4">
      <c r="B826">
        <f>IF(TRIM(A826&amp;"")="","",IF(RIGHT(TRIM(A826),7)=" Equity",TRIM(A826),TRIM(A826)&amp;" Equity"))</f>
        <v/>
      </c>
      <c r="C826">
        <f>IF(OR(SwitchUniverse&lt;&gt;"ON",$B826=""),"",BDP($B826,"NAME"))</f>
        <v/>
      </c>
      <c r="D826">
        <f>IF(OR(SwitchUniverse&lt;&gt;"ON",$B826=""),"",BDP($B826,"GICS_SECTOR_NAME"))</f>
        <v/>
      </c>
    </row>
    <row r="827" spans="2:4">
      <c r="B827">
        <f>IF(TRIM(A827&amp;"")="","",IF(RIGHT(TRIM(A827),7)=" Equity",TRIM(A827),TRIM(A827)&amp;" Equity"))</f>
        <v/>
      </c>
      <c r="C827">
        <f>IF(OR(SwitchUniverse&lt;&gt;"ON",$B827=""),"",BDP($B827,"NAME"))</f>
        <v/>
      </c>
      <c r="D827">
        <f>IF(OR(SwitchUniverse&lt;&gt;"ON",$B827=""),"",BDP($B827,"GICS_SECTOR_NAME"))</f>
        <v/>
      </c>
    </row>
    <row r="828" spans="2:4">
      <c r="B828">
        <f>IF(TRIM(A828&amp;"")="","",IF(RIGHT(TRIM(A828),7)=" Equity",TRIM(A828),TRIM(A828)&amp;" Equity"))</f>
        <v/>
      </c>
      <c r="C828">
        <f>IF(OR(SwitchUniverse&lt;&gt;"ON",$B828=""),"",BDP($B828,"NAME"))</f>
        <v/>
      </c>
      <c r="D828">
        <f>IF(OR(SwitchUniverse&lt;&gt;"ON",$B828=""),"",BDP($B828,"GICS_SECTOR_NAME"))</f>
        <v/>
      </c>
    </row>
    <row r="829" spans="2:4">
      <c r="B829">
        <f>IF(TRIM(A829&amp;"")="","",IF(RIGHT(TRIM(A829),7)=" Equity",TRIM(A829),TRIM(A829)&amp;" Equity"))</f>
        <v/>
      </c>
      <c r="C829">
        <f>IF(OR(SwitchUniverse&lt;&gt;"ON",$B829=""),"",BDP($B829,"NAME"))</f>
        <v/>
      </c>
      <c r="D829">
        <f>IF(OR(SwitchUniverse&lt;&gt;"ON",$B829=""),"",BDP($B829,"GICS_SECTOR_NAME"))</f>
        <v/>
      </c>
    </row>
    <row r="830" spans="2:4">
      <c r="B830">
        <f>IF(TRIM(A830&amp;"")="","",IF(RIGHT(TRIM(A830),7)=" Equity",TRIM(A830),TRIM(A830)&amp;" Equity"))</f>
        <v/>
      </c>
      <c r="C830">
        <f>IF(OR(SwitchUniverse&lt;&gt;"ON",$B830=""),"",BDP($B830,"NAME"))</f>
        <v/>
      </c>
      <c r="D830">
        <f>IF(OR(SwitchUniverse&lt;&gt;"ON",$B830=""),"",BDP($B830,"GICS_SECTOR_NAME"))</f>
        <v/>
      </c>
    </row>
    <row r="831" spans="2:4">
      <c r="B831">
        <f>IF(TRIM(A831&amp;"")="","",IF(RIGHT(TRIM(A831),7)=" Equity",TRIM(A831),TRIM(A831)&amp;" Equity"))</f>
        <v/>
      </c>
      <c r="C831">
        <f>IF(OR(SwitchUniverse&lt;&gt;"ON",$B831=""),"",BDP($B831,"NAME"))</f>
        <v/>
      </c>
      <c r="D831">
        <f>IF(OR(SwitchUniverse&lt;&gt;"ON",$B831=""),"",BDP($B831,"GICS_SECTOR_NAME"))</f>
        <v/>
      </c>
    </row>
    <row r="832" spans="2:4">
      <c r="B832">
        <f>IF(TRIM(A832&amp;"")="","",IF(RIGHT(TRIM(A832),7)=" Equity",TRIM(A832),TRIM(A832)&amp;" Equity"))</f>
        <v/>
      </c>
      <c r="C832">
        <f>IF(OR(SwitchUniverse&lt;&gt;"ON",$B832=""),"",BDP($B832,"NAME"))</f>
        <v/>
      </c>
      <c r="D832">
        <f>IF(OR(SwitchUniverse&lt;&gt;"ON",$B832=""),"",BDP($B832,"GICS_SECTOR_NAME"))</f>
        <v/>
      </c>
    </row>
    <row r="833" spans="2:4">
      <c r="B833">
        <f>IF(TRIM(A833&amp;"")="","",IF(RIGHT(TRIM(A833),7)=" Equity",TRIM(A833),TRIM(A833)&amp;" Equity"))</f>
        <v/>
      </c>
      <c r="C833">
        <f>IF(OR(SwitchUniverse&lt;&gt;"ON",$B833=""),"",BDP($B833,"NAME"))</f>
        <v/>
      </c>
      <c r="D833">
        <f>IF(OR(SwitchUniverse&lt;&gt;"ON",$B833=""),"",BDP($B833,"GICS_SECTOR_NAME"))</f>
        <v/>
      </c>
    </row>
    <row r="834" spans="2:4">
      <c r="B834">
        <f>IF(TRIM(A834&amp;"")="","",IF(RIGHT(TRIM(A834),7)=" Equity",TRIM(A834),TRIM(A834)&amp;" Equity"))</f>
        <v/>
      </c>
      <c r="C834">
        <f>IF(OR(SwitchUniverse&lt;&gt;"ON",$B834=""),"",BDP($B834,"NAME"))</f>
        <v/>
      </c>
      <c r="D834">
        <f>IF(OR(SwitchUniverse&lt;&gt;"ON",$B834=""),"",BDP($B834,"GICS_SECTOR_NAME"))</f>
        <v/>
      </c>
    </row>
    <row r="835" spans="2:4">
      <c r="B835">
        <f>IF(TRIM(A835&amp;"")="","",IF(RIGHT(TRIM(A835),7)=" Equity",TRIM(A835),TRIM(A835)&amp;" Equity"))</f>
        <v/>
      </c>
      <c r="C835">
        <f>IF(OR(SwitchUniverse&lt;&gt;"ON",$B835=""),"",BDP($B835,"NAME"))</f>
        <v/>
      </c>
      <c r="D835">
        <f>IF(OR(SwitchUniverse&lt;&gt;"ON",$B835=""),"",BDP($B835,"GICS_SECTOR_NAME"))</f>
        <v/>
      </c>
    </row>
    <row r="836" spans="2:4">
      <c r="B836">
        <f>IF(TRIM(A836&amp;"")="","",IF(RIGHT(TRIM(A836),7)=" Equity",TRIM(A836),TRIM(A836)&amp;" Equity"))</f>
        <v/>
      </c>
      <c r="C836">
        <f>IF(OR(SwitchUniverse&lt;&gt;"ON",$B836=""),"",BDP($B836,"NAME"))</f>
        <v/>
      </c>
      <c r="D836">
        <f>IF(OR(SwitchUniverse&lt;&gt;"ON",$B836=""),"",BDP($B836,"GICS_SECTOR_NAME"))</f>
        <v/>
      </c>
    </row>
    <row r="837" spans="2:4">
      <c r="B837">
        <f>IF(TRIM(A837&amp;"")="","",IF(RIGHT(TRIM(A837),7)=" Equity",TRIM(A837),TRIM(A837)&amp;" Equity"))</f>
        <v/>
      </c>
      <c r="C837">
        <f>IF(OR(SwitchUniverse&lt;&gt;"ON",$B837=""),"",BDP($B837,"NAME"))</f>
        <v/>
      </c>
      <c r="D837">
        <f>IF(OR(SwitchUniverse&lt;&gt;"ON",$B837=""),"",BDP($B837,"GICS_SECTOR_NAME"))</f>
        <v/>
      </c>
    </row>
    <row r="838" spans="2:4">
      <c r="B838">
        <f>IF(TRIM(A838&amp;"")="","",IF(RIGHT(TRIM(A838),7)=" Equity",TRIM(A838),TRIM(A838)&amp;" Equity"))</f>
        <v/>
      </c>
      <c r="C838">
        <f>IF(OR(SwitchUniverse&lt;&gt;"ON",$B838=""),"",BDP($B838,"NAME"))</f>
        <v/>
      </c>
      <c r="D838">
        <f>IF(OR(SwitchUniverse&lt;&gt;"ON",$B838=""),"",BDP($B838,"GICS_SECTOR_NAME"))</f>
        <v/>
      </c>
    </row>
    <row r="839" spans="2:4">
      <c r="B839">
        <f>IF(TRIM(A839&amp;"")="","",IF(RIGHT(TRIM(A839),7)=" Equity",TRIM(A839),TRIM(A839)&amp;" Equity"))</f>
        <v/>
      </c>
      <c r="C839">
        <f>IF(OR(SwitchUniverse&lt;&gt;"ON",$B839=""),"",BDP($B839,"NAME"))</f>
        <v/>
      </c>
      <c r="D839">
        <f>IF(OR(SwitchUniverse&lt;&gt;"ON",$B839=""),"",BDP($B839,"GICS_SECTOR_NAME"))</f>
        <v/>
      </c>
    </row>
    <row r="840" spans="2:4">
      <c r="B840">
        <f>IF(TRIM(A840&amp;"")="","",IF(RIGHT(TRIM(A840),7)=" Equity",TRIM(A840),TRIM(A840)&amp;" Equity"))</f>
        <v/>
      </c>
      <c r="C840">
        <f>IF(OR(SwitchUniverse&lt;&gt;"ON",$B840=""),"",BDP($B840,"NAME"))</f>
        <v/>
      </c>
      <c r="D840">
        <f>IF(OR(SwitchUniverse&lt;&gt;"ON",$B840=""),"",BDP($B840,"GICS_SECTOR_NAME"))</f>
        <v/>
      </c>
    </row>
    <row r="841" spans="2:4">
      <c r="B841">
        <f>IF(TRIM(A841&amp;"")="","",IF(RIGHT(TRIM(A841),7)=" Equity",TRIM(A841),TRIM(A841)&amp;" Equity"))</f>
        <v/>
      </c>
      <c r="C841">
        <f>IF(OR(SwitchUniverse&lt;&gt;"ON",$B841=""),"",BDP($B841,"NAME"))</f>
        <v/>
      </c>
      <c r="D841">
        <f>IF(OR(SwitchUniverse&lt;&gt;"ON",$B841=""),"",BDP($B841,"GICS_SECTOR_NAME"))</f>
        <v/>
      </c>
    </row>
    <row r="842" spans="2:4">
      <c r="B842">
        <f>IF(TRIM(A842&amp;"")="","",IF(RIGHT(TRIM(A842),7)=" Equity",TRIM(A842),TRIM(A842)&amp;" Equity"))</f>
        <v/>
      </c>
      <c r="C842">
        <f>IF(OR(SwitchUniverse&lt;&gt;"ON",$B842=""),"",BDP($B842,"NAME"))</f>
        <v/>
      </c>
      <c r="D842">
        <f>IF(OR(SwitchUniverse&lt;&gt;"ON",$B842=""),"",BDP($B842,"GICS_SECTOR_NAME"))</f>
        <v/>
      </c>
    </row>
    <row r="843" spans="2:4">
      <c r="B843">
        <f>IF(TRIM(A843&amp;"")="","",IF(RIGHT(TRIM(A843),7)=" Equity",TRIM(A843),TRIM(A843)&amp;" Equity"))</f>
        <v/>
      </c>
      <c r="C843">
        <f>IF(OR(SwitchUniverse&lt;&gt;"ON",$B843=""),"",BDP($B843,"NAME"))</f>
        <v/>
      </c>
      <c r="D843">
        <f>IF(OR(SwitchUniverse&lt;&gt;"ON",$B843=""),"",BDP($B843,"GICS_SECTOR_NAME"))</f>
        <v/>
      </c>
    </row>
    <row r="844" spans="2:4">
      <c r="B844">
        <f>IF(TRIM(A844&amp;"")="","",IF(RIGHT(TRIM(A844),7)=" Equity",TRIM(A844),TRIM(A844)&amp;" Equity"))</f>
        <v/>
      </c>
      <c r="C844">
        <f>IF(OR(SwitchUniverse&lt;&gt;"ON",$B844=""),"",BDP($B844,"NAME"))</f>
        <v/>
      </c>
      <c r="D844">
        <f>IF(OR(SwitchUniverse&lt;&gt;"ON",$B844=""),"",BDP($B844,"GICS_SECTOR_NAME"))</f>
        <v/>
      </c>
    </row>
    <row r="845" spans="2:4">
      <c r="B845">
        <f>IF(TRIM(A845&amp;"")="","",IF(RIGHT(TRIM(A845),7)=" Equity",TRIM(A845),TRIM(A845)&amp;" Equity"))</f>
        <v/>
      </c>
      <c r="C845">
        <f>IF(OR(SwitchUniverse&lt;&gt;"ON",$B845=""),"",BDP($B845,"NAME"))</f>
        <v/>
      </c>
      <c r="D845">
        <f>IF(OR(SwitchUniverse&lt;&gt;"ON",$B845=""),"",BDP($B845,"GICS_SECTOR_NAME"))</f>
        <v/>
      </c>
    </row>
    <row r="846" spans="2:4">
      <c r="B846">
        <f>IF(TRIM(A846&amp;"")="","",IF(RIGHT(TRIM(A846),7)=" Equity",TRIM(A846),TRIM(A846)&amp;" Equity"))</f>
        <v/>
      </c>
      <c r="C846">
        <f>IF(OR(SwitchUniverse&lt;&gt;"ON",$B846=""),"",BDP($B846,"NAME"))</f>
        <v/>
      </c>
      <c r="D846">
        <f>IF(OR(SwitchUniverse&lt;&gt;"ON",$B846=""),"",BDP($B846,"GICS_SECTOR_NAME"))</f>
        <v/>
      </c>
    </row>
    <row r="847" spans="2:4">
      <c r="B847">
        <f>IF(TRIM(A847&amp;"")="","",IF(RIGHT(TRIM(A847),7)=" Equity",TRIM(A847),TRIM(A847)&amp;" Equity"))</f>
        <v/>
      </c>
      <c r="C847">
        <f>IF(OR(SwitchUniverse&lt;&gt;"ON",$B847=""),"",BDP($B847,"NAME"))</f>
        <v/>
      </c>
      <c r="D847">
        <f>IF(OR(SwitchUniverse&lt;&gt;"ON",$B847=""),"",BDP($B847,"GICS_SECTOR_NAME"))</f>
        <v/>
      </c>
    </row>
    <row r="848" spans="2:4">
      <c r="B848">
        <f>IF(TRIM(A848&amp;"")="","",IF(RIGHT(TRIM(A848),7)=" Equity",TRIM(A848),TRIM(A848)&amp;" Equity"))</f>
        <v/>
      </c>
      <c r="C848">
        <f>IF(OR(SwitchUniverse&lt;&gt;"ON",$B848=""),"",BDP($B848,"NAME"))</f>
        <v/>
      </c>
      <c r="D848">
        <f>IF(OR(SwitchUniverse&lt;&gt;"ON",$B848=""),"",BDP($B848,"GICS_SECTOR_NAME"))</f>
        <v/>
      </c>
    </row>
    <row r="849" spans="2:4">
      <c r="B849">
        <f>IF(TRIM(A849&amp;"")="","",IF(RIGHT(TRIM(A849),7)=" Equity",TRIM(A849),TRIM(A849)&amp;" Equity"))</f>
        <v/>
      </c>
      <c r="C849">
        <f>IF(OR(SwitchUniverse&lt;&gt;"ON",$B849=""),"",BDP($B849,"NAME"))</f>
        <v/>
      </c>
      <c r="D849">
        <f>IF(OR(SwitchUniverse&lt;&gt;"ON",$B849=""),"",BDP($B849,"GICS_SECTOR_NAME"))</f>
        <v/>
      </c>
    </row>
    <row r="850" spans="2:4">
      <c r="B850">
        <f>IF(TRIM(A850&amp;"")="","",IF(RIGHT(TRIM(A850),7)=" Equity",TRIM(A850),TRIM(A850)&amp;" Equity"))</f>
        <v/>
      </c>
      <c r="C850">
        <f>IF(OR(SwitchUniverse&lt;&gt;"ON",$B850=""),"",BDP($B850,"NAME"))</f>
        <v/>
      </c>
      <c r="D850">
        <f>IF(OR(SwitchUniverse&lt;&gt;"ON",$B850=""),"",BDP($B850,"GICS_SECTOR_NAME"))</f>
        <v/>
      </c>
    </row>
    <row r="851" spans="2:4">
      <c r="B851">
        <f>IF(TRIM(A851&amp;"")="","",IF(RIGHT(TRIM(A851),7)=" Equity",TRIM(A851),TRIM(A851)&amp;" Equity"))</f>
        <v/>
      </c>
      <c r="C851">
        <f>IF(OR(SwitchUniverse&lt;&gt;"ON",$B851=""),"",BDP($B851,"NAME"))</f>
        <v/>
      </c>
      <c r="D851">
        <f>IF(OR(SwitchUniverse&lt;&gt;"ON",$B851=""),"",BDP($B851,"GICS_SECTOR_NAME"))</f>
        <v/>
      </c>
    </row>
    <row r="852" spans="2:4">
      <c r="B852">
        <f>IF(TRIM(A852&amp;"")="","",IF(RIGHT(TRIM(A852),7)=" Equity",TRIM(A852),TRIM(A852)&amp;" Equity"))</f>
        <v/>
      </c>
      <c r="C852">
        <f>IF(OR(SwitchUniverse&lt;&gt;"ON",$B852=""),"",BDP($B852,"NAME"))</f>
        <v/>
      </c>
      <c r="D852">
        <f>IF(OR(SwitchUniverse&lt;&gt;"ON",$B852=""),"",BDP($B852,"GICS_SECTOR_NAME"))</f>
        <v/>
      </c>
    </row>
    <row r="853" spans="2:4">
      <c r="B853">
        <f>IF(TRIM(A853&amp;"")="","",IF(RIGHT(TRIM(A853),7)=" Equity",TRIM(A853),TRIM(A853)&amp;" Equity"))</f>
        <v/>
      </c>
      <c r="C853">
        <f>IF(OR(SwitchUniverse&lt;&gt;"ON",$B853=""),"",BDP($B853,"NAME"))</f>
        <v/>
      </c>
      <c r="D853">
        <f>IF(OR(SwitchUniverse&lt;&gt;"ON",$B853=""),"",BDP($B853,"GICS_SECTOR_NAME"))</f>
        <v/>
      </c>
    </row>
    <row r="854" spans="2:4">
      <c r="B854">
        <f>IF(TRIM(A854&amp;"")="","",IF(RIGHT(TRIM(A854),7)=" Equity",TRIM(A854),TRIM(A854)&amp;" Equity"))</f>
        <v/>
      </c>
      <c r="C854">
        <f>IF(OR(SwitchUniverse&lt;&gt;"ON",$B854=""),"",BDP($B854,"NAME"))</f>
        <v/>
      </c>
      <c r="D854">
        <f>IF(OR(SwitchUniverse&lt;&gt;"ON",$B854=""),"",BDP($B854,"GICS_SECTOR_NAME"))</f>
        <v/>
      </c>
    </row>
    <row r="855" spans="2:4">
      <c r="B855">
        <f>IF(TRIM(A855&amp;"")="","",IF(RIGHT(TRIM(A855),7)=" Equity",TRIM(A855),TRIM(A855)&amp;" Equity"))</f>
        <v/>
      </c>
      <c r="C855">
        <f>IF(OR(SwitchUniverse&lt;&gt;"ON",$B855=""),"",BDP($B855,"NAME"))</f>
        <v/>
      </c>
      <c r="D855">
        <f>IF(OR(SwitchUniverse&lt;&gt;"ON",$B855=""),"",BDP($B855,"GICS_SECTOR_NAME"))</f>
        <v/>
      </c>
    </row>
    <row r="856" spans="2:4">
      <c r="B856">
        <f>IF(TRIM(A856&amp;"")="","",IF(RIGHT(TRIM(A856),7)=" Equity",TRIM(A856),TRIM(A856)&amp;" Equity"))</f>
        <v/>
      </c>
      <c r="C856">
        <f>IF(OR(SwitchUniverse&lt;&gt;"ON",$B856=""),"",BDP($B856,"NAME"))</f>
        <v/>
      </c>
      <c r="D856">
        <f>IF(OR(SwitchUniverse&lt;&gt;"ON",$B856=""),"",BDP($B856,"GICS_SECTOR_NAME"))</f>
        <v/>
      </c>
    </row>
    <row r="857" spans="2:4">
      <c r="B857">
        <f>IF(TRIM(A857&amp;"")="","",IF(RIGHT(TRIM(A857),7)=" Equity",TRIM(A857),TRIM(A857)&amp;" Equity"))</f>
        <v/>
      </c>
      <c r="C857">
        <f>IF(OR(SwitchUniverse&lt;&gt;"ON",$B857=""),"",BDP($B857,"NAME"))</f>
        <v/>
      </c>
      <c r="D857">
        <f>IF(OR(SwitchUniverse&lt;&gt;"ON",$B857=""),"",BDP($B857,"GICS_SECTOR_NAME"))</f>
        <v/>
      </c>
    </row>
    <row r="858" spans="2:4">
      <c r="B858">
        <f>IF(TRIM(A858&amp;"")="","",IF(RIGHT(TRIM(A858),7)=" Equity",TRIM(A858),TRIM(A858)&amp;" Equity"))</f>
        <v/>
      </c>
      <c r="C858">
        <f>IF(OR(SwitchUniverse&lt;&gt;"ON",$B858=""),"",BDP($B858,"NAME"))</f>
        <v/>
      </c>
      <c r="D858">
        <f>IF(OR(SwitchUniverse&lt;&gt;"ON",$B858=""),"",BDP($B858,"GICS_SECTOR_NAME"))</f>
        <v/>
      </c>
    </row>
    <row r="859" spans="2:4">
      <c r="B859">
        <f>IF(TRIM(A859&amp;"")="","",IF(RIGHT(TRIM(A859),7)=" Equity",TRIM(A859),TRIM(A859)&amp;" Equity"))</f>
        <v/>
      </c>
      <c r="C859">
        <f>IF(OR(SwitchUniverse&lt;&gt;"ON",$B859=""),"",BDP($B859,"NAME"))</f>
        <v/>
      </c>
      <c r="D859">
        <f>IF(OR(SwitchUniverse&lt;&gt;"ON",$B859=""),"",BDP($B859,"GICS_SECTOR_NAME"))</f>
        <v/>
      </c>
    </row>
    <row r="860" spans="2:4">
      <c r="B860">
        <f>IF(TRIM(A860&amp;"")="","",IF(RIGHT(TRIM(A860),7)=" Equity",TRIM(A860),TRIM(A860)&amp;" Equity"))</f>
        <v/>
      </c>
      <c r="C860">
        <f>IF(OR(SwitchUniverse&lt;&gt;"ON",$B860=""),"",BDP($B860,"NAME"))</f>
        <v/>
      </c>
      <c r="D860">
        <f>IF(OR(SwitchUniverse&lt;&gt;"ON",$B860=""),"",BDP($B860,"GICS_SECTOR_NAME"))</f>
        <v/>
      </c>
    </row>
    <row r="861" spans="2:4">
      <c r="B861">
        <f>IF(TRIM(A861&amp;"")="","",IF(RIGHT(TRIM(A861),7)=" Equity",TRIM(A861),TRIM(A861)&amp;" Equity"))</f>
        <v/>
      </c>
      <c r="C861">
        <f>IF(OR(SwitchUniverse&lt;&gt;"ON",$B861=""),"",BDP($B861,"NAME"))</f>
        <v/>
      </c>
      <c r="D861">
        <f>IF(OR(SwitchUniverse&lt;&gt;"ON",$B861=""),"",BDP($B861,"GICS_SECTOR_NAME"))</f>
        <v/>
      </c>
    </row>
    <row r="862" spans="2:4">
      <c r="B862">
        <f>IF(TRIM(A862&amp;"")="","",IF(RIGHT(TRIM(A862),7)=" Equity",TRIM(A862),TRIM(A862)&amp;" Equity"))</f>
        <v/>
      </c>
      <c r="C862">
        <f>IF(OR(SwitchUniverse&lt;&gt;"ON",$B862=""),"",BDP($B862,"NAME"))</f>
        <v/>
      </c>
      <c r="D862">
        <f>IF(OR(SwitchUniverse&lt;&gt;"ON",$B862=""),"",BDP($B862,"GICS_SECTOR_NAME"))</f>
        <v/>
      </c>
    </row>
    <row r="863" spans="2:4">
      <c r="B863">
        <f>IF(TRIM(A863&amp;"")="","",IF(RIGHT(TRIM(A863),7)=" Equity",TRIM(A863),TRIM(A863)&amp;" Equity"))</f>
        <v/>
      </c>
      <c r="C863">
        <f>IF(OR(SwitchUniverse&lt;&gt;"ON",$B863=""),"",BDP($B863,"NAME"))</f>
        <v/>
      </c>
      <c r="D863">
        <f>IF(OR(SwitchUniverse&lt;&gt;"ON",$B863=""),"",BDP($B863,"GICS_SECTOR_NAME"))</f>
        <v/>
      </c>
    </row>
    <row r="864" spans="2:4">
      <c r="B864">
        <f>IF(TRIM(A864&amp;"")="","",IF(RIGHT(TRIM(A864),7)=" Equity",TRIM(A864),TRIM(A864)&amp;" Equity"))</f>
        <v/>
      </c>
      <c r="C864">
        <f>IF(OR(SwitchUniverse&lt;&gt;"ON",$B864=""),"",BDP($B864,"NAME"))</f>
        <v/>
      </c>
      <c r="D864">
        <f>IF(OR(SwitchUniverse&lt;&gt;"ON",$B864=""),"",BDP($B864,"GICS_SECTOR_NAME"))</f>
        <v/>
      </c>
    </row>
    <row r="865" spans="2:4">
      <c r="B865">
        <f>IF(TRIM(A865&amp;"")="","",IF(RIGHT(TRIM(A865),7)=" Equity",TRIM(A865),TRIM(A865)&amp;" Equity"))</f>
        <v/>
      </c>
      <c r="C865">
        <f>IF(OR(SwitchUniverse&lt;&gt;"ON",$B865=""),"",BDP($B865,"NAME"))</f>
        <v/>
      </c>
      <c r="D865">
        <f>IF(OR(SwitchUniverse&lt;&gt;"ON",$B865=""),"",BDP($B865,"GICS_SECTOR_NAME"))</f>
        <v/>
      </c>
    </row>
    <row r="866" spans="2:4">
      <c r="B866">
        <f>IF(TRIM(A866&amp;"")="","",IF(RIGHT(TRIM(A866),7)=" Equity",TRIM(A866),TRIM(A866)&amp;" Equity"))</f>
        <v/>
      </c>
      <c r="C866">
        <f>IF(OR(SwitchUniverse&lt;&gt;"ON",$B866=""),"",BDP($B866,"NAME"))</f>
        <v/>
      </c>
      <c r="D866">
        <f>IF(OR(SwitchUniverse&lt;&gt;"ON",$B866=""),"",BDP($B866,"GICS_SECTOR_NAME"))</f>
        <v/>
      </c>
    </row>
    <row r="867" spans="2:4">
      <c r="B867">
        <f>IF(TRIM(A867&amp;"")="","",IF(RIGHT(TRIM(A867),7)=" Equity",TRIM(A867),TRIM(A867)&amp;" Equity"))</f>
        <v/>
      </c>
      <c r="C867">
        <f>IF(OR(SwitchUniverse&lt;&gt;"ON",$B867=""),"",BDP($B867,"NAME"))</f>
        <v/>
      </c>
      <c r="D867">
        <f>IF(OR(SwitchUniverse&lt;&gt;"ON",$B867=""),"",BDP($B867,"GICS_SECTOR_NAME"))</f>
        <v/>
      </c>
    </row>
    <row r="868" spans="2:4">
      <c r="B868">
        <f>IF(TRIM(A868&amp;"")="","",IF(RIGHT(TRIM(A868),7)=" Equity",TRIM(A868),TRIM(A868)&amp;" Equity"))</f>
        <v/>
      </c>
      <c r="C868">
        <f>IF(OR(SwitchUniverse&lt;&gt;"ON",$B868=""),"",BDP($B868,"NAME"))</f>
        <v/>
      </c>
      <c r="D868">
        <f>IF(OR(SwitchUniverse&lt;&gt;"ON",$B868=""),"",BDP($B868,"GICS_SECTOR_NAME"))</f>
        <v/>
      </c>
    </row>
    <row r="869" spans="2:4">
      <c r="B869">
        <f>IF(TRIM(A869&amp;"")="","",IF(RIGHT(TRIM(A869),7)=" Equity",TRIM(A869),TRIM(A869)&amp;" Equity"))</f>
        <v/>
      </c>
      <c r="C869">
        <f>IF(OR(SwitchUniverse&lt;&gt;"ON",$B869=""),"",BDP($B869,"NAME"))</f>
        <v/>
      </c>
      <c r="D869">
        <f>IF(OR(SwitchUniverse&lt;&gt;"ON",$B869=""),"",BDP($B869,"GICS_SECTOR_NAME"))</f>
        <v/>
      </c>
    </row>
    <row r="870" spans="2:4">
      <c r="B870">
        <f>IF(TRIM(A870&amp;"")="","",IF(RIGHT(TRIM(A870),7)=" Equity",TRIM(A870),TRIM(A870)&amp;" Equity"))</f>
        <v/>
      </c>
      <c r="C870">
        <f>IF(OR(SwitchUniverse&lt;&gt;"ON",$B870=""),"",BDP($B870,"NAME"))</f>
        <v/>
      </c>
      <c r="D870">
        <f>IF(OR(SwitchUniverse&lt;&gt;"ON",$B870=""),"",BDP($B870,"GICS_SECTOR_NAME"))</f>
        <v/>
      </c>
    </row>
    <row r="871" spans="2:4">
      <c r="B871">
        <f>IF(TRIM(A871&amp;"")="","",IF(RIGHT(TRIM(A871),7)=" Equity",TRIM(A871),TRIM(A871)&amp;" Equity"))</f>
        <v/>
      </c>
      <c r="C871">
        <f>IF(OR(SwitchUniverse&lt;&gt;"ON",$B871=""),"",BDP($B871,"NAME"))</f>
        <v/>
      </c>
      <c r="D871">
        <f>IF(OR(SwitchUniverse&lt;&gt;"ON",$B871=""),"",BDP($B871,"GICS_SECTOR_NAME"))</f>
        <v/>
      </c>
    </row>
    <row r="872" spans="2:4">
      <c r="B872">
        <f>IF(TRIM(A872&amp;"")="","",IF(RIGHT(TRIM(A872),7)=" Equity",TRIM(A872),TRIM(A872)&amp;" Equity"))</f>
        <v/>
      </c>
      <c r="C872">
        <f>IF(OR(SwitchUniverse&lt;&gt;"ON",$B872=""),"",BDP($B872,"NAME"))</f>
        <v/>
      </c>
      <c r="D872">
        <f>IF(OR(SwitchUniverse&lt;&gt;"ON",$B872=""),"",BDP($B872,"GICS_SECTOR_NAME"))</f>
        <v/>
      </c>
    </row>
    <row r="873" spans="2:4">
      <c r="B873">
        <f>IF(TRIM(A873&amp;"")="","",IF(RIGHT(TRIM(A873),7)=" Equity",TRIM(A873),TRIM(A873)&amp;" Equity"))</f>
        <v/>
      </c>
      <c r="C873">
        <f>IF(OR(SwitchUniverse&lt;&gt;"ON",$B873=""),"",BDP($B873,"NAME"))</f>
        <v/>
      </c>
      <c r="D873">
        <f>IF(OR(SwitchUniverse&lt;&gt;"ON",$B873=""),"",BDP($B873,"GICS_SECTOR_NAME"))</f>
        <v/>
      </c>
    </row>
    <row r="874" spans="2:4">
      <c r="B874">
        <f>IF(TRIM(A874&amp;"")="","",IF(RIGHT(TRIM(A874),7)=" Equity",TRIM(A874),TRIM(A874)&amp;" Equity"))</f>
        <v/>
      </c>
      <c r="C874">
        <f>IF(OR(SwitchUniverse&lt;&gt;"ON",$B874=""),"",BDP($B874,"NAME"))</f>
        <v/>
      </c>
      <c r="D874">
        <f>IF(OR(SwitchUniverse&lt;&gt;"ON",$B874=""),"",BDP($B874,"GICS_SECTOR_NAME"))</f>
        <v/>
      </c>
    </row>
    <row r="875" spans="2:4">
      <c r="B875">
        <f>IF(TRIM(A875&amp;"")="","",IF(RIGHT(TRIM(A875),7)=" Equity",TRIM(A875),TRIM(A875)&amp;" Equity"))</f>
        <v/>
      </c>
      <c r="C875">
        <f>IF(OR(SwitchUniverse&lt;&gt;"ON",$B875=""),"",BDP($B875,"NAME"))</f>
        <v/>
      </c>
      <c r="D875">
        <f>IF(OR(SwitchUniverse&lt;&gt;"ON",$B875=""),"",BDP($B875,"GICS_SECTOR_NAME"))</f>
        <v/>
      </c>
    </row>
    <row r="876" spans="2:4">
      <c r="B876">
        <f>IF(TRIM(A876&amp;"")="","",IF(RIGHT(TRIM(A876),7)=" Equity",TRIM(A876),TRIM(A876)&amp;" Equity"))</f>
        <v/>
      </c>
      <c r="C876">
        <f>IF(OR(SwitchUniverse&lt;&gt;"ON",$B876=""),"",BDP($B876,"NAME"))</f>
        <v/>
      </c>
      <c r="D876">
        <f>IF(OR(SwitchUniverse&lt;&gt;"ON",$B876=""),"",BDP($B876,"GICS_SECTOR_NAME"))</f>
        <v/>
      </c>
    </row>
    <row r="877" spans="2:4">
      <c r="B877">
        <f>IF(TRIM(A877&amp;"")="","",IF(RIGHT(TRIM(A877),7)=" Equity",TRIM(A877),TRIM(A877)&amp;" Equity"))</f>
        <v/>
      </c>
      <c r="C877">
        <f>IF(OR(SwitchUniverse&lt;&gt;"ON",$B877=""),"",BDP($B877,"NAME"))</f>
        <v/>
      </c>
      <c r="D877">
        <f>IF(OR(SwitchUniverse&lt;&gt;"ON",$B877=""),"",BDP($B877,"GICS_SECTOR_NAME"))</f>
        <v/>
      </c>
    </row>
    <row r="878" spans="2:4">
      <c r="B878">
        <f>IF(TRIM(A878&amp;"")="","",IF(RIGHT(TRIM(A878),7)=" Equity",TRIM(A878),TRIM(A878)&amp;" Equity"))</f>
        <v/>
      </c>
      <c r="C878">
        <f>IF(OR(SwitchUniverse&lt;&gt;"ON",$B878=""),"",BDP($B878,"NAME"))</f>
        <v/>
      </c>
      <c r="D878">
        <f>IF(OR(SwitchUniverse&lt;&gt;"ON",$B878=""),"",BDP($B878,"GICS_SECTOR_NAME"))</f>
        <v/>
      </c>
    </row>
    <row r="879" spans="2:4">
      <c r="B879">
        <f>IF(TRIM(A879&amp;"")="","",IF(RIGHT(TRIM(A879),7)=" Equity",TRIM(A879),TRIM(A879)&amp;" Equity"))</f>
        <v/>
      </c>
      <c r="C879">
        <f>IF(OR(SwitchUniverse&lt;&gt;"ON",$B879=""),"",BDP($B879,"NAME"))</f>
        <v/>
      </c>
      <c r="D879">
        <f>IF(OR(SwitchUniverse&lt;&gt;"ON",$B879=""),"",BDP($B879,"GICS_SECTOR_NAME"))</f>
        <v/>
      </c>
    </row>
    <row r="880" spans="2:4">
      <c r="B880">
        <f>IF(TRIM(A880&amp;"")="","",IF(RIGHT(TRIM(A880),7)=" Equity",TRIM(A880),TRIM(A880)&amp;" Equity"))</f>
        <v/>
      </c>
      <c r="C880">
        <f>IF(OR(SwitchUniverse&lt;&gt;"ON",$B880=""),"",BDP($B880,"NAME"))</f>
        <v/>
      </c>
      <c r="D880">
        <f>IF(OR(SwitchUniverse&lt;&gt;"ON",$B880=""),"",BDP($B880,"GICS_SECTOR_NAME"))</f>
        <v/>
      </c>
    </row>
    <row r="881" spans="2:4">
      <c r="B881">
        <f>IF(TRIM(A881&amp;"")="","",IF(RIGHT(TRIM(A881),7)=" Equity",TRIM(A881),TRIM(A881)&amp;" Equity"))</f>
        <v/>
      </c>
      <c r="C881">
        <f>IF(OR(SwitchUniverse&lt;&gt;"ON",$B881=""),"",BDP($B881,"NAME"))</f>
        <v/>
      </c>
      <c r="D881">
        <f>IF(OR(SwitchUniverse&lt;&gt;"ON",$B881=""),"",BDP($B881,"GICS_SECTOR_NAME"))</f>
        <v/>
      </c>
    </row>
    <row r="882" spans="2:4">
      <c r="B882">
        <f>IF(TRIM(A882&amp;"")="","",IF(RIGHT(TRIM(A882),7)=" Equity",TRIM(A882),TRIM(A882)&amp;" Equity"))</f>
        <v/>
      </c>
      <c r="C882">
        <f>IF(OR(SwitchUniverse&lt;&gt;"ON",$B882=""),"",BDP($B882,"NAME"))</f>
        <v/>
      </c>
      <c r="D882">
        <f>IF(OR(SwitchUniverse&lt;&gt;"ON",$B882=""),"",BDP($B882,"GICS_SECTOR_NAME"))</f>
        <v/>
      </c>
    </row>
    <row r="883" spans="2:4">
      <c r="B883">
        <f>IF(TRIM(A883&amp;"")="","",IF(RIGHT(TRIM(A883),7)=" Equity",TRIM(A883),TRIM(A883)&amp;" Equity"))</f>
        <v/>
      </c>
      <c r="C883">
        <f>IF(OR(SwitchUniverse&lt;&gt;"ON",$B883=""),"",BDP($B883,"NAME"))</f>
        <v/>
      </c>
      <c r="D883">
        <f>IF(OR(SwitchUniverse&lt;&gt;"ON",$B883=""),"",BDP($B883,"GICS_SECTOR_NAME"))</f>
        <v/>
      </c>
    </row>
    <row r="884" spans="2:4">
      <c r="B884">
        <f>IF(TRIM(A884&amp;"")="","",IF(RIGHT(TRIM(A884),7)=" Equity",TRIM(A884),TRIM(A884)&amp;" Equity"))</f>
        <v/>
      </c>
      <c r="C884">
        <f>IF(OR(SwitchUniverse&lt;&gt;"ON",$B884=""),"",BDP($B884,"NAME"))</f>
        <v/>
      </c>
      <c r="D884">
        <f>IF(OR(SwitchUniverse&lt;&gt;"ON",$B884=""),"",BDP($B884,"GICS_SECTOR_NAME"))</f>
        <v/>
      </c>
    </row>
    <row r="885" spans="2:4">
      <c r="B885">
        <f>IF(TRIM(A885&amp;"")="","",IF(RIGHT(TRIM(A885),7)=" Equity",TRIM(A885),TRIM(A885)&amp;" Equity"))</f>
        <v/>
      </c>
      <c r="C885">
        <f>IF(OR(SwitchUniverse&lt;&gt;"ON",$B885=""),"",BDP($B885,"NAME"))</f>
        <v/>
      </c>
      <c r="D885">
        <f>IF(OR(SwitchUniverse&lt;&gt;"ON",$B885=""),"",BDP($B885,"GICS_SECTOR_NAME"))</f>
        <v/>
      </c>
    </row>
    <row r="886" spans="2:4">
      <c r="B886">
        <f>IF(TRIM(A886&amp;"")="","",IF(RIGHT(TRIM(A886),7)=" Equity",TRIM(A886),TRIM(A886)&amp;" Equity"))</f>
        <v/>
      </c>
      <c r="C886">
        <f>IF(OR(SwitchUniverse&lt;&gt;"ON",$B886=""),"",BDP($B886,"NAME"))</f>
        <v/>
      </c>
      <c r="D886">
        <f>IF(OR(SwitchUniverse&lt;&gt;"ON",$B886=""),"",BDP($B886,"GICS_SECTOR_NAME"))</f>
        <v/>
      </c>
    </row>
    <row r="887" spans="2:4">
      <c r="B887">
        <f>IF(TRIM(A887&amp;"")="","",IF(RIGHT(TRIM(A887),7)=" Equity",TRIM(A887),TRIM(A887)&amp;" Equity"))</f>
        <v/>
      </c>
      <c r="C887">
        <f>IF(OR(SwitchUniverse&lt;&gt;"ON",$B887=""),"",BDP($B887,"NAME"))</f>
        <v/>
      </c>
      <c r="D887">
        <f>IF(OR(SwitchUniverse&lt;&gt;"ON",$B887=""),"",BDP($B887,"GICS_SECTOR_NAME"))</f>
        <v/>
      </c>
    </row>
    <row r="888" spans="2:4">
      <c r="B888">
        <f>IF(TRIM(A888&amp;"")="","",IF(RIGHT(TRIM(A888),7)=" Equity",TRIM(A888),TRIM(A888)&amp;" Equity"))</f>
        <v/>
      </c>
      <c r="C888">
        <f>IF(OR(SwitchUniverse&lt;&gt;"ON",$B888=""),"",BDP($B888,"NAME"))</f>
        <v/>
      </c>
      <c r="D888">
        <f>IF(OR(SwitchUniverse&lt;&gt;"ON",$B888=""),"",BDP($B888,"GICS_SECTOR_NAME"))</f>
        <v/>
      </c>
    </row>
    <row r="889" spans="2:4">
      <c r="B889">
        <f>IF(TRIM(A889&amp;"")="","",IF(RIGHT(TRIM(A889),7)=" Equity",TRIM(A889),TRIM(A889)&amp;" Equity"))</f>
        <v/>
      </c>
      <c r="C889">
        <f>IF(OR(SwitchUniverse&lt;&gt;"ON",$B889=""),"",BDP($B889,"NAME"))</f>
        <v/>
      </c>
      <c r="D889">
        <f>IF(OR(SwitchUniverse&lt;&gt;"ON",$B889=""),"",BDP($B889,"GICS_SECTOR_NAME"))</f>
        <v/>
      </c>
    </row>
    <row r="890" spans="2:4">
      <c r="B890">
        <f>IF(TRIM(A890&amp;"")="","",IF(RIGHT(TRIM(A890),7)=" Equity",TRIM(A890),TRIM(A890)&amp;" Equity"))</f>
        <v/>
      </c>
      <c r="C890">
        <f>IF(OR(SwitchUniverse&lt;&gt;"ON",$B890=""),"",BDP($B890,"NAME"))</f>
        <v/>
      </c>
      <c r="D890">
        <f>IF(OR(SwitchUniverse&lt;&gt;"ON",$B890=""),"",BDP($B890,"GICS_SECTOR_NAME"))</f>
        <v/>
      </c>
    </row>
    <row r="891" spans="2:4">
      <c r="B891">
        <f>IF(TRIM(A891&amp;"")="","",IF(RIGHT(TRIM(A891),7)=" Equity",TRIM(A891),TRIM(A891)&amp;" Equity"))</f>
        <v/>
      </c>
      <c r="C891">
        <f>IF(OR(SwitchUniverse&lt;&gt;"ON",$B891=""),"",BDP($B891,"NAME"))</f>
        <v/>
      </c>
      <c r="D891">
        <f>IF(OR(SwitchUniverse&lt;&gt;"ON",$B891=""),"",BDP($B891,"GICS_SECTOR_NAME"))</f>
        <v/>
      </c>
    </row>
    <row r="892" spans="2:4">
      <c r="B892">
        <f>IF(TRIM(A892&amp;"")="","",IF(RIGHT(TRIM(A892),7)=" Equity",TRIM(A892),TRIM(A892)&amp;" Equity"))</f>
        <v/>
      </c>
      <c r="C892">
        <f>IF(OR(SwitchUniverse&lt;&gt;"ON",$B892=""),"",BDP($B892,"NAME"))</f>
        <v/>
      </c>
      <c r="D892">
        <f>IF(OR(SwitchUniverse&lt;&gt;"ON",$B892=""),"",BDP($B892,"GICS_SECTOR_NAME"))</f>
        <v/>
      </c>
    </row>
    <row r="893" spans="2:4">
      <c r="B893">
        <f>IF(TRIM(A893&amp;"")="","",IF(RIGHT(TRIM(A893),7)=" Equity",TRIM(A893),TRIM(A893)&amp;" Equity"))</f>
        <v/>
      </c>
      <c r="C893">
        <f>IF(OR(SwitchUniverse&lt;&gt;"ON",$B893=""),"",BDP($B893,"NAME"))</f>
        <v/>
      </c>
      <c r="D893">
        <f>IF(OR(SwitchUniverse&lt;&gt;"ON",$B893=""),"",BDP($B893,"GICS_SECTOR_NAME"))</f>
        <v/>
      </c>
    </row>
    <row r="894" spans="2:4">
      <c r="B894">
        <f>IF(TRIM(A894&amp;"")="","",IF(RIGHT(TRIM(A894),7)=" Equity",TRIM(A894),TRIM(A894)&amp;" Equity"))</f>
        <v/>
      </c>
      <c r="C894">
        <f>IF(OR(SwitchUniverse&lt;&gt;"ON",$B894=""),"",BDP($B894,"NAME"))</f>
        <v/>
      </c>
      <c r="D894">
        <f>IF(OR(SwitchUniverse&lt;&gt;"ON",$B894=""),"",BDP($B894,"GICS_SECTOR_NAME"))</f>
        <v/>
      </c>
    </row>
    <row r="895" spans="2:4">
      <c r="B895">
        <f>IF(TRIM(A895&amp;"")="","",IF(RIGHT(TRIM(A895),7)=" Equity",TRIM(A895),TRIM(A895)&amp;" Equity"))</f>
        <v/>
      </c>
      <c r="C895">
        <f>IF(OR(SwitchUniverse&lt;&gt;"ON",$B895=""),"",BDP($B895,"NAME"))</f>
        <v/>
      </c>
      <c r="D895">
        <f>IF(OR(SwitchUniverse&lt;&gt;"ON",$B895=""),"",BDP($B895,"GICS_SECTOR_NAME"))</f>
        <v/>
      </c>
    </row>
    <row r="896" spans="2:4">
      <c r="B896">
        <f>IF(TRIM(A896&amp;"")="","",IF(RIGHT(TRIM(A896),7)=" Equity",TRIM(A896),TRIM(A896)&amp;" Equity"))</f>
        <v/>
      </c>
      <c r="C896">
        <f>IF(OR(SwitchUniverse&lt;&gt;"ON",$B896=""),"",BDP($B896,"NAME"))</f>
        <v/>
      </c>
      <c r="D896">
        <f>IF(OR(SwitchUniverse&lt;&gt;"ON",$B896=""),"",BDP($B896,"GICS_SECTOR_NAME"))</f>
        <v/>
      </c>
    </row>
    <row r="897" spans="2:4">
      <c r="B897">
        <f>IF(TRIM(A897&amp;"")="","",IF(RIGHT(TRIM(A897),7)=" Equity",TRIM(A897),TRIM(A897)&amp;" Equity"))</f>
        <v/>
      </c>
      <c r="C897">
        <f>IF(OR(SwitchUniverse&lt;&gt;"ON",$B897=""),"",BDP($B897,"NAME"))</f>
        <v/>
      </c>
      <c r="D897">
        <f>IF(OR(SwitchUniverse&lt;&gt;"ON",$B897=""),"",BDP($B897,"GICS_SECTOR_NAME"))</f>
        <v/>
      </c>
    </row>
    <row r="898" spans="2:4">
      <c r="B898">
        <f>IF(TRIM(A898&amp;"")="","",IF(RIGHT(TRIM(A898),7)=" Equity",TRIM(A898),TRIM(A898)&amp;" Equity"))</f>
        <v/>
      </c>
      <c r="C898">
        <f>IF(OR(SwitchUniverse&lt;&gt;"ON",$B898=""),"",BDP($B898,"NAME"))</f>
        <v/>
      </c>
      <c r="D898">
        <f>IF(OR(SwitchUniverse&lt;&gt;"ON",$B898=""),"",BDP($B898,"GICS_SECTOR_NAME"))</f>
        <v/>
      </c>
    </row>
    <row r="899" spans="2:4">
      <c r="B899">
        <f>IF(TRIM(A899&amp;"")="","",IF(RIGHT(TRIM(A899),7)=" Equity",TRIM(A899),TRIM(A899)&amp;" Equity"))</f>
        <v/>
      </c>
      <c r="C899">
        <f>IF(OR(SwitchUniverse&lt;&gt;"ON",$B899=""),"",BDP($B899,"NAME"))</f>
        <v/>
      </c>
      <c r="D899">
        <f>IF(OR(SwitchUniverse&lt;&gt;"ON",$B899=""),"",BDP($B899,"GICS_SECTOR_NAME"))</f>
        <v/>
      </c>
    </row>
    <row r="900" spans="2:4">
      <c r="B900">
        <f>IF(TRIM(A900&amp;"")="","",IF(RIGHT(TRIM(A900),7)=" Equity",TRIM(A900),TRIM(A900)&amp;" Equity"))</f>
        <v/>
      </c>
      <c r="C900">
        <f>IF(OR(SwitchUniverse&lt;&gt;"ON",$B900=""),"",BDP($B900,"NAME"))</f>
        <v/>
      </c>
      <c r="D900">
        <f>IF(OR(SwitchUniverse&lt;&gt;"ON",$B900=""),"",BDP($B900,"GICS_SECTOR_NAME"))</f>
        <v/>
      </c>
    </row>
    <row r="901" spans="2:4">
      <c r="B901">
        <f>IF(TRIM(A901&amp;"")="","",IF(RIGHT(TRIM(A901),7)=" Equity",TRIM(A901),TRIM(A901)&amp;" Equity"))</f>
        <v/>
      </c>
      <c r="C901">
        <f>IF(OR(SwitchUniverse&lt;&gt;"ON",$B901=""),"",BDP($B901,"NAME"))</f>
        <v/>
      </c>
      <c r="D901">
        <f>IF(OR(SwitchUniverse&lt;&gt;"ON",$B901=""),"",BDP($B901,"GICS_SECTOR_NAME"))</f>
        <v/>
      </c>
    </row>
    <row r="902" spans="2:4">
      <c r="B902">
        <f>IF(TRIM(A902&amp;"")="","",IF(RIGHT(TRIM(A902),7)=" Equity",TRIM(A902),TRIM(A902)&amp;" Equity"))</f>
        <v/>
      </c>
      <c r="C902">
        <f>IF(OR(SwitchUniverse&lt;&gt;"ON",$B902=""),"",BDP($B902,"NAME"))</f>
        <v/>
      </c>
      <c r="D902">
        <f>IF(OR(SwitchUniverse&lt;&gt;"ON",$B902=""),"",BDP($B902,"GICS_SECTOR_NAME"))</f>
        <v/>
      </c>
    </row>
    <row r="903" spans="2:4">
      <c r="B903">
        <f>IF(TRIM(A903&amp;"")="","",IF(RIGHT(TRIM(A903),7)=" Equity",TRIM(A903),TRIM(A903)&amp;" Equity"))</f>
        <v/>
      </c>
      <c r="C903">
        <f>IF(OR(SwitchUniverse&lt;&gt;"ON",$B903=""),"",BDP($B903,"NAME"))</f>
        <v/>
      </c>
      <c r="D903">
        <f>IF(OR(SwitchUniverse&lt;&gt;"ON",$B903=""),"",BDP($B903,"GICS_SECTOR_NAME"))</f>
        <v/>
      </c>
    </row>
    <row r="904" spans="2:4">
      <c r="B904">
        <f>IF(TRIM(A904&amp;"")="","",IF(RIGHT(TRIM(A904),7)=" Equity",TRIM(A904),TRIM(A904)&amp;" Equity"))</f>
        <v/>
      </c>
      <c r="C904">
        <f>IF(OR(SwitchUniverse&lt;&gt;"ON",$B904=""),"",BDP($B904,"NAME"))</f>
        <v/>
      </c>
      <c r="D904">
        <f>IF(OR(SwitchUniverse&lt;&gt;"ON",$B904=""),"",BDP($B904,"GICS_SECTOR_NAME"))</f>
        <v/>
      </c>
    </row>
    <row r="905" spans="2:4">
      <c r="B905">
        <f>IF(TRIM(A905&amp;"")="","",IF(RIGHT(TRIM(A905),7)=" Equity",TRIM(A905),TRIM(A905)&amp;" Equity"))</f>
        <v/>
      </c>
      <c r="C905">
        <f>IF(OR(SwitchUniverse&lt;&gt;"ON",$B905=""),"",BDP($B905,"NAME"))</f>
        <v/>
      </c>
      <c r="D905">
        <f>IF(OR(SwitchUniverse&lt;&gt;"ON",$B905=""),"",BDP($B905,"GICS_SECTOR_NAME"))</f>
        <v/>
      </c>
    </row>
    <row r="906" spans="2:4">
      <c r="B906">
        <f>IF(TRIM(A906&amp;"")="","",IF(RIGHT(TRIM(A906),7)=" Equity",TRIM(A906),TRIM(A906)&amp;" Equity"))</f>
        <v/>
      </c>
      <c r="C906">
        <f>IF(OR(SwitchUniverse&lt;&gt;"ON",$B906=""),"",BDP($B906,"NAME"))</f>
        <v/>
      </c>
      <c r="D906">
        <f>IF(OR(SwitchUniverse&lt;&gt;"ON",$B906=""),"",BDP($B906,"GICS_SECTOR_NAME"))</f>
        <v/>
      </c>
    </row>
    <row r="907" spans="2:4">
      <c r="B907">
        <f>IF(TRIM(A907&amp;"")="","",IF(RIGHT(TRIM(A907),7)=" Equity",TRIM(A907),TRIM(A907)&amp;" Equity"))</f>
        <v/>
      </c>
      <c r="C907">
        <f>IF(OR(SwitchUniverse&lt;&gt;"ON",$B907=""),"",BDP($B907,"NAME"))</f>
        <v/>
      </c>
      <c r="D907">
        <f>IF(OR(SwitchUniverse&lt;&gt;"ON",$B907=""),"",BDP($B907,"GICS_SECTOR_NAME"))</f>
        <v/>
      </c>
    </row>
    <row r="908" spans="2:4">
      <c r="B908">
        <f>IF(TRIM(A908&amp;"")="","",IF(RIGHT(TRIM(A908),7)=" Equity",TRIM(A908),TRIM(A908)&amp;" Equity"))</f>
        <v/>
      </c>
      <c r="C908">
        <f>IF(OR(SwitchUniverse&lt;&gt;"ON",$B908=""),"",BDP($B908,"NAME"))</f>
        <v/>
      </c>
      <c r="D908">
        <f>IF(OR(SwitchUniverse&lt;&gt;"ON",$B908=""),"",BDP($B908,"GICS_SECTOR_NAME"))</f>
        <v/>
      </c>
    </row>
    <row r="909" spans="2:4">
      <c r="B909">
        <f>IF(TRIM(A909&amp;"")="","",IF(RIGHT(TRIM(A909),7)=" Equity",TRIM(A909),TRIM(A909)&amp;" Equity"))</f>
        <v/>
      </c>
      <c r="C909">
        <f>IF(OR(SwitchUniverse&lt;&gt;"ON",$B909=""),"",BDP($B909,"NAME"))</f>
        <v/>
      </c>
      <c r="D909">
        <f>IF(OR(SwitchUniverse&lt;&gt;"ON",$B909=""),"",BDP($B909,"GICS_SECTOR_NAME"))</f>
        <v/>
      </c>
    </row>
    <row r="910" spans="2:4">
      <c r="B910">
        <f>IF(TRIM(A910&amp;"")="","",IF(RIGHT(TRIM(A910),7)=" Equity",TRIM(A910),TRIM(A910)&amp;" Equity"))</f>
        <v/>
      </c>
      <c r="C910">
        <f>IF(OR(SwitchUniverse&lt;&gt;"ON",$B910=""),"",BDP($B910,"NAME"))</f>
        <v/>
      </c>
      <c r="D910">
        <f>IF(OR(SwitchUniverse&lt;&gt;"ON",$B910=""),"",BDP($B910,"GICS_SECTOR_NAME"))</f>
        <v/>
      </c>
    </row>
    <row r="911" spans="2:4">
      <c r="B911">
        <f>IF(TRIM(A911&amp;"")="","",IF(RIGHT(TRIM(A911),7)=" Equity",TRIM(A911),TRIM(A911)&amp;" Equity"))</f>
        <v/>
      </c>
      <c r="C911">
        <f>IF(OR(SwitchUniverse&lt;&gt;"ON",$B911=""),"",BDP($B911,"NAME"))</f>
        <v/>
      </c>
      <c r="D911">
        <f>IF(OR(SwitchUniverse&lt;&gt;"ON",$B911=""),"",BDP($B911,"GICS_SECTOR_NAME"))</f>
        <v/>
      </c>
    </row>
    <row r="912" spans="2:4">
      <c r="B912">
        <f>IF(TRIM(A912&amp;"")="","",IF(RIGHT(TRIM(A912),7)=" Equity",TRIM(A912),TRIM(A912)&amp;" Equity"))</f>
        <v/>
      </c>
      <c r="C912">
        <f>IF(OR(SwitchUniverse&lt;&gt;"ON",$B912=""),"",BDP($B912,"NAME"))</f>
        <v/>
      </c>
      <c r="D912">
        <f>IF(OR(SwitchUniverse&lt;&gt;"ON",$B912=""),"",BDP($B912,"GICS_SECTOR_NAME"))</f>
        <v/>
      </c>
    </row>
    <row r="913" spans="2:4">
      <c r="B913">
        <f>IF(TRIM(A913&amp;"")="","",IF(RIGHT(TRIM(A913),7)=" Equity",TRIM(A913),TRIM(A913)&amp;" Equity"))</f>
        <v/>
      </c>
      <c r="C913">
        <f>IF(OR(SwitchUniverse&lt;&gt;"ON",$B913=""),"",BDP($B913,"NAME"))</f>
        <v/>
      </c>
      <c r="D913">
        <f>IF(OR(SwitchUniverse&lt;&gt;"ON",$B913=""),"",BDP($B913,"GICS_SECTOR_NAME"))</f>
        <v/>
      </c>
    </row>
    <row r="914" spans="2:4">
      <c r="B914">
        <f>IF(TRIM(A914&amp;"")="","",IF(RIGHT(TRIM(A914),7)=" Equity",TRIM(A914),TRIM(A914)&amp;" Equity"))</f>
        <v/>
      </c>
      <c r="C914">
        <f>IF(OR(SwitchUniverse&lt;&gt;"ON",$B914=""),"",BDP($B914,"NAME"))</f>
        <v/>
      </c>
      <c r="D914">
        <f>IF(OR(SwitchUniverse&lt;&gt;"ON",$B914=""),"",BDP($B914,"GICS_SECTOR_NAME"))</f>
        <v/>
      </c>
    </row>
    <row r="915" spans="2:4">
      <c r="B915">
        <f>IF(TRIM(A915&amp;"")="","",IF(RIGHT(TRIM(A915),7)=" Equity",TRIM(A915),TRIM(A915)&amp;" Equity"))</f>
        <v/>
      </c>
      <c r="C915">
        <f>IF(OR(SwitchUniverse&lt;&gt;"ON",$B915=""),"",BDP($B915,"NAME"))</f>
        <v/>
      </c>
      <c r="D915">
        <f>IF(OR(SwitchUniverse&lt;&gt;"ON",$B915=""),"",BDP($B915,"GICS_SECTOR_NAME"))</f>
        <v/>
      </c>
    </row>
    <row r="916" spans="2:4">
      <c r="B916">
        <f>IF(TRIM(A916&amp;"")="","",IF(RIGHT(TRIM(A916),7)=" Equity",TRIM(A916),TRIM(A916)&amp;" Equity"))</f>
        <v/>
      </c>
      <c r="C916">
        <f>IF(OR(SwitchUniverse&lt;&gt;"ON",$B916=""),"",BDP($B916,"NAME"))</f>
        <v/>
      </c>
      <c r="D916">
        <f>IF(OR(SwitchUniverse&lt;&gt;"ON",$B916=""),"",BDP($B916,"GICS_SECTOR_NAME"))</f>
        <v/>
      </c>
    </row>
    <row r="917" spans="2:4">
      <c r="B917">
        <f>IF(TRIM(A917&amp;"")="","",IF(RIGHT(TRIM(A917),7)=" Equity",TRIM(A917),TRIM(A917)&amp;" Equity"))</f>
        <v/>
      </c>
      <c r="C917">
        <f>IF(OR(SwitchUniverse&lt;&gt;"ON",$B917=""),"",BDP($B917,"NAME"))</f>
        <v/>
      </c>
      <c r="D917">
        <f>IF(OR(SwitchUniverse&lt;&gt;"ON",$B917=""),"",BDP($B917,"GICS_SECTOR_NAME"))</f>
        <v/>
      </c>
    </row>
    <row r="918" spans="2:4">
      <c r="B918">
        <f>IF(TRIM(A918&amp;"")="","",IF(RIGHT(TRIM(A918),7)=" Equity",TRIM(A918),TRIM(A918)&amp;" Equity"))</f>
        <v/>
      </c>
      <c r="C918">
        <f>IF(OR(SwitchUniverse&lt;&gt;"ON",$B918=""),"",BDP($B918,"NAME"))</f>
        <v/>
      </c>
      <c r="D918">
        <f>IF(OR(SwitchUniverse&lt;&gt;"ON",$B918=""),"",BDP($B918,"GICS_SECTOR_NAME"))</f>
        <v/>
      </c>
    </row>
    <row r="919" spans="2:4">
      <c r="B919">
        <f>IF(TRIM(A919&amp;"")="","",IF(RIGHT(TRIM(A919),7)=" Equity",TRIM(A919),TRIM(A919)&amp;" Equity"))</f>
        <v/>
      </c>
      <c r="C919">
        <f>IF(OR(SwitchUniverse&lt;&gt;"ON",$B919=""),"",BDP($B919,"NAME"))</f>
        <v/>
      </c>
      <c r="D919">
        <f>IF(OR(SwitchUniverse&lt;&gt;"ON",$B919=""),"",BDP($B919,"GICS_SECTOR_NAME"))</f>
        <v/>
      </c>
    </row>
    <row r="920" spans="2:4">
      <c r="B920">
        <f>IF(TRIM(A920&amp;"")="","",IF(RIGHT(TRIM(A920),7)=" Equity",TRIM(A920),TRIM(A920)&amp;" Equity"))</f>
        <v/>
      </c>
      <c r="C920">
        <f>IF(OR(SwitchUniverse&lt;&gt;"ON",$B920=""),"",BDP($B920,"NAME"))</f>
        <v/>
      </c>
      <c r="D920">
        <f>IF(OR(SwitchUniverse&lt;&gt;"ON",$B920=""),"",BDP($B920,"GICS_SECTOR_NAME"))</f>
        <v/>
      </c>
    </row>
    <row r="921" spans="2:4">
      <c r="B921">
        <f>IF(TRIM(A921&amp;"")="","",IF(RIGHT(TRIM(A921),7)=" Equity",TRIM(A921),TRIM(A921)&amp;" Equity"))</f>
        <v/>
      </c>
      <c r="C921">
        <f>IF(OR(SwitchUniverse&lt;&gt;"ON",$B921=""),"",BDP($B921,"NAME"))</f>
        <v/>
      </c>
      <c r="D921">
        <f>IF(OR(SwitchUniverse&lt;&gt;"ON",$B921=""),"",BDP($B921,"GICS_SECTOR_NAME"))</f>
        <v/>
      </c>
    </row>
    <row r="922" spans="2:4">
      <c r="B922">
        <f>IF(TRIM(A922&amp;"")="","",IF(RIGHT(TRIM(A922),7)=" Equity",TRIM(A922),TRIM(A922)&amp;" Equity"))</f>
        <v/>
      </c>
      <c r="C922">
        <f>IF(OR(SwitchUniverse&lt;&gt;"ON",$B922=""),"",BDP($B922,"NAME"))</f>
        <v/>
      </c>
      <c r="D922">
        <f>IF(OR(SwitchUniverse&lt;&gt;"ON",$B922=""),"",BDP($B922,"GICS_SECTOR_NAME"))</f>
        <v/>
      </c>
    </row>
    <row r="923" spans="2:4">
      <c r="B923">
        <f>IF(TRIM(A923&amp;"")="","",IF(RIGHT(TRIM(A923),7)=" Equity",TRIM(A923),TRIM(A923)&amp;" Equity"))</f>
        <v/>
      </c>
      <c r="C923">
        <f>IF(OR(SwitchUniverse&lt;&gt;"ON",$B923=""),"",BDP($B923,"NAME"))</f>
        <v/>
      </c>
      <c r="D923">
        <f>IF(OR(SwitchUniverse&lt;&gt;"ON",$B923=""),"",BDP($B923,"GICS_SECTOR_NAME"))</f>
        <v/>
      </c>
    </row>
    <row r="924" spans="2:4">
      <c r="B924">
        <f>IF(TRIM(A924&amp;"")="","",IF(RIGHT(TRIM(A924),7)=" Equity",TRIM(A924),TRIM(A924)&amp;" Equity"))</f>
        <v/>
      </c>
      <c r="C924">
        <f>IF(OR(SwitchUniverse&lt;&gt;"ON",$B924=""),"",BDP($B924,"NAME"))</f>
        <v/>
      </c>
      <c r="D924">
        <f>IF(OR(SwitchUniverse&lt;&gt;"ON",$B924=""),"",BDP($B924,"GICS_SECTOR_NAME"))</f>
        <v/>
      </c>
    </row>
    <row r="925" spans="2:4">
      <c r="B925">
        <f>IF(TRIM(A925&amp;"")="","",IF(RIGHT(TRIM(A925),7)=" Equity",TRIM(A925),TRIM(A925)&amp;" Equity"))</f>
        <v/>
      </c>
      <c r="C925">
        <f>IF(OR(SwitchUniverse&lt;&gt;"ON",$B925=""),"",BDP($B925,"NAME"))</f>
        <v/>
      </c>
      <c r="D925">
        <f>IF(OR(SwitchUniverse&lt;&gt;"ON",$B925=""),"",BDP($B925,"GICS_SECTOR_NAME"))</f>
        <v/>
      </c>
    </row>
    <row r="926" spans="2:4">
      <c r="B926">
        <f>IF(TRIM(A926&amp;"")="","",IF(RIGHT(TRIM(A926),7)=" Equity",TRIM(A926),TRIM(A926)&amp;" Equity"))</f>
        <v/>
      </c>
      <c r="C926">
        <f>IF(OR(SwitchUniverse&lt;&gt;"ON",$B926=""),"",BDP($B926,"NAME"))</f>
        <v/>
      </c>
      <c r="D926">
        <f>IF(OR(SwitchUniverse&lt;&gt;"ON",$B926=""),"",BDP($B926,"GICS_SECTOR_NAME"))</f>
        <v/>
      </c>
    </row>
    <row r="927" spans="2:4">
      <c r="B927">
        <f>IF(TRIM(A927&amp;"")="","",IF(RIGHT(TRIM(A927),7)=" Equity",TRIM(A927),TRIM(A927)&amp;" Equity"))</f>
        <v/>
      </c>
      <c r="C927">
        <f>IF(OR(SwitchUniverse&lt;&gt;"ON",$B927=""),"",BDP($B927,"NAME"))</f>
        <v/>
      </c>
      <c r="D927">
        <f>IF(OR(SwitchUniverse&lt;&gt;"ON",$B927=""),"",BDP($B927,"GICS_SECTOR_NAME"))</f>
        <v/>
      </c>
    </row>
    <row r="928" spans="2:4">
      <c r="B928">
        <f>IF(TRIM(A928&amp;"")="","",IF(RIGHT(TRIM(A928),7)=" Equity",TRIM(A928),TRIM(A928)&amp;" Equity"))</f>
        <v/>
      </c>
      <c r="C928">
        <f>IF(OR(SwitchUniverse&lt;&gt;"ON",$B928=""),"",BDP($B928,"NAME"))</f>
        <v/>
      </c>
      <c r="D928">
        <f>IF(OR(SwitchUniverse&lt;&gt;"ON",$B928=""),"",BDP($B928,"GICS_SECTOR_NAME"))</f>
        <v/>
      </c>
    </row>
    <row r="929" spans="2:4">
      <c r="B929">
        <f>IF(TRIM(A929&amp;"")="","",IF(RIGHT(TRIM(A929),7)=" Equity",TRIM(A929),TRIM(A929)&amp;" Equity"))</f>
        <v/>
      </c>
      <c r="C929">
        <f>IF(OR(SwitchUniverse&lt;&gt;"ON",$B929=""),"",BDP($B929,"NAME"))</f>
        <v/>
      </c>
      <c r="D929">
        <f>IF(OR(SwitchUniverse&lt;&gt;"ON",$B929=""),"",BDP($B929,"GICS_SECTOR_NAME"))</f>
        <v/>
      </c>
    </row>
    <row r="930" spans="2:4">
      <c r="B930">
        <f>IF(TRIM(A930&amp;"")="","",IF(RIGHT(TRIM(A930),7)=" Equity",TRIM(A930),TRIM(A930)&amp;" Equity"))</f>
        <v/>
      </c>
      <c r="C930">
        <f>IF(OR(SwitchUniverse&lt;&gt;"ON",$B930=""),"",BDP($B930,"NAME"))</f>
        <v/>
      </c>
      <c r="D930">
        <f>IF(OR(SwitchUniverse&lt;&gt;"ON",$B930=""),"",BDP($B930,"GICS_SECTOR_NAME"))</f>
        <v/>
      </c>
    </row>
    <row r="931" spans="2:4">
      <c r="B931">
        <f>IF(TRIM(A931&amp;"")="","",IF(RIGHT(TRIM(A931),7)=" Equity",TRIM(A931),TRIM(A931)&amp;" Equity"))</f>
        <v/>
      </c>
      <c r="C931">
        <f>IF(OR(SwitchUniverse&lt;&gt;"ON",$B931=""),"",BDP($B931,"NAME"))</f>
        <v/>
      </c>
      <c r="D931">
        <f>IF(OR(SwitchUniverse&lt;&gt;"ON",$B931=""),"",BDP($B931,"GICS_SECTOR_NAME"))</f>
        <v/>
      </c>
    </row>
    <row r="932" spans="2:4">
      <c r="B932">
        <f>IF(TRIM(A932&amp;"")="","",IF(RIGHT(TRIM(A932),7)=" Equity",TRIM(A932),TRIM(A932)&amp;" Equity"))</f>
        <v/>
      </c>
      <c r="C932">
        <f>IF(OR(SwitchUniverse&lt;&gt;"ON",$B932=""),"",BDP($B932,"NAME"))</f>
        <v/>
      </c>
      <c r="D932">
        <f>IF(OR(SwitchUniverse&lt;&gt;"ON",$B932=""),"",BDP($B932,"GICS_SECTOR_NAME"))</f>
        <v/>
      </c>
    </row>
    <row r="933" spans="2:4">
      <c r="B933">
        <f>IF(TRIM(A933&amp;"")="","",IF(RIGHT(TRIM(A933),7)=" Equity",TRIM(A933),TRIM(A933)&amp;" Equity"))</f>
        <v/>
      </c>
      <c r="C933">
        <f>IF(OR(SwitchUniverse&lt;&gt;"ON",$B933=""),"",BDP($B933,"NAME"))</f>
        <v/>
      </c>
      <c r="D933">
        <f>IF(OR(SwitchUniverse&lt;&gt;"ON",$B933=""),"",BDP($B933,"GICS_SECTOR_NAME"))</f>
        <v/>
      </c>
    </row>
    <row r="934" spans="2:4">
      <c r="B934">
        <f>IF(TRIM(A934&amp;"")="","",IF(RIGHT(TRIM(A934),7)=" Equity",TRIM(A934),TRIM(A934)&amp;" Equity"))</f>
        <v/>
      </c>
      <c r="C934">
        <f>IF(OR(SwitchUniverse&lt;&gt;"ON",$B934=""),"",BDP($B934,"NAME"))</f>
        <v/>
      </c>
      <c r="D934">
        <f>IF(OR(SwitchUniverse&lt;&gt;"ON",$B934=""),"",BDP($B934,"GICS_SECTOR_NAME"))</f>
        <v/>
      </c>
    </row>
    <row r="935" spans="2:4">
      <c r="B935">
        <f>IF(TRIM(A935&amp;"")="","",IF(RIGHT(TRIM(A935),7)=" Equity",TRIM(A935),TRIM(A935)&amp;" Equity"))</f>
        <v/>
      </c>
      <c r="C935">
        <f>IF(OR(SwitchUniverse&lt;&gt;"ON",$B935=""),"",BDP($B935,"NAME"))</f>
        <v/>
      </c>
      <c r="D935">
        <f>IF(OR(SwitchUniverse&lt;&gt;"ON",$B935=""),"",BDP($B935,"GICS_SECTOR_NAME"))</f>
        <v/>
      </c>
    </row>
    <row r="936" spans="2:4">
      <c r="B936">
        <f>IF(TRIM(A936&amp;"")="","",IF(RIGHT(TRIM(A936),7)=" Equity",TRIM(A936),TRIM(A936)&amp;" Equity"))</f>
        <v/>
      </c>
      <c r="C936">
        <f>IF(OR(SwitchUniverse&lt;&gt;"ON",$B936=""),"",BDP($B936,"NAME"))</f>
        <v/>
      </c>
      <c r="D936">
        <f>IF(OR(SwitchUniverse&lt;&gt;"ON",$B936=""),"",BDP($B936,"GICS_SECTOR_NAME"))</f>
        <v/>
      </c>
    </row>
    <row r="937" spans="2:4">
      <c r="B937">
        <f>IF(TRIM(A937&amp;"")="","",IF(RIGHT(TRIM(A937),7)=" Equity",TRIM(A937),TRIM(A937)&amp;" Equity"))</f>
        <v/>
      </c>
      <c r="C937">
        <f>IF(OR(SwitchUniverse&lt;&gt;"ON",$B937=""),"",BDP($B937,"NAME"))</f>
        <v/>
      </c>
      <c r="D937">
        <f>IF(OR(SwitchUniverse&lt;&gt;"ON",$B937=""),"",BDP($B937,"GICS_SECTOR_NAME"))</f>
        <v/>
      </c>
    </row>
    <row r="938" spans="2:4">
      <c r="B938">
        <f>IF(TRIM(A938&amp;"")="","",IF(RIGHT(TRIM(A938),7)=" Equity",TRIM(A938),TRIM(A938)&amp;" Equity"))</f>
        <v/>
      </c>
      <c r="C938">
        <f>IF(OR(SwitchUniverse&lt;&gt;"ON",$B938=""),"",BDP($B938,"NAME"))</f>
        <v/>
      </c>
      <c r="D938">
        <f>IF(OR(SwitchUniverse&lt;&gt;"ON",$B938=""),"",BDP($B938,"GICS_SECTOR_NAME"))</f>
        <v/>
      </c>
    </row>
    <row r="939" spans="2:4">
      <c r="B939">
        <f>IF(TRIM(A939&amp;"")="","",IF(RIGHT(TRIM(A939),7)=" Equity",TRIM(A939),TRIM(A939)&amp;" Equity"))</f>
        <v/>
      </c>
      <c r="C939">
        <f>IF(OR(SwitchUniverse&lt;&gt;"ON",$B939=""),"",BDP($B939,"NAME"))</f>
        <v/>
      </c>
      <c r="D939">
        <f>IF(OR(SwitchUniverse&lt;&gt;"ON",$B939=""),"",BDP($B939,"GICS_SECTOR_NAME"))</f>
        <v/>
      </c>
    </row>
    <row r="940" spans="2:4">
      <c r="B940">
        <f>IF(TRIM(A940&amp;"")="","",IF(RIGHT(TRIM(A940),7)=" Equity",TRIM(A940),TRIM(A940)&amp;" Equity"))</f>
        <v/>
      </c>
      <c r="C940">
        <f>IF(OR(SwitchUniverse&lt;&gt;"ON",$B940=""),"",BDP($B940,"NAME"))</f>
        <v/>
      </c>
      <c r="D940">
        <f>IF(OR(SwitchUniverse&lt;&gt;"ON",$B940=""),"",BDP($B940,"GICS_SECTOR_NAME"))</f>
        <v/>
      </c>
    </row>
    <row r="941" spans="2:4">
      <c r="B941">
        <f>IF(TRIM(A941&amp;"")="","",IF(RIGHT(TRIM(A941),7)=" Equity",TRIM(A941),TRIM(A941)&amp;" Equity"))</f>
        <v/>
      </c>
      <c r="C941">
        <f>IF(OR(SwitchUniverse&lt;&gt;"ON",$B941=""),"",BDP($B941,"NAME"))</f>
        <v/>
      </c>
      <c r="D941">
        <f>IF(OR(SwitchUniverse&lt;&gt;"ON",$B941=""),"",BDP($B941,"GICS_SECTOR_NAME"))</f>
        <v/>
      </c>
    </row>
    <row r="942" spans="2:4">
      <c r="B942">
        <f>IF(TRIM(A942&amp;"")="","",IF(RIGHT(TRIM(A942),7)=" Equity",TRIM(A942),TRIM(A942)&amp;" Equity"))</f>
        <v/>
      </c>
      <c r="C942">
        <f>IF(OR(SwitchUniverse&lt;&gt;"ON",$B942=""),"",BDP($B942,"NAME"))</f>
        <v/>
      </c>
      <c r="D942">
        <f>IF(OR(SwitchUniverse&lt;&gt;"ON",$B942=""),"",BDP($B942,"GICS_SECTOR_NAME"))</f>
        <v/>
      </c>
    </row>
    <row r="943" spans="2:4">
      <c r="B943">
        <f>IF(TRIM(A943&amp;"")="","",IF(RIGHT(TRIM(A943),7)=" Equity",TRIM(A943),TRIM(A943)&amp;" Equity"))</f>
        <v/>
      </c>
      <c r="C943">
        <f>IF(OR(SwitchUniverse&lt;&gt;"ON",$B943=""),"",BDP($B943,"NAME"))</f>
        <v/>
      </c>
      <c r="D943">
        <f>IF(OR(SwitchUniverse&lt;&gt;"ON",$B943=""),"",BDP($B943,"GICS_SECTOR_NAME"))</f>
        <v/>
      </c>
    </row>
    <row r="944" spans="2:4">
      <c r="B944">
        <f>IF(TRIM(A944&amp;"")="","",IF(RIGHT(TRIM(A944),7)=" Equity",TRIM(A944),TRIM(A944)&amp;" Equity"))</f>
        <v/>
      </c>
      <c r="C944">
        <f>IF(OR(SwitchUniverse&lt;&gt;"ON",$B944=""),"",BDP($B944,"NAME"))</f>
        <v/>
      </c>
      <c r="D944">
        <f>IF(OR(SwitchUniverse&lt;&gt;"ON",$B944=""),"",BDP($B944,"GICS_SECTOR_NAME"))</f>
        <v/>
      </c>
    </row>
    <row r="945" spans="2:4">
      <c r="B945">
        <f>IF(TRIM(A945&amp;"")="","",IF(RIGHT(TRIM(A945),7)=" Equity",TRIM(A945),TRIM(A945)&amp;" Equity"))</f>
        <v/>
      </c>
      <c r="C945">
        <f>IF(OR(SwitchUniverse&lt;&gt;"ON",$B945=""),"",BDP($B945,"NAME"))</f>
        <v/>
      </c>
      <c r="D945">
        <f>IF(OR(SwitchUniverse&lt;&gt;"ON",$B945=""),"",BDP($B945,"GICS_SECTOR_NAME"))</f>
        <v/>
      </c>
    </row>
    <row r="946" spans="2:4">
      <c r="B946">
        <f>IF(TRIM(A946&amp;"")="","",IF(RIGHT(TRIM(A946),7)=" Equity",TRIM(A946),TRIM(A946)&amp;" Equity"))</f>
        <v/>
      </c>
      <c r="C946">
        <f>IF(OR(SwitchUniverse&lt;&gt;"ON",$B946=""),"",BDP($B946,"NAME"))</f>
        <v/>
      </c>
      <c r="D946">
        <f>IF(OR(SwitchUniverse&lt;&gt;"ON",$B946=""),"",BDP($B946,"GICS_SECTOR_NAME"))</f>
        <v/>
      </c>
    </row>
    <row r="947" spans="2:4">
      <c r="B947">
        <f>IF(TRIM(A947&amp;"")="","",IF(RIGHT(TRIM(A947),7)=" Equity",TRIM(A947),TRIM(A947)&amp;" Equity"))</f>
        <v/>
      </c>
      <c r="C947">
        <f>IF(OR(SwitchUniverse&lt;&gt;"ON",$B947=""),"",BDP($B947,"NAME"))</f>
        <v/>
      </c>
      <c r="D947">
        <f>IF(OR(SwitchUniverse&lt;&gt;"ON",$B947=""),"",BDP($B947,"GICS_SECTOR_NAME"))</f>
        <v/>
      </c>
    </row>
    <row r="948" spans="2:4">
      <c r="B948">
        <f>IF(TRIM(A948&amp;"")="","",IF(RIGHT(TRIM(A948),7)=" Equity",TRIM(A948),TRIM(A948)&amp;" Equity"))</f>
        <v/>
      </c>
      <c r="C948">
        <f>IF(OR(SwitchUniverse&lt;&gt;"ON",$B948=""),"",BDP($B948,"NAME"))</f>
        <v/>
      </c>
      <c r="D948">
        <f>IF(OR(SwitchUniverse&lt;&gt;"ON",$B948=""),"",BDP($B948,"GICS_SECTOR_NAME"))</f>
        <v/>
      </c>
    </row>
    <row r="949" spans="2:4">
      <c r="B949">
        <f>IF(TRIM(A949&amp;"")="","",IF(RIGHT(TRIM(A949),7)=" Equity",TRIM(A949),TRIM(A949)&amp;" Equity"))</f>
        <v/>
      </c>
      <c r="C949">
        <f>IF(OR(SwitchUniverse&lt;&gt;"ON",$B949=""),"",BDP($B949,"NAME"))</f>
        <v/>
      </c>
      <c r="D949">
        <f>IF(OR(SwitchUniverse&lt;&gt;"ON",$B949=""),"",BDP($B949,"GICS_SECTOR_NAME"))</f>
        <v/>
      </c>
    </row>
    <row r="950" spans="2:4">
      <c r="B950">
        <f>IF(TRIM(A950&amp;"")="","",IF(RIGHT(TRIM(A950),7)=" Equity",TRIM(A950),TRIM(A950)&amp;" Equity"))</f>
        <v/>
      </c>
      <c r="C950">
        <f>IF(OR(SwitchUniverse&lt;&gt;"ON",$B950=""),"",BDP($B950,"NAME"))</f>
        <v/>
      </c>
      <c r="D950">
        <f>IF(OR(SwitchUniverse&lt;&gt;"ON",$B950=""),"",BDP($B950,"GICS_SECTOR_NAME"))</f>
        <v/>
      </c>
    </row>
    <row r="951" spans="2:4">
      <c r="B951">
        <f>IF(TRIM(A951&amp;"")="","",IF(RIGHT(TRIM(A951),7)=" Equity",TRIM(A951),TRIM(A951)&amp;" Equity"))</f>
        <v/>
      </c>
      <c r="C951">
        <f>IF(OR(SwitchUniverse&lt;&gt;"ON",$B951=""),"",BDP($B951,"NAME"))</f>
        <v/>
      </c>
      <c r="D951">
        <f>IF(OR(SwitchUniverse&lt;&gt;"ON",$B951=""),"",BDP($B951,"GICS_SECTOR_NAME"))</f>
        <v/>
      </c>
    </row>
    <row r="952" spans="2:4">
      <c r="B952">
        <f>IF(TRIM(A952&amp;"")="","",IF(RIGHT(TRIM(A952),7)=" Equity",TRIM(A952),TRIM(A952)&amp;" Equity"))</f>
        <v/>
      </c>
      <c r="C952">
        <f>IF(OR(SwitchUniverse&lt;&gt;"ON",$B952=""),"",BDP($B952,"NAME"))</f>
        <v/>
      </c>
      <c r="D952">
        <f>IF(OR(SwitchUniverse&lt;&gt;"ON",$B952=""),"",BDP($B952,"GICS_SECTOR_NAME"))</f>
        <v/>
      </c>
    </row>
    <row r="953" spans="2:4">
      <c r="B953">
        <f>IF(TRIM(A953&amp;"")="","",IF(RIGHT(TRIM(A953),7)=" Equity",TRIM(A953),TRIM(A953)&amp;" Equity"))</f>
        <v/>
      </c>
      <c r="C953">
        <f>IF(OR(SwitchUniverse&lt;&gt;"ON",$B953=""),"",BDP($B953,"NAME"))</f>
        <v/>
      </c>
      <c r="D953">
        <f>IF(OR(SwitchUniverse&lt;&gt;"ON",$B953=""),"",BDP($B953,"GICS_SECTOR_NAME"))</f>
        <v/>
      </c>
    </row>
    <row r="954" spans="2:4">
      <c r="B954">
        <f>IF(TRIM(A954&amp;"")="","",IF(RIGHT(TRIM(A954),7)=" Equity",TRIM(A954),TRIM(A954)&amp;" Equity"))</f>
        <v/>
      </c>
      <c r="C954">
        <f>IF(OR(SwitchUniverse&lt;&gt;"ON",$B954=""),"",BDP($B954,"NAME"))</f>
        <v/>
      </c>
      <c r="D954">
        <f>IF(OR(SwitchUniverse&lt;&gt;"ON",$B954=""),"",BDP($B954,"GICS_SECTOR_NAME"))</f>
        <v/>
      </c>
    </row>
    <row r="955" spans="2:4">
      <c r="B955">
        <f>IF(TRIM(A955&amp;"")="","",IF(RIGHT(TRIM(A955),7)=" Equity",TRIM(A955),TRIM(A955)&amp;" Equity"))</f>
        <v/>
      </c>
      <c r="C955">
        <f>IF(OR(SwitchUniverse&lt;&gt;"ON",$B955=""),"",BDP($B955,"NAME"))</f>
        <v/>
      </c>
      <c r="D955">
        <f>IF(OR(SwitchUniverse&lt;&gt;"ON",$B955=""),"",BDP($B955,"GICS_SECTOR_NAME"))</f>
        <v/>
      </c>
    </row>
    <row r="956" spans="2:4">
      <c r="B956">
        <f>IF(TRIM(A956&amp;"")="","",IF(RIGHT(TRIM(A956),7)=" Equity",TRIM(A956),TRIM(A956)&amp;" Equity"))</f>
        <v/>
      </c>
      <c r="C956">
        <f>IF(OR(SwitchUniverse&lt;&gt;"ON",$B956=""),"",BDP($B956,"NAME"))</f>
        <v/>
      </c>
      <c r="D956">
        <f>IF(OR(SwitchUniverse&lt;&gt;"ON",$B956=""),"",BDP($B956,"GICS_SECTOR_NAME"))</f>
        <v/>
      </c>
    </row>
    <row r="957" spans="2:4">
      <c r="B957">
        <f>IF(TRIM(A957&amp;"")="","",IF(RIGHT(TRIM(A957),7)=" Equity",TRIM(A957),TRIM(A957)&amp;" Equity"))</f>
        <v/>
      </c>
      <c r="C957">
        <f>IF(OR(SwitchUniverse&lt;&gt;"ON",$B957=""),"",BDP($B957,"NAME"))</f>
        <v/>
      </c>
      <c r="D957">
        <f>IF(OR(SwitchUniverse&lt;&gt;"ON",$B957=""),"",BDP($B957,"GICS_SECTOR_NAME"))</f>
        <v/>
      </c>
    </row>
    <row r="958" spans="2:4">
      <c r="B958">
        <f>IF(TRIM(A958&amp;"")="","",IF(RIGHT(TRIM(A958),7)=" Equity",TRIM(A958),TRIM(A958)&amp;" Equity"))</f>
        <v/>
      </c>
      <c r="C958">
        <f>IF(OR(SwitchUniverse&lt;&gt;"ON",$B958=""),"",BDP($B958,"NAME"))</f>
        <v/>
      </c>
      <c r="D958">
        <f>IF(OR(SwitchUniverse&lt;&gt;"ON",$B958=""),"",BDP($B958,"GICS_SECTOR_NAME"))</f>
        <v/>
      </c>
    </row>
    <row r="959" spans="2:4">
      <c r="B959">
        <f>IF(TRIM(A959&amp;"")="","",IF(RIGHT(TRIM(A959),7)=" Equity",TRIM(A959),TRIM(A959)&amp;" Equity"))</f>
        <v/>
      </c>
      <c r="C959">
        <f>IF(OR(SwitchUniverse&lt;&gt;"ON",$B959=""),"",BDP($B959,"NAME"))</f>
        <v/>
      </c>
      <c r="D959">
        <f>IF(OR(SwitchUniverse&lt;&gt;"ON",$B959=""),"",BDP($B959,"GICS_SECTOR_NAME"))</f>
        <v/>
      </c>
    </row>
    <row r="960" spans="2:4">
      <c r="B960">
        <f>IF(TRIM(A960&amp;"")="","",IF(RIGHT(TRIM(A960),7)=" Equity",TRIM(A960),TRIM(A960)&amp;" Equity"))</f>
        <v/>
      </c>
      <c r="C960">
        <f>IF(OR(SwitchUniverse&lt;&gt;"ON",$B960=""),"",BDP($B960,"NAME"))</f>
        <v/>
      </c>
      <c r="D960">
        <f>IF(OR(SwitchUniverse&lt;&gt;"ON",$B960=""),"",BDP($B960,"GICS_SECTOR_NAME"))</f>
        <v/>
      </c>
    </row>
    <row r="961" spans="2:4">
      <c r="B961">
        <f>IF(TRIM(A961&amp;"")="","",IF(RIGHT(TRIM(A961),7)=" Equity",TRIM(A961),TRIM(A961)&amp;" Equity"))</f>
        <v/>
      </c>
      <c r="C961">
        <f>IF(OR(SwitchUniverse&lt;&gt;"ON",$B961=""),"",BDP($B961,"NAME"))</f>
        <v/>
      </c>
      <c r="D961">
        <f>IF(OR(SwitchUniverse&lt;&gt;"ON",$B961=""),"",BDP($B961,"GICS_SECTOR_NAME"))</f>
        <v/>
      </c>
    </row>
    <row r="962" spans="2:4">
      <c r="B962">
        <f>IF(TRIM(A962&amp;"")="","",IF(RIGHT(TRIM(A962),7)=" Equity",TRIM(A962),TRIM(A962)&amp;" Equity"))</f>
        <v/>
      </c>
      <c r="C962">
        <f>IF(OR(SwitchUniverse&lt;&gt;"ON",$B962=""),"",BDP($B962,"NAME"))</f>
        <v/>
      </c>
      <c r="D962">
        <f>IF(OR(SwitchUniverse&lt;&gt;"ON",$B962=""),"",BDP($B962,"GICS_SECTOR_NAME"))</f>
        <v/>
      </c>
    </row>
    <row r="963" spans="2:4">
      <c r="B963">
        <f>IF(TRIM(A963&amp;"")="","",IF(RIGHT(TRIM(A963),7)=" Equity",TRIM(A963),TRIM(A963)&amp;" Equity"))</f>
        <v/>
      </c>
      <c r="C963">
        <f>IF(OR(SwitchUniverse&lt;&gt;"ON",$B963=""),"",BDP($B963,"NAME"))</f>
        <v/>
      </c>
      <c r="D963">
        <f>IF(OR(SwitchUniverse&lt;&gt;"ON",$B963=""),"",BDP($B963,"GICS_SECTOR_NAME"))</f>
        <v/>
      </c>
    </row>
    <row r="964" spans="2:4">
      <c r="B964">
        <f>IF(TRIM(A964&amp;"")="","",IF(RIGHT(TRIM(A964),7)=" Equity",TRIM(A964),TRIM(A964)&amp;" Equity"))</f>
        <v/>
      </c>
      <c r="C964">
        <f>IF(OR(SwitchUniverse&lt;&gt;"ON",$B964=""),"",BDP($B964,"NAME"))</f>
        <v/>
      </c>
      <c r="D964">
        <f>IF(OR(SwitchUniverse&lt;&gt;"ON",$B964=""),"",BDP($B964,"GICS_SECTOR_NAME"))</f>
        <v/>
      </c>
    </row>
    <row r="965" spans="2:4">
      <c r="B965">
        <f>IF(TRIM(A965&amp;"")="","",IF(RIGHT(TRIM(A965),7)=" Equity",TRIM(A965),TRIM(A965)&amp;" Equity"))</f>
        <v/>
      </c>
      <c r="C965">
        <f>IF(OR(SwitchUniverse&lt;&gt;"ON",$B965=""),"",BDP($B965,"NAME"))</f>
        <v/>
      </c>
      <c r="D965">
        <f>IF(OR(SwitchUniverse&lt;&gt;"ON",$B965=""),"",BDP($B965,"GICS_SECTOR_NAME"))</f>
        <v/>
      </c>
    </row>
    <row r="966" spans="2:4">
      <c r="B966">
        <f>IF(TRIM(A966&amp;"")="","",IF(RIGHT(TRIM(A966),7)=" Equity",TRIM(A966),TRIM(A966)&amp;" Equity"))</f>
        <v/>
      </c>
      <c r="C966">
        <f>IF(OR(SwitchUniverse&lt;&gt;"ON",$B966=""),"",BDP($B966,"NAME"))</f>
        <v/>
      </c>
      <c r="D966">
        <f>IF(OR(SwitchUniverse&lt;&gt;"ON",$B966=""),"",BDP($B966,"GICS_SECTOR_NAME"))</f>
        <v/>
      </c>
    </row>
    <row r="967" spans="2:4">
      <c r="B967">
        <f>IF(TRIM(A967&amp;"")="","",IF(RIGHT(TRIM(A967),7)=" Equity",TRIM(A967),TRIM(A967)&amp;" Equity"))</f>
        <v/>
      </c>
      <c r="C967">
        <f>IF(OR(SwitchUniverse&lt;&gt;"ON",$B967=""),"",BDP($B967,"NAME"))</f>
        <v/>
      </c>
      <c r="D967">
        <f>IF(OR(SwitchUniverse&lt;&gt;"ON",$B967=""),"",BDP($B967,"GICS_SECTOR_NAME"))</f>
        <v/>
      </c>
    </row>
    <row r="968" spans="2:4">
      <c r="B968">
        <f>IF(TRIM(A968&amp;"")="","",IF(RIGHT(TRIM(A968),7)=" Equity",TRIM(A968),TRIM(A968)&amp;" Equity"))</f>
        <v/>
      </c>
      <c r="C968">
        <f>IF(OR(SwitchUniverse&lt;&gt;"ON",$B968=""),"",BDP($B968,"NAME"))</f>
        <v/>
      </c>
      <c r="D968">
        <f>IF(OR(SwitchUniverse&lt;&gt;"ON",$B968=""),"",BDP($B968,"GICS_SECTOR_NAME"))</f>
        <v/>
      </c>
    </row>
    <row r="969" spans="2:4">
      <c r="B969">
        <f>IF(TRIM(A969&amp;"")="","",IF(RIGHT(TRIM(A969),7)=" Equity",TRIM(A969),TRIM(A969)&amp;" Equity"))</f>
        <v/>
      </c>
      <c r="C969">
        <f>IF(OR(SwitchUniverse&lt;&gt;"ON",$B969=""),"",BDP($B969,"NAME"))</f>
        <v/>
      </c>
      <c r="D969">
        <f>IF(OR(SwitchUniverse&lt;&gt;"ON",$B969=""),"",BDP($B969,"GICS_SECTOR_NAME"))</f>
        <v/>
      </c>
    </row>
    <row r="970" spans="2:4">
      <c r="B970">
        <f>IF(TRIM(A970&amp;"")="","",IF(RIGHT(TRIM(A970),7)=" Equity",TRIM(A970),TRIM(A970)&amp;" Equity"))</f>
        <v/>
      </c>
      <c r="C970">
        <f>IF(OR(SwitchUniverse&lt;&gt;"ON",$B970=""),"",BDP($B970,"NAME"))</f>
        <v/>
      </c>
      <c r="D970">
        <f>IF(OR(SwitchUniverse&lt;&gt;"ON",$B970=""),"",BDP($B970,"GICS_SECTOR_NAME"))</f>
        <v/>
      </c>
    </row>
    <row r="971" spans="2:4">
      <c r="B971">
        <f>IF(TRIM(A971&amp;"")="","",IF(RIGHT(TRIM(A971),7)=" Equity",TRIM(A971),TRIM(A971)&amp;" Equity"))</f>
        <v/>
      </c>
      <c r="C971">
        <f>IF(OR(SwitchUniverse&lt;&gt;"ON",$B971=""),"",BDP($B971,"NAME"))</f>
        <v/>
      </c>
      <c r="D971">
        <f>IF(OR(SwitchUniverse&lt;&gt;"ON",$B971=""),"",BDP($B971,"GICS_SECTOR_NAME"))</f>
        <v/>
      </c>
    </row>
    <row r="972" spans="2:4">
      <c r="B972">
        <f>IF(TRIM(A972&amp;"")="","",IF(RIGHT(TRIM(A972),7)=" Equity",TRIM(A972),TRIM(A972)&amp;" Equity"))</f>
        <v/>
      </c>
      <c r="C972">
        <f>IF(OR(SwitchUniverse&lt;&gt;"ON",$B972=""),"",BDP($B972,"NAME"))</f>
        <v/>
      </c>
      <c r="D972">
        <f>IF(OR(SwitchUniverse&lt;&gt;"ON",$B972=""),"",BDP($B972,"GICS_SECTOR_NAME"))</f>
        <v/>
      </c>
    </row>
    <row r="973" spans="2:4">
      <c r="B973">
        <f>IF(TRIM(A973&amp;"")="","",IF(RIGHT(TRIM(A973),7)=" Equity",TRIM(A973),TRIM(A973)&amp;" Equity"))</f>
        <v/>
      </c>
      <c r="C973">
        <f>IF(OR(SwitchUniverse&lt;&gt;"ON",$B973=""),"",BDP($B973,"NAME"))</f>
        <v/>
      </c>
      <c r="D973">
        <f>IF(OR(SwitchUniverse&lt;&gt;"ON",$B973=""),"",BDP($B973,"GICS_SECTOR_NAME"))</f>
        <v/>
      </c>
    </row>
    <row r="974" spans="2:4">
      <c r="B974">
        <f>IF(TRIM(A974&amp;"")="","",IF(RIGHT(TRIM(A974),7)=" Equity",TRIM(A974),TRIM(A974)&amp;" Equity"))</f>
        <v/>
      </c>
      <c r="C974">
        <f>IF(OR(SwitchUniverse&lt;&gt;"ON",$B974=""),"",BDP($B974,"NAME"))</f>
        <v/>
      </c>
      <c r="D974">
        <f>IF(OR(SwitchUniverse&lt;&gt;"ON",$B974=""),"",BDP($B974,"GICS_SECTOR_NAME"))</f>
        <v/>
      </c>
    </row>
    <row r="975" spans="2:4">
      <c r="B975">
        <f>IF(TRIM(A975&amp;"")="","",IF(RIGHT(TRIM(A975),7)=" Equity",TRIM(A975),TRIM(A975)&amp;" Equity"))</f>
        <v/>
      </c>
      <c r="C975">
        <f>IF(OR(SwitchUniverse&lt;&gt;"ON",$B975=""),"",BDP($B975,"NAME"))</f>
        <v/>
      </c>
      <c r="D975">
        <f>IF(OR(SwitchUniverse&lt;&gt;"ON",$B975=""),"",BDP($B975,"GICS_SECTOR_NAME"))</f>
        <v/>
      </c>
    </row>
    <row r="976" spans="2:4">
      <c r="B976">
        <f>IF(TRIM(A976&amp;"")="","",IF(RIGHT(TRIM(A976),7)=" Equity",TRIM(A976),TRIM(A976)&amp;" Equity"))</f>
        <v/>
      </c>
      <c r="C976">
        <f>IF(OR(SwitchUniverse&lt;&gt;"ON",$B976=""),"",BDP($B976,"NAME"))</f>
        <v/>
      </c>
      <c r="D976">
        <f>IF(OR(SwitchUniverse&lt;&gt;"ON",$B976=""),"",BDP($B976,"GICS_SECTOR_NAME"))</f>
        <v/>
      </c>
    </row>
    <row r="977" spans="2:4">
      <c r="B977">
        <f>IF(TRIM(A977&amp;"")="","",IF(RIGHT(TRIM(A977),7)=" Equity",TRIM(A977),TRIM(A977)&amp;" Equity"))</f>
        <v/>
      </c>
      <c r="C977">
        <f>IF(OR(SwitchUniverse&lt;&gt;"ON",$B977=""),"",BDP($B977,"NAME"))</f>
        <v/>
      </c>
      <c r="D977">
        <f>IF(OR(SwitchUniverse&lt;&gt;"ON",$B977=""),"",BDP($B977,"GICS_SECTOR_NAME"))</f>
        <v/>
      </c>
    </row>
    <row r="978" spans="2:4">
      <c r="B978">
        <f>IF(TRIM(A978&amp;"")="","",IF(RIGHT(TRIM(A978),7)=" Equity",TRIM(A978),TRIM(A978)&amp;" Equity"))</f>
        <v/>
      </c>
      <c r="C978">
        <f>IF(OR(SwitchUniverse&lt;&gt;"ON",$B978=""),"",BDP($B978,"NAME"))</f>
        <v/>
      </c>
      <c r="D978">
        <f>IF(OR(SwitchUniverse&lt;&gt;"ON",$B978=""),"",BDP($B978,"GICS_SECTOR_NAME"))</f>
        <v/>
      </c>
    </row>
    <row r="979" spans="2:4">
      <c r="B979">
        <f>IF(TRIM(A979&amp;"")="","",IF(RIGHT(TRIM(A979),7)=" Equity",TRIM(A979),TRIM(A979)&amp;" Equity"))</f>
        <v/>
      </c>
      <c r="C979">
        <f>IF(OR(SwitchUniverse&lt;&gt;"ON",$B979=""),"",BDP($B979,"NAME"))</f>
        <v/>
      </c>
      <c r="D979">
        <f>IF(OR(SwitchUniverse&lt;&gt;"ON",$B979=""),"",BDP($B979,"GICS_SECTOR_NAME"))</f>
        <v/>
      </c>
    </row>
    <row r="980" spans="2:4">
      <c r="B980">
        <f>IF(TRIM(A980&amp;"")="","",IF(RIGHT(TRIM(A980),7)=" Equity",TRIM(A980),TRIM(A980)&amp;" Equity"))</f>
        <v/>
      </c>
      <c r="C980">
        <f>IF(OR(SwitchUniverse&lt;&gt;"ON",$B980=""),"",BDP($B980,"NAME"))</f>
        <v/>
      </c>
      <c r="D980">
        <f>IF(OR(SwitchUniverse&lt;&gt;"ON",$B980=""),"",BDP($B980,"GICS_SECTOR_NAME"))</f>
        <v/>
      </c>
    </row>
    <row r="981" spans="2:4">
      <c r="B981">
        <f>IF(TRIM(A981&amp;"")="","",IF(RIGHT(TRIM(A981),7)=" Equity",TRIM(A981),TRIM(A981)&amp;" Equity"))</f>
        <v/>
      </c>
      <c r="C981">
        <f>IF(OR(SwitchUniverse&lt;&gt;"ON",$B981=""),"",BDP($B981,"NAME"))</f>
        <v/>
      </c>
      <c r="D981">
        <f>IF(OR(SwitchUniverse&lt;&gt;"ON",$B981=""),"",BDP($B981,"GICS_SECTOR_NAME"))</f>
        <v/>
      </c>
    </row>
    <row r="982" spans="2:4">
      <c r="B982">
        <f>IF(TRIM(A982&amp;"")="","",IF(RIGHT(TRIM(A982),7)=" Equity",TRIM(A982),TRIM(A982)&amp;" Equity"))</f>
        <v/>
      </c>
      <c r="C982">
        <f>IF(OR(SwitchUniverse&lt;&gt;"ON",$B982=""),"",BDP($B982,"NAME"))</f>
        <v/>
      </c>
      <c r="D982">
        <f>IF(OR(SwitchUniverse&lt;&gt;"ON",$B982=""),"",BDP($B982,"GICS_SECTOR_NAME"))</f>
        <v/>
      </c>
    </row>
    <row r="983" spans="2:4">
      <c r="B983">
        <f>IF(TRIM(A983&amp;"")="","",IF(RIGHT(TRIM(A983),7)=" Equity",TRIM(A983),TRIM(A983)&amp;" Equity"))</f>
        <v/>
      </c>
      <c r="C983">
        <f>IF(OR(SwitchUniverse&lt;&gt;"ON",$B983=""),"",BDP($B983,"NAME"))</f>
        <v/>
      </c>
      <c r="D983">
        <f>IF(OR(SwitchUniverse&lt;&gt;"ON",$B983=""),"",BDP($B983,"GICS_SECTOR_NAME"))</f>
        <v/>
      </c>
    </row>
    <row r="984" spans="2:4">
      <c r="B984">
        <f>IF(TRIM(A984&amp;"")="","",IF(RIGHT(TRIM(A984),7)=" Equity",TRIM(A984),TRIM(A984)&amp;" Equity"))</f>
        <v/>
      </c>
      <c r="C984">
        <f>IF(OR(SwitchUniverse&lt;&gt;"ON",$B984=""),"",BDP($B984,"NAME"))</f>
        <v/>
      </c>
      <c r="D984">
        <f>IF(OR(SwitchUniverse&lt;&gt;"ON",$B984=""),"",BDP($B984,"GICS_SECTOR_NAME"))</f>
        <v/>
      </c>
    </row>
    <row r="985" spans="2:4">
      <c r="B985">
        <f>IF(TRIM(A985&amp;"")="","",IF(RIGHT(TRIM(A985),7)=" Equity",TRIM(A985),TRIM(A985)&amp;" Equity"))</f>
        <v/>
      </c>
      <c r="C985">
        <f>IF(OR(SwitchUniverse&lt;&gt;"ON",$B985=""),"",BDP($B985,"NAME"))</f>
        <v/>
      </c>
      <c r="D985">
        <f>IF(OR(SwitchUniverse&lt;&gt;"ON",$B985=""),"",BDP($B985,"GICS_SECTOR_NAME"))</f>
        <v/>
      </c>
    </row>
    <row r="986" spans="2:4">
      <c r="B986">
        <f>IF(TRIM(A986&amp;"")="","",IF(RIGHT(TRIM(A986),7)=" Equity",TRIM(A986),TRIM(A986)&amp;" Equity"))</f>
        <v/>
      </c>
      <c r="C986">
        <f>IF(OR(SwitchUniverse&lt;&gt;"ON",$B986=""),"",BDP($B986,"NAME"))</f>
        <v/>
      </c>
      <c r="D986">
        <f>IF(OR(SwitchUniverse&lt;&gt;"ON",$B986=""),"",BDP($B986,"GICS_SECTOR_NAME"))</f>
        <v/>
      </c>
    </row>
    <row r="987" spans="2:4">
      <c r="B987">
        <f>IF(TRIM(A987&amp;"")="","",IF(RIGHT(TRIM(A987),7)=" Equity",TRIM(A987),TRIM(A987)&amp;" Equity"))</f>
        <v/>
      </c>
      <c r="C987">
        <f>IF(OR(SwitchUniverse&lt;&gt;"ON",$B987=""),"",BDP($B987,"NAME"))</f>
        <v/>
      </c>
      <c r="D987">
        <f>IF(OR(SwitchUniverse&lt;&gt;"ON",$B987=""),"",BDP($B987,"GICS_SECTOR_NAME"))</f>
        <v/>
      </c>
    </row>
    <row r="988" spans="2:4">
      <c r="B988">
        <f>IF(TRIM(A988&amp;"")="","",IF(RIGHT(TRIM(A988),7)=" Equity",TRIM(A988),TRIM(A988)&amp;" Equity"))</f>
        <v/>
      </c>
      <c r="C988">
        <f>IF(OR(SwitchUniverse&lt;&gt;"ON",$B988=""),"",BDP($B988,"NAME"))</f>
        <v/>
      </c>
      <c r="D988">
        <f>IF(OR(SwitchUniverse&lt;&gt;"ON",$B988=""),"",BDP($B988,"GICS_SECTOR_NAME"))</f>
        <v/>
      </c>
    </row>
    <row r="989" spans="2:4">
      <c r="B989">
        <f>IF(TRIM(A989&amp;"")="","",IF(RIGHT(TRIM(A989),7)=" Equity",TRIM(A989),TRIM(A989)&amp;" Equity"))</f>
        <v/>
      </c>
      <c r="C989">
        <f>IF(OR(SwitchUniverse&lt;&gt;"ON",$B989=""),"",BDP($B989,"NAME"))</f>
        <v/>
      </c>
      <c r="D989">
        <f>IF(OR(SwitchUniverse&lt;&gt;"ON",$B989=""),"",BDP($B989,"GICS_SECTOR_NAME"))</f>
        <v/>
      </c>
    </row>
    <row r="990" spans="2:4">
      <c r="B990">
        <f>IF(TRIM(A990&amp;"")="","",IF(RIGHT(TRIM(A990),7)=" Equity",TRIM(A990),TRIM(A990)&amp;" Equity"))</f>
        <v/>
      </c>
      <c r="C990">
        <f>IF(OR(SwitchUniverse&lt;&gt;"ON",$B990=""),"",BDP($B990,"NAME"))</f>
        <v/>
      </c>
      <c r="D990">
        <f>IF(OR(SwitchUniverse&lt;&gt;"ON",$B990=""),"",BDP($B990,"GICS_SECTOR_NAME"))</f>
        <v/>
      </c>
    </row>
    <row r="991" spans="2:4">
      <c r="B991">
        <f>IF(TRIM(A991&amp;"")="","",IF(RIGHT(TRIM(A991),7)=" Equity",TRIM(A991),TRIM(A991)&amp;" Equity"))</f>
        <v/>
      </c>
      <c r="C991">
        <f>IF(OR(SwitchUniverse&lt;&gt;"ON",$B991=""),"",BDP($B991,"NAME"))</f>
        <v/>
      </c>
      <c r="D991">
        <f>IF(OR(SwitchUniverse&lt;&gt;"ON",$B991=""),"",BDP($B991,"GICS_SECTOR_NAME"))</f>
        <v/>
      </c>
    </row>
    <row r="992" spans="2:4">
      <c r="B992">
        <f>IF(TRIM(A992&amp;"")="","",IF(RIGHT(TRIM(A992),7)=" Equity",TRIM(A992),TRIM(A992)&amp;" Equity"))</f>
        <v/>
      </c>
      <c r="C992">
        <f>IF(OR(SwitchUniverse&lt;&gt;"ON",$B992=""),"",BDP($B992,"NAME"))</f>
        <v/>
      </c>
      <c r="D992">
        <f>IF(OR(SwitchUniverse&lt;&gt;"ON",$B992=""),"",BDP($B992,"GICS_SECTOR_NAME"))</f>
        <v/>
      </c>
    </row>
    <row r="993" spans="2:4">
      <c r="B993">
        <f>IF(TRIM(A993&amp;"")="","",IF(RIGHT(TRIM(A993),7)=" Equity",TRIM(A993),TRIM(A993)&amp;" Equity"))</f>
        <v/>
      </c>
      <c r="C993">
        <f>IF(OR(SwitchUniverse&lt;&gt;"ON",$B993=""),"",BDP($B993,"NAME"))</f>
        <v/>
      </c>
      <c r="D993">
        <f>IF(OR(SwitchUniverse&lt;&gt;"ON",$B993=""),"",BDP($B993,"GICS_SECTOR_NAME"))</f>
        <v/>
      </c>
    </row>
    <row r="994" spans="2:4">
      <c r="B994">
        <f>IF(TRIM(A994&amp;"")="","",IF(RIGHT(TRIM(A994),7)=" Equity",TRIM(A994),TRIM(A994)&amp;" Equity"))</f>
        <v/>
      </c>
      <c r="C994">
        <f>IF(OR(SwitchUniverse&lt;&gt;"ON",$B994=""),"",BDP($B994,"NAME"))</f>
        <v/>
      </c>
      <c r="D994">
        <f>IF(OR(SwitchUniverse&lt;&gt;"ON",$B994=""),"",BDP($B994,"GICS_SECTOR_NAME"))</f>
        <v/>
      </c>
    </row>
    <row r="995" spans="2:4">
      <c r="B995">
        <f>IF(TRIM(A995&amp;"")="","",IF(RIGHT(TRIM(A995),7)=" Equity",TRIM(A995),TRIM(A995)&amp;" Equity"))</f>
        <v/>
      </c>
      <c r="C995">
        <f>IF(OR(SwitchUniverse&lt;&gt;"ON",$B995=""),"",BDP($B995,"NAME"))</f>
        <v/>
      </c>
      <c r="D995">
        <f>IF(OR(SwitchUniverse&lt;&gt;"ON",$B995=""),"",BDP($B995,"GICS_SECTOR_NAME"))</f>
        <v/>
      </c>
    </row>
    <row r="996" spans="2:4">
      <c r="B996">
        <f>IF(TRIM(A996&amp;"")="","",IF(RIGHT(TRIM(A996),7)=" Equity",TRIM(A996),TRIM(A996)&amp;" Equity"))</f>
        <v/>
      </c>
      <c r="C996">
        <f>IF(OR(SwitchUniverse&lt;&gt;"ON",$B996=""),"",BDP($B996,"NAME"))</f>
        <v/>
      </c>
      <c r="D996">
        <f>IF(OR(SwitchUniverse&lt;&gt;"ON",$B996=""),"",BDP($B996,"GICS_SECTOR_NAME"))</f>
        <v/>
      </c>
    </row>
    <row r="997" spans="2:4">
      <c r="B997">
        <f>IF(TRIM(A997&amp;"")="","",IF(RIGHT(TRIM(A997),7)=" Equity",TRIM(A997),TRIM(A997)&amp;" Equity"))</f>
        <v/>
      </c>
      <c r="C997">
        <f>IF(OR(SwitchUniverse&lt;&gt;"ON",$B997=""),"",BDP($B997,"NAME"))</f>
        <v/>
      </c>
      <c r="D997">
        <f>IF(OR(SwitchUniverse&lt;&gt;"ON",$B997=""),"",BDP($B997,"GICS_SECTOR_NAME"))</f>
        <v/>
      </c>
    </row>
    <row r="998" spans="2:4">
      <c r="B998">
        <f>IF(TRIM(A998&amp;"")="","",IF(RIGHT(TRIM(A998),7)=" Equity",TRIM(A998),TRIM(A998)&amp;" Equity"))</f>
        <v/>
      </c>
      <c r="C998">
        <f>IF(OR(SwitchUniverse&lt;&gt;"ON",$B998=""),"",BDP($B998,"NAME"))</f>
        <v/>
      </c>
      <c r="D998">
        <f>IF(OR(SwitchUniverse&lt;&gt;"ON",$B998=""),"",BDP($B998,"GICS_SECTOR_NAME"))</f>
        <v/>
      </c>
    </row>
    <row r="999" spans="2:4">
      <c r="B999">
        <f>IF(TRIM(A999&amp;"")="","",IF(RIGHT(TRIM(A999),7)=" Equity",TRIM(A999),TRIM(A999)&amp;" Equity"))</f>
        <v/>
      </c>
      <c r="C999">
        <f>IF(OR(SwitchUniverse&lt;&gt;"ON",$B999=""),"",BDP($B999,"NAME"))</f>
        <v/>
      </c>
      <c r="D999">
        <f>IF(OR(SwitchUniverse&lt;&gt;"ON",$B999=""),"",BDP($B999,"GICS_SECTOR_NAME"))</f>
        <v/>
      </c>
    </row>
    <row r="1000" spans="2:4">
      <c r="B1000">
        <f>IF(TRIM(A1000&amp;"")="","",IF(RIGHT(TRIM(A1000),7)=" Equity",TRIM(A1000),TRIM(A1000)&amp;" Equity"))</f>
        <v/>
      </c>
      <c r="C1000">
        <f>IF(OR(SwitchUniverse&lt;&gt;"ON",$B1000=""),"",BDP($B1000,"NAME"))</f>
        <v/>
      </c>
      <c r="D1000">
        <f>IF(OR(SwitchUniverse&lt;&gt;"ON",$B1000=""),"",BDP($B1000,"GICS_SECTOR_NAME"))</f>
        <v/>
      </c>
    </row>
    <row r="1001" spans="2:4">
      <c r="B1001">
        <f>IF(TRIM(A1001&amp;"")="","",IF(RIGHT(TRIM(A1001),7)=" Equity",TRIM(A1001),TRIM(A1001)&amp;" Equity"))</f>
        <v/>
      </c>
      <c r="C1001">
        <f>IF(OR(SwitchUniverse&lt;&gt;"ON",$B1001=""),"",BDP($B1001,"NAME"))</f>
        <v/>
      </c>
      <c r="D1001">
        <f>IF(OR(SwitchUniverse&lt;&gt;"ON",$B1001=""),"",BDP($B1001,"GICS_SECTOR_NAME"))</f>
        <v/>
      </c>
    </row>
    <row r="1002" spans="2:4">
      <c r="B1002">
        <f>IF(TRIM(A1002&amp;"")="","",IF(RIGHT(TRIM(A1002),7)=" Equity",TRIM(A1002),TRIM(A1002)&amp;" Equity"))</f>
        <v/>
      </c>
      <c r="C1002">
        <f>IF(OR(SwitchUniverse&lt;&gt;"ON",$B1002=""),"",BDP($B1002,"NAME"))</f>
        <v/>
      </c>
      <c r="D1002">
        <f>IF(OR(SwitchUniverse&lt;&gt;"ON",$B1002=""),"",BDP($B1002,"GICS_SECTOR_NAME"))</f>
        <v/>
      </c>
    </row>
    <row r="1003" spans="2:4">
      <c r="B1003">
        <f>IF(TRIM(A1003&amp;"")="","",IF(RIGHT(TRIM(A1003),7)=" Equity",TRIM(A1003),TRIM(A1003)&amp;" Equity"))</f>
        <v/>
      </c>
      <c r="C1003">
        <f>IF(OR(SwitchUniverse&lt;&gt;"ON",$B1003=""),"",BDP($B1003,"NAME"))</f>
        <v/>
      </c>
      <c r="D1003">
        <f>IF(OR(SwitchUniverse&lt;&gt;"ON",$B1003=""),"",BDP($B1003,"GICS_SECTOR_NAME"))</f>
        <v/>
      </c>
    </row>
    <row r="1004" spans="2:4">
      <c r="B1004">
        <f>IF(TRIM(A1004&amp;"")="","",IF(RIGHT(TRIM(A1004),7)=" Equity",TRIM(A1004),TRIM(A1004)&amp;" Equity"))</f>
        <v/>
      </c>
      <c r="C1004">
        <f>IF(OR(SwitchUniverse&lt;&gt;"ON",$B1004=""),"",BDP($B1004,"NAME"))</f>
        <v/>
      </c>
      <c r="D1004">
        <f>IF(OR(SwitchUniverse&lt;&gt;"ON",$B1004=""),"",BDP($B1004,"GICS_SECTOR_NAME"))</f>
        <v/>
      </c>
    </row>
    <row r="1005" spans="2:4">
      <c r="B1005">
        <f>IF(TRIM(A1005&amp;"")="","",IF(RIGHT(TRIM(A1005),7)=" Equity",TRIM(A1005),TRIM(A1005)&amp;" Equity"))</f>
        <v/>
      </c>
      <c r="C1005">
        <f>IF(OR(SwitchUniverse&lt;&gt;"ON",$B1005=""),"",BDP($B1005,"NAME"))</f>
        <v/>
      </c>
      <c r="D1005">
        <f>IF(OR(SwitchUniverse&lt;&gt;"ON",$B1005=""),"",BDP($B1005,"GICS_SECTOR_NAME"))</f>
        <v/>
      </c>
    </row>
    <row r="1006" spans="2:4">
      <c r="B1006">
        <f>IF(TRIM(A1006&amp;"")="","",IF(RIGHT(TRIM(A1006),7)=" Equity",TRIM(A1006),TRIM(A1006)&amp;" Equity"))</f>
        <v/>
      </c>
      <c r="C1006">
        <f>IF(OR(SwitchUniverse&lt;&gt;"ON",$B1006=""),"",BDP($B1006,"NAME"))</f>
        <v/>
      </c>
      <c r="D1006">
        <f>IF(OR(SwitchUniverse&lt;&gt;"ON",$B1006=""),"",BDP($B1006,"GICS_SECTOR_NAME"))</f>
        <v/>
      </c>
    </row>
    <row r="1007" spans="2:4">
      <c r="B1007">
        <f>IF(TRIM(A1007&amp;"")="","",IF(RIGHT(TRIM(A1007),7)=" Equity",TRIM(A1007),TRIM(A1007)&amp;" Equity"))</f>
        <v/>
      </c>
      <c r="C1007">
        <f>IF(OR(SwitchUniverse&lt;&gt;"ON",$B1007=""),"",BDP($B1007,"NAME"))</f>
        <v/>
      </c>
      <c r="D1007">
        <f>IF(OR(SwitchUniverse&lt;&gt;"ON",$B1007=""),"",BDP($B1007,"GICS_SECTOR_NAME"))</f>
        <v/>
      </c>
    </row>
    <row r="1008" spans="2:4">
      <c r="B1008">
        <f>IF(TRIM(A1008&amp;"")="","",IF(RIGHT(TRIM(A1008),7)=" Equity",TRIM(A1008),TRIM(A1008)&amp;" Equity"))</f>
        <v/>
      </c>
      <c r="C1008">
        <f>IF(OR(SwitchUniverse&lt;&gt;"ON",$B1008=""),"",BDP($B1008,"NAME"))</f>
        <v/>
      </c>
      <c r="D1008">
        <f>IF(OR(SwitchUniverse&lt;&gt;"ON",$B1008=""),"",BDP($B1008,"GICS_SECTOR_NAME"))</f>
        <v/>
      </c>
    </row>
    <row r="1009" spans="2:4">
      <c r="B1009">
        <f>IF(TRIM(A1009&amp;"")="","",IF(RIGHT(TRIM(A1009),7)=" Equity",TRIM(A1009),TRIM(A1009)&amp;" Equity"))</f>
        <v/>
      </c>
      <c r="C1009">
        <f>IF(OR(SwitchUniverse&lt;&gt;"ON",$B1009=""),"",BDP($B1009,"NAME"))</f>
        <v/>
      </c>
      <c r="D1009">
        <f>IF(OR(SwitchUniverse&lt;&gt;"ON",$B1009=""),"",BDP($B1009,"GICS_SECTOR_NAME"))</f>
        <v/>
      </c>
    </row>
    <row r="1010" spans="2:4">
      <c r="B1010">
        <f>IF(TRIM(A1010&amp;"")="","",IF(RIGHT(TRIM(A1010),7)=" Equity",TRIM(A1010),TRIM(A1010)&amp;" Equity"))</f>
        <v/>
      </c>
      <c r="C1010">
        <f>IF(OR(SwitchUniverse&lt;&gt;"ON",$B1010=""),"",BDP($B1010,"NAME"))</f>
        <v/>
      </c>
      <c r="D1010">
        <f>IF(OR(SwitchUniverse&lt;&gt;"ON",$B1010=""),"",BDP($B1010,"GICS_SECTOR_NAME"))</f>
        <v/>
      </c>
    </row>
    <row r="1011" spans="2:4">
      <c r="B1011">
        <f>IF(TRIM(A1011&amp;"")="","",IF(RIGHT(TRIM(A1011),7)=" Equity",TRIM(A1011),TRIM(A1011)&amp;" Equity"))</f>
        <v/>
      </c>
      <c r="C1011">
        <f>IF(OR(SwitchUniverse&lt;&gt;"ON",$B1011=""),"",BDP($B1011,"NAME"))</f>
        <v/>
      </c>
      <c r="D1011">
        <f>IF(OR(SwitchUniverse&lt;&gt;"ON",$B1011=""),"",BDP($B1011,"GICS_SECTOR_NAME"))</f>
        <v/>
      </c>
    </row>
    <row r="1012" spans="2:4">
      <c r="B1012">
        <f>IF(TRIM(A1012&amp;"")="","",IF(RIGHT(TRIM(A1012),7)=" Equity",TRIM(A1012),TRIM(A1012)&amp;" Equity"))</f>
        <v/>
      </c>
      <c r="C1012">
        <f>IF(OR(SwitchUniverse&lt;&gt;"ON",$B1012=""),"",BDP($B1012,"NAME"))</f>
        <v/>
      </c>
      <c r="D1012">
        <f>IF(OR(SwitchUniverse&lt;&gt;"ON",$B1012=""),"",BDP($B1012,"GICS_SECTOR_NAME"))</f>
        <v/>
      </c>
    </row>
    <row r="1013" spans="2:4">
      <c r="B1013">
        <f>IF(TRIM(A1013&amp;"")="","",IF(RIGHT(TRIM(A1013),7)=" Equity",TRIM(A1013),TRIM(A1013)&amp;" Equity"))</f>
        <v/>
      </c>
      <c r="C1013">
        <f>IF(OR(SwitchUniverse&lt;&gt;"ON",$B1013=""),"",BDP($B1013,"NAME"))</f>
        <v/>
      </c>
      <c r="D1013">
        <f>IF(OR(SwitchUniverse&lt;&gt;"ON",$B1013=""),"",BDP($B1013,"GICS_SECTOR_NAME"))</f>
        <v/>
      </c>
    </row>
    <row r="1014" spans="2:4">
      <c r="B1014">
        <f>IF(TRIM(A1014&amp;"")="","",IF(RIGHT(TRIM(A1014),7)=" Equity",TRIM(A1014),TRIM(A1014)&amp;" Equity"))</f>
        <v/>
      </c>
      <c r="C1014">
        <f>IF(OR(SwitchUniverse&lt;&gt;"ON",$B1014=""),"",BDP($B1014,"NAME"))</f>
        <v/>
      </c>
      <c r="D1014">
        <f>IF(OR(SwitchUniverse&lt;&gt;"ON",$B1014=""),"",BDP($B1014,"GICS_SECTOR_NAME"))</f>
        <v/>
      </c>
    </row>
    <row r="1015" spans="2:4">
      <c r="B1015">
        <f>IF(TRIM(A1015&amp;"")="","",IF(RIGHT(TRIM(A1015),7)=" Equity",TRIM(A1015),TRIM(A1015)&amp;" Equity"))</f>
        <v/>
      </c>
      <c r="C1015">
        <f>IF(OR(SwitchUniverse&lt;&gt;"ON",$B1015=""),"",BDP($B1015,"NAME"))</f>
        <v/>
      </c>
      <c r="D1015">
        <f>IF(OR(SwitchUniverse&lt;&gt;"ON",$B1015=""),"",BDP($B1015,"GICS_SECTOR_NAME"))</f>
        <v/>
      </c>
    </row>
    <row r="1016" spans="2:4">
      <c r="B1016">
        <f>IF(TRIM(A1016&amp;"")="","",IF(RIGHT(TRIM(A1016),7)=" Equity",TRIM(A1016),TRIM(A1016)&amp;" Equity"))</f>
        <v/>
      </c>
      <c r="C1016">
        <f>IF(OR(SwitchUniverse&lt;&gt;"ON",$B1016=""),"",BDP($B1016,"NAME"))</f>
        <v/>
      </c>
      <c r="D1016">
        <f>IF(OR(SwitchUniverse&lt;&gt;"ON",$B1016=""),"",BDP($B1016,"GICS_SECTOR_NAME"))</f>
        <v/>
      </c>
    </row>
    <row r="1017" spans="2:4">
      <c r="B1017">
        <f>IF(TRIM(A1017&amp;"")="","",IF(RIGHT(TRIM(A1017),7)=" Equity",TRIM(A1017),TRIM(A1017)&amp;" Equity"))</f>
        <v/>
      </c>
      <c r="C1017">
        <f>IF(OR(SwitchUniverse&lt;&gt;"ON",$B1017=""),"",BDP($B1017,"NAME"))</f>
        <v/>
      </c>
      <c r="D1017">
        <f>IF(OR(SwitchUniverse&lt;&gt;"ON",$B1017=""),"",BDP($B1017,"GICS_SECTOR_NAME"))</f>
        <v/>
      </c>
    </row>
    <row r="1018" spans="2:4">
      <c r="B1018">
        <f>IF(TRIM(A1018&amp;"")="","",IF(RIGHT(TRIM(A1018),7)=" Equity",TRIM(A1018),TRIM(A1018)&amp;" Equity"))</f>
        <v/>
      </c>
      <c r="C1018">
        <f>IF(OR(SwitchUniverse&lt;&gt;"ON",$B1018=""),"",BDP($B1018,"NAME"))</f>
        <v/>
      </c>
      <c r="D1018">
        <f>IF(OR(SwitchUniverse&lt;&gt;"ON",$B1018=""),"",BDP($B1018,"GICS_SECTOR_NAME"))</f>
        <v/>
      </c>
    </row>
    <row r="1019" spans="2:4">
      <c r="B1019">
        <f>IF(TRIM(A1019&amp;"")="","",IF(RIGHT(TRIM(A1019),7)=" Equity",TRIM(A1019),TRIM(A1019)&amp;" Equity"))</f>
        <v/>
      </c>
      <c r="C1019">
        <f>IF(OR(SwitchUniverse&lt;&gt;"ON",$B1019=""),"",BDP($B1019,"NAME"))</f>
        <v/>
      </c>
      <c r="D1019">
        <f>IF(OR(SwitchUniverse&lt;&gt;"ON",$B1019=""),"",BDP($B1019,"GICS_SECTOR_NAME"))</f>
        <v/>
      </c>
    </row>
    <row r="1020" spans="2:4">
      <c r="B1020">
        <f>IF(TRIM(A1020&amp;"")="","",IF(RIGHT(TRIM(A1020),7)=" Equity",TRIM(A1020),TRIM(A1020)&amp;" Equity"))</f>
        <v/>
      </c>
      <c r="C1020">
        <f>IF(OR(SwitchUniverse&lt;&gt;"ON",$B1020=""),"",BDP($B1020,"NAME"))</f>
        <v/>
      </c>
      <c r="D1020">
        <f>IF(OR(SwitchUniverse&lt;&gt;"ON",$B1020=""),"",BDP($B1020,"GICS_SECTOR_NAME"))</f>
        <v/>
      </c>
    </row>
    <row r="1021" spans="2:4">
      <c r="B1021">
        <f>IF(TRIM(A1021&amp;"")="","",IF(RIGHT(TRIM(A1021),7)=" Equity",TRIM(A1021),TRIM(A1021)&amp;" Equity"))</f>
        <v/>
      </c>
      <c r="C1021">
        <f>IF(OR(SwitchUniverse&lt;&gt;"ON",$B1021=""),"",BDP($B1021,"NAME"))</f>
        <v/>
      </c>
      <c r="D1021">
        <f>IF(OR(SwitchUniverse&lt;&gt;"ON",$B1021=""),"",BDP($B1021,"GICS_SECTOR_NAME"))</f>
        <v/>
      </c>
    </row>
    <row r="1022" spans="2:4">
      <c r="B1022">
        <f>IF(TRIM(A1022&amp;"")="","",IF(RIGHT(TRIM(A1022),7)=" Equity",TRIM(A1022),TRIM(A1022)&amp;" Equity"))</f>
        <v/>
      </c>
      <c r="C1022">
        <f>IF(OR(SwitchUniverse&lt;&gt;"ON",$B1022=""),"",BDP($B1022,"NAME"))</f>
        <v/>
      </c>
      <c r="D1022">
        <f>IF(OR(SwitchUniverse&lt;&gt;"ON",$B1022=""),"",BDP($B1022,"GICS_SECTOR_NAME"))</f>
        <v/>
      </c>
    </row>
    <row r="1023" spans="2:4">
      <c r="B1023">
        <f>IF(TRIM(A1023&amp;"")="","",IF(RIGHT(TRIM(A1023),7)=" Equity",TRIM(A1023),TRIM(A1023)&amp;" Equity"))</f>
        <v/>
      </c>
      <c r="C1023">
        <f>IF(OR(SwitchUniverse&lt;&gt;"ON",$B1023=""),"",BDP($B1023,"NAME"))</f>
        <v/>
      </c>
      <c r="D1023">
        <f>IF(OR(SwitchUniverse&lt;&gt;"ON",$B1023=""),"",BDP($B1023,"GICS_SECTOR_NAME"))</f>
        <v/>
      </c>
    </row>
    <row r="1024" spans="2:4">
      <c r="B1024">
        <f>IF(TRIM(A1024&amp;"")="","",IF(RIGHT(TRIM(A1024),7)=" Equity",TRIM(A1024),TRIM(A1024)&amp;" Equity"))</f>
        <v/>
      </c>
      <c r="C1024">
        <f>IF(OR(SwitchUniverse&lt;&gt;"ON",$B1024=""),"",BDP($B1024,"NAME"))</f>
        <v/>
      </c>
      <c r="D1024">
        <f>IF(OR(SwitchUniverse&lt;&gt;"ON",$B1024=""),"",BDP($B1024,"GICS_SECTOR_NAME"))</f>
        <v/>
      </c>
    </row>
    <row r="1025" spans="2:4">
      <c r="B1025">
        <f>IF(TRIM(A1025&amp;"")="","",IF(RIGHT(TRIM(A1025),7)=" Equity",TRIM(A1025),TRIM(A1025)&amp;" Equity"))</f>
        <v/>
      </c>
      <c r="C1025">
        <f>IF(OR(SwitchUniverse&lt;&gt;"ON",$B1025=""),"",BDP($B1025,"NAME"))</f>
        <v/>
      </c>
      <c r="D1025">
        <f>IF(OR(SwitchUniverse&lt;&gt;"ON",$B1025=""),"",BDP($B1025,"GICS_SECTOR_NAME"))</f>
        <v/>
      </c>
    </row>
    <row r="1026" spans="2:4">
      <c r="B1026">
        <f>IF(TRIM(A1026&amp;"")="","",IF(RIGHT(TRIM(A1026),7)=" Equity",TRIM(A1026),TRIM(A1026)&amp;" Equity"))</f>
        <v/>
      </c>
      <c r="C1026">
        <f>IF(OR(SwitchUniverse&lt;&gt;"ON",$B1026=""),"",BDP($B1026,"NAME"))</f>
        <v/>
      </c>
      <c r="D1026">
        <f>IF(OR(SwitchUniverse&lt;&gt;"ON",$B1026=""),"",BDP($B1026,"GICS_SECTOR_NAME"))</f>
        <v/>
      </c>
    </row>
    <row r="1027" spans="2:4">
      <c r="B1027">
        <f>IF(TRIM(A1027&amp;"")="","",IF(RIGHT(TRIM(A1027),7)=" Equity",TRIM(A1027),TRIM(A1027)&amp;" Equity"))</f>
        <v/>
      </c>
      <c r="C1027">
        <f>IF(OR(SwitchUniverse&lt;&gt;"ON",$B1027=""),"",BDP($B1027,"NAME"))</f>
        <v/>
      </c>
      <c r="D1027">
        <f>IF(OR(SwitchUniverse&lt;&gt;"ON",$B1027=""),"",BDP($B1027,"GICS_SECTOR_NAME"))</f>
        <v/>
      </c>
    </row>
    <row r="1028" spans="2:4">
      <c r="B1028">
        <f>IF(TRIM(A1028&amp;"")="","",IF(RIGHT(TRIM(A1028),7)=" Equity",TRIM(A1028),TRIM(A1028)&amp;" Equity"))</f>
        <v/>
      </c>
      <c r="C1028">
        <f>IF(OR(SwitchUniverse&lt;&gt;"ON",$B1028=""),"",BDP($B1028,"NAME"))</f>
        <v/>
      </c>
      <c r="D1028">
        <f>IF(OR(SwitchUniverse&lt;&gt;"ON",$B1028=""),"",BDP($B1028,"GICS_SECTOR_NAME"))</f>
        <v/>
      </c>
    </row>
    <row r="1029" spans="2:4">
      <c r="B1029">
        <f>IF(TRIM(A1029&amp;"")="","",IF(RIGHT(TRIM(A1029),7)=" Equity",TRIM(A1029),TRIM(A1029)&amp;" Equity"))</f>
        <v/>
      </c>
      <c r="C1029">
        <f>IF(OR(SwitchUniverse&lt;&gt;"ON",$B1029=""),"",BDP($B1029,"NAME"))</f>
        <v/>
      </c>
      <c r="D1029">
        <f>IF(OR(SwitchUniverse&lt;&gt;"ON",$B1029=""),"",BDP($B1029,"GICS_SECTOR_NAME"))</f>
        <v/>
      </c>
    </row>
    <row r="1030" spans="2:4">
      <c r="B1030">
        <f>IF(TRIM(A1030&amp;"")="","",IF(RIGHT(TRIM(A1030),7)=" Equity",TRIM(A1030),TRIM(A1030)&amp;" Equity"))</f>
        <v/>
      </c>
      <c r="C1030">
        <f>IF(OR(SwitchUniverse&lt;&gt;"ON",$B1030=""),"",BDP($B1030,"NAME"))</f>
        <v/>
      </c>
      <c r="D1030">
        <f>IF(OR(SwitchUniverse&lt;&gt;"ON",$B1030=""),"",BDP($B1030,"GICS_SECTOR_NAME"))</f>
        <v/>
      </c>
    </row>
    <row r="1031" spans="2:4">
      <c r="B1031">
        <f>IF(TRIM(A1031&amp;"")="","",IF(RIGHT(TRIM(A1031),7)=" Equity",TRIM(A1031),TRIM(A1031)&amp;" Equity"))</f>
        <v/>
      </c>
      <c r="C1031">
        <f>IF(OR(SwitchUniverse&lt;&gt;"ON",$B1031=""),"",BDP($B1031,"NAME"))</f>
        <v/>
      </c>
      <c r="D1031">
        <f>IF(OR(SwitchUniverse&lt;&gt;"ON",$B1031=""),"",BDP($B1031,"GICS_SECTOR_NAME"))</f>
        <v/>
      </c>
    </row>
    <row r="1032" spans="2:4">
      <c r="B1032">
        <f>IF(TRIM(A1032&amp;"")="","",IF(RIGHT(TRIM(A1032),7)=" Equity",TRIM(A1032),TRIM(A1032)&amp;" Equity"))</f>
        <v/>
      </c>
      <c r="C1032">
        <f>IF(OR(SwitchUniverse&lt;&gt;"ON",$B1032=""),"",BDP($B1032,"NAME"))</f>
        <v/>
      </c>
      <c r="D1032">
        <f>IF(OR(SwitchUniverse&lt;&gt;"ON",$B1032=""),"",BDP($B1032,"GICS_SECTOR_NAME"))</f>
        <v/>
      </c>
    </row>
    <row r="1033" spans="2:4">
      <c r="B1033">
        <f>IF(TRIM(A1033&amp;"")="","",IF(RIGHT(TRIM(A1033),7)=" Equity",TRIM(A1033),TRIM(A1033)&amp;" Equity"))</f>
        <v/>
      </c>
      <c r="C1033">
        <f>IF(OR(SwitchUniverse&lt;&gt;"ON",$B1033=""),"",BDP($B1033,"NAME"))</f>
        <v/>
      </c>
      <c r="D1033">
        <f>IF(OR(SwitchUniverse&lt;&gt;"ON",$B1033=""),"",BDP($B1033,"GICS_SECTOR_NAME"))</f>
        <v/>
      </c>
    </row>
    <row r="1034" spans="2:4">
      <c r="B1034">
        <f>IF(TRIM(A1034&amp;"")="","",IF(RIGHT(TRIM(A1034),7)=" Equity",TRIM(A1034),TRIM(A1034)&amp;" Equity"))</f>
        <v/>
      </c>
      <c r="C1034">
        <f>IF(OR(SwitchUniverse&lt;&gt;"ON",$B1034=""),"",BDP($B1034,"NAME"))</f>
        <v/>
      </c>
      <c r="D1034">
        <f>IF(OR(SwitchUniverse&lt;&gt;"ON",$B1034=""),"",BDP($B1034,"GICS_SECTOR_NAME"))</f>
        <v/>
      </c>
    </row>
    <row r="1035" spans="2:4">
      <c r="B1035">
        <f>IF(TRIM(A1035&amp;"")="","",IF(RIGHT(TRIM(A1035),7)=" Equity",TRIM(A1035),TRIM(A1035)&amp;" Equity"))</f>
        <v/>
      </c>
      <c r="C1035">
        <f>IF(OR(SwitchUniverse&lt;&gt;"ON",$B1035=""),"",BDP($B1035,"NAME"))</f>
        <v/>
      </c>
      <c r="D1035">
        <f>IF(OR(SwitchUniverse&lt;&gt;"ON",$B1035=""),"",BDP($B1035,"GICS_SECTOR_NAME"))</f>
        <v/>
      </c>
    </row>
    <row r="1036" spans="2:4">
      <c r="B1036">
        <f>IF(TRIM(A1036&amp;"")="","",IF(RIGHT(TRIM(A1036),7)=" Equity",TRIM(A1036),TRIM(A1036)&amp;" Equity"))</f>
        <v/>
      </c>
      <c r="C1036">
        <f>IF(OR(SwitchUniverse&lt;&gt;"ON",$B1036=""),"",BDP($B1036,"NAME"))</f>
        <v/>
      </c>
      <c r="D1036">
        <f>IF(OR(SwitchUniverse&lt;&gt;"ON",$B1036=""),"",BDP($B1036,"GICS_SECTOR_NAME"))</f>
        <v/>
      </c>
    </row>
    <row r="1037" spans="2:4">
      <c r="B1037">
        <f>IF(TRIM(A1037&amp;"")="","",IF(RIGHT(TRIM(A1037),7)=" Equity",TRIM(A1037),TRIM(A1037)&amp;" Equity"))</f>
        <v/>
      </c>
      <c r="C1037">
        <f>IF(OR(SwitchUniverse&lt;&gt;"ON",$B1037=""),"",BDP($B1037,"NAME"))</f>
        <v/>
      </c>
      <c r="D1037">
        <f>IF(OR(SwitchUniverse&lt;&gt;"ON",$B1037=""),"",BDP($B1037,"GICS_SECTOR_NAME"))</f>
        <v/>
      </c>
    </row>
    <row r="1038" spans="2:4">
      <c r="B1038">
        <f>IF(TRIM(A1038&amp;"")="","",IF(RIGHT(TRIM(A1038),7)=" Equity",TRIM(A1038),TRIM(A1038)&amp;" Equity"))</f>
        <v/>
      </c>
      <c r="C1038">
        <f>IF(OR(SwitchUniverse&lt;&gt;"ON",$B1038=""),"",BDP($B1038,"NAME"))</f>
        <v/>
      </c>
      <c r="D1038">
        <f>IF(OR(SwitchUniverse&lt;&gt;"ON",$B1038=""),"",BDP($B1038,"GICS_SECTOR_NAME"))</f>
        <v/>
      </c>
    </row>
    <row r="1039" spans="2:4">
      <c r="B1039">
        <f>IF(TRIM(A1039&amp;"")="","",IF(RIGHT(TRIM(A1039),7)=" Equity",TRIM(A1039),TRIM(A1039)&amp;" Equity"))</f>
        <v/>
      </c>
      <c r="C1039">
        <f>IF(OR(SwitchUniverse&lt;&gt;"ON",$B1039=""),"",BDP($B1039,"NAME"))</f>
        <v/>
      </c>
      <c r="D1039">
        <f>IF(OR(SwitchUniverse&lt;&gt;"ON",$B1039=""),"",BDP($B1039,"GICS_SECTOR_NAME"))</f>
        <v/>
      </c>
    </row>
    <row r="1040" spans="2:4">
      <c r="B1040">
        <f>IF(TRIM(A1040&amp;"")="","",IF(RIGHT(TRIM(A1040),7)=" Equity",TRIM(A1040),TRIM(A1040)&amp;" Equity"))</f>
        <v/>
      </c>
      <c r="C1040">
        <f>IF(OR(SwitchUniverse&lt;&gt;"ON",$B1040=""),"",BDP($B1040,"NAME"))</f>
        <v/>
      </c>
      <c r="D1040">
        <f>IF(OR(SwitchUniverse&lt;&gt;"ON",$B1040=""),"",BDP($B1040,"GICS_SECTOR_NAME"))</f>
        <v/>
      </c>
    </row>
    <row r="1041" spans="2:4">
      <c r="B1041">
        <f>IF(TRIM(A1041&amp;"")="","",IF(RIGHT(TRIM(A1041),7)=" Equity",TRIM(A1041),TRIM(A1041)&amp;" Equity"))</f>
        <v/>
      </c>
      <c r="C1041">
        <f>IF(OR(SwitchUniverse&lt;&gt;"ON",$B1041=""),"",BDP($B1041,"NAME"))</f>
        <v/>
      </c>
      <c r="D1041">
        <f>IF(OR(SwitchUniverse&lt;&gt;"ON",$B1041=""),"",BDP($B1041,"GICS_SECTOR_NAME"))</f>
        <v/>
      </c>
    </row>
    <row r="1042" spans="2:4">
      <c r="B1042">
        <f>IF(TRIM(A1042&amp;"")="","",IF(RIGHT(TRIM(A1042),7)=" Equity",TRIM(A1042),TRIM(A1042)&amp;" Equity"))</f>
        <v/>
      </c>
      <c r="C1042">
        <f>IF(OR(SwitchUniverse&lt;&gt;"ON",$B1042=""),"",BDP($B1042,"NAME"))</f>
        <v/>
      </c>
      <c r="D1042">
        <f>IF(OR(SwitchUniverse&lt;&gt;"ON",$B1042=""),"",BDP($B1042,"GICS_SECTOR_NAME"))</f>
        <v/>
      </c>
    </row>
    <row r="1043" spans="2:4">
      <c r="B1043">
        <f>IF(TRIM(A1043&amp;"")="","",IF(RIGHT(TRIM(A1043),7)=" Equity",TRIM(A1043),TRIM(A1043)&amp;" Equity"))</f>
        <v/>
      </c>
      <c r="C1043">
        <f>IF(OR(SwitchUniverse&lt;&gt;"ON",$B1043=""),"",BDP($B1043,"NAME"))</f>
        <v/>
      </c>
      <c r="D1043">
        <f>IF(OR(SwitchUniverse&lt;&gt;"ON",$B1043=""),"",BDP($B1043,"GICS_SECTOR_NAME"))</f>
        <v/>
      </c>
    </row>
    <row r="1044" spans="2:4">
      <c r="B1044">
        <f>IF(TRIM(A1044&amp;"")="","",IF(RIGHT(TRIM(A1044),7)=" Equity",TRIM(A1044),TRIM(A1044)&amp;" Equity"))</f>
        <v/>
      </c>
      <c r="C1044">
        <f>IF(OR(SwitchUniverse&lt;&gt;"ON",$B1044=""),"",BDP($B1044,"NAME"))</f>
        <v/>
      </c>
      <c r="D1044">
        <f>IF(OR(SwitchUniverse&lt;&gt;"ON",$B1044=""),"",BDP($B1044,"GICS_SECTOR_NAME"))</f>
        <v/>
      </c>
    </row>
    <row r="1045" spans="2:4">
      <c r="B1045">
        <f>IF(TRIM(A1045&amp;"")="","",IF(RIGHT(TRIM(A1045),7)=" Equity",TRIM(A1045),TRIM(A1045)&amp;" Equity"))</f>
        <v/>
      </c>
      <c r="C1045">
        <f>IF(OR(SwitchUniverse&lt;&gt;"ON",$B1045=""),"",BDP($B1045,"NAME"))</f>
        <v/>
      </c>
      <c r="D1045">
        <f>IF(OR(SwitchUniverse&lt;&gt;"ON",$B1045=""),"",BDP($B1045,"GICS_SECTOR_NAME"))</f>
        <v/>
      </c>
    </row>
    <row r="1046" spans="2:4">
      <c r="B1046">
        <f>IF(TRIM(A1046&amp;"")="","",IF(RIGHT(TRIM(A1046),7)=" Equity",TRIM(A1046),TRIM(A1046)&amp;" Equity"))</f>
        <v/>
      </c>
      <c r="C1046">
        <f>IF(OR(SwitchUniverse&lt;&gt;"ON",$B1046=""),"",BDP($B1046,"NAME"))</f>
        <v/>
      </c>
      <c r="D1046">
        <f>IF(OR(SwitchUniverse&lt;&gt;"ON",$B1046=""),"",BDP($B1046,"GICS_SECTOR_NAME"))</f>
        <v/>
      </c>
    </row>
    <row r="1047" spans="2:4">
      <c r="B1047">
        <f>IF(TRIM(A1047&amp;"")="","",IF(RIGHT(TRIM(A1047),7)=" Equity",TRIM(A1047),TRIM(A1047)&amp;" Equity"))</f>
        <v/>
      </c>
      <c r="C1047">
        <f>IF(OR(SwitchUniverse&lt;&gt;"ON",$B1047=""),"",BDP($B1047,"NAME"))</f>
        <v/>
      </c>
      <c r="D1047">
        <f>IF(OR(SwitchUniverse&lt;&gt;"ON",$B1047=""),"",BDP($B1047,"GICS_SECTOR_NAME"))</f>
        <v/>
      </c>
    </row>
    <row r="1048" spans="2:4">
      <c r="B1048">
        <f>IF(TRIM(A1048&amp;"")="","",IF(RIGHT(TRIM(A1048),7)=" Equity",TRIM(A1048),TRIM(A1048)&amp;" Equity"))</f>
        <v/>
      </c>
      <c r="C1048">
        <f>IF(OR(SwitchUniverse&lt;&gt;"ON",$B1048=""),"",BDP($B1048,"NAME"))</f>
        <v/>
      </c>
      <c r="D1048">
        <f>IF(OR(SwitchUniverse&lt;&gt;"ON",$B1048=""),"",BDP($B1048,"GICS_SECTOR_NAME"))</f>
        <v/>
      </c>
    </row>
    <row r="1049" spans="2:4">
      <c r="B1049">
        <f>IF(TRIM(A1049&amp;"")="","",IF(RIGHT(TRIM(A1049),7)=" Equity",TRIM(A1049),TRIM(A1049)&amp;" Equity"))</f>
        <v/>
      </c>
      <c r="C1049">
        <f>IF(OR(SwitchUniverse&lt;&gt;"ON",$B1049=""),"",BDP($B1049,"NAME"))</f>
        <v/>
      </c>
      <c r="D1049">
        <f>IF(OR(SwitchUniverse&lt;&gt;"ON",$B1049=""),"",BDP($B1049,"GICS_SECTOR_NAME"))</f>
        <v/>
      </c>
    </row>
    <row r="1050" spans="2:4">
      <c r="B1050">
        <f>IF(TRIM(A1050&amp;"")="","",IF(RIGHT(TRIM(A1050),7)=" Equity",TRIM(A1050),TRIM(A1050)&amp;" Equity"))</f>
        <v/>
      </c>
      <c r="C1050">
        <f>IF(OR(SwitchUniverse&lt;&gt;"ON",$B1050=""),"",BDP($B1050,"NAME"))</f>
        <v/>
      </c>
      <c r="D1050">
        <f>IF(OR(SwitchUniverse&lt;&gt;"ON",$B1050=""),"",BDP($B1050,"GICS_SECTOR_NAME"))</f>
        <v/>
      </c>
    </row>
    <row r="1051" spans="2:4">
      <c r="B1051">
        <f>IF(TRIM(A1051&amp;"")="","",IF(RIGHT(TRIM(A1051),7)=" Equity",TRIM(A1051),TRIM(A1051)&amp;" Equity"))</f>
        <v/>
      </c>
      <c r="C1051">
        <f>IF(OR(SwitchUniverse&lt;&gt;"ON",$B1051=""),"",BDP($B1051,"NAME"))</f>
        <v/>
      </c>
      <c r="D1051">
        <f>IF(OR(SwitchUniverse&lt;&gt;"ON",$B1051=""),"",BDP($B1051,"GICS_SECTOR_NAME"))</f>
        <v/>
      </c>
    </row>
    <row r="1052" spans="2:4">
      <c r="B1052">
        <f>IF(TRIM(A1052&amp;"")="","",IF(RIGHT(TRIM(A1052),7)=" Equity",TRIM(A1052),TRIM(A1052)&amp;" Equity"))</f>
        <v/>
      </c>
      <c r="C1052">
        <f>IF(OR(SwitchUniverse&lt;&gt;"ON",$B1052=""),"",BDP($B1052,"NAME"))</f>
        <v/>
      </c>
      <c r="D1052">
        <f>IF(OR(SwitchUniverse&lt;&gt;"ON",$B1052=""),"",BDP($B1052,"GICS_SECTOR_NAME"))</f>
        <v/>
      </c>
    </row>
    <row r="1053" spans="2:4">
      <c r="B1053">
        <f>IF(TRIM(A1053&amp;"")="","",IF(RIGHT(TRIM(A1053),7)=" Equity",TRIM(A1053),TRIM(A1053)&amp;" Equity"))</f>
        <v/>
      </c>
      <c r="C1053">
        <f>IF(OR(SwitchUniverse&lt;&gt;"ON",$B1053=""),"",BDP($B1053,"NAME"))</f>
        <v/>
      </c>
      <c r="D1053">
        <f>IF(OR(SwitchUniverse&lt;&gt;"ON",$B1053=""),"",BDP($B1053,"GICS_SECTOR_NAME"))</f>
        <v/>
      </c>
    </row>
    <row r="1054" spans="2:4">
      <c r="B1054">
        <f>IF(TRIM(A1054&amp;"")="","",IF(RIGHT(TRIM(A1054),7)=" Equity",TRIM(A1054),TRIM(A1054)&amp;" Equity"))</f>
        <v/>
      </c>
      <c r="C1054">
        <f>IF(OR(SwitchUniverse&lt;&gt;"ON",$B1054=""),"",BDP($B1054,"NAME"))</f>
        <v/>
      </c>
      <c r="D1054">
        <f>IF(OR(SwitchUniverse&lt;&gt;"ON",$B1054=""),"",BDP($B1054,"GICS_SECTOR_NAME"))</f>
        <v/>
      </c>
    </row>
    <row r="1055" spans="2:4">
      <c r="B1055">
        <f>IF(TRIM(A1055&amp;"")="","",IF(RIGHT(TRIM(A1055),7)=" Equity",TRIM(A1055),TRIM(A1055)&amp;" Equity"))</f>
        <v/>
      </c>
      <c r="C1055">
        <f>IF(OR(SwitchUniverse&lt;&gt;"ON",$B1055=""),"",BDP($B1055,"NAME"))</f>
        <v/>
      </c>
      <c r="D1055">
        <f>IF(OR(SwitchUniverse&lt;&gt;"ON",$B1055=""),"",BDP($B1055,"GICS_SECTOR_NAME"))</f>
        <v/>
      </c>
    </row>
    <row r="1056" spans="2:4">
      <c r="B1056">
        <f>IF(TRIM(A1056&amp;"")="","",IF(RIGHT(TRIM(A1056),7)=" Equity",TRIM(A1056),TRIM(A1056)&amp;" Equity"))</f>
        <v/>
      </c>
      <c r="C1056">
        <f>IF(OR(SwitchUniverse&lt;&gt;"ON",$B1056=""),"",BDP($B1056,"NAME"))</f>
        <v/>
      </c>
      <c r="D1056">
        <f>IF(OR(SwitchUniverse&lt;&gt;"ON",$B1056=""),"",BDP($B1056,"GICS_SECTOR_NAME"))</f>
        <v/>
      </c>
    </row>
    <row r="1057" spans="2:4">
      <c r="B1057">
        <f>IF(TRIM(A1057&amp;"")="","",IF(RIGHT(TRIM(A1057),7)=" Equity",TRIM(A1057),TRIM(A1057)&amp;" Equity"))</f>
        <v/>
      </c>
      <c r="C1057">
        <f>IF(OR(SwitchUniverse&lt;&gt;"ON",$B1057=""),"",BDP($B1057,"NAME"))</f>
        <v/>
      </c>
      <c r="D1057">
        <f>IF(OR(SwitchUniverse&lt;&gt;"ON",$B1057=""),"",BDP($B1057,"GICS_SECTOR_NAME"))</f>
        <v/>
      </c>
    </row>
    <row r="1058" spans="2:4">
      <c r="B1058">
        <f>IF(TRIM(A1058&amp;"")="","",IF(RIGHT(TRIM(A1058),7)=" Equity",TRIM(A1058),TRIM(A1058)&amp;" Equity"))</f>
        <v/>
      </c>
      <c r="C1058">
        <f>IF(OR(SwitchUniverse&lt;&gt;"ON",$B1058=""),"",BDP($B1058,"NAME"))</f>
        <v/>
      </c>
      <c r="D1058">
        <f>IF(OR(SwitchUniverse&lt;&gt;"ON",$B1058=""),"",BDP($B1058,"GICS_SECTOR_NAME"))</f>
        <v/>
      </c>
    </row>
    <row r="1059" spans="2:4">
      <c r="B1059">
        <f>IF(TRIM(A1059&amp;"")="","",IF(RIGHT(TRIM(A1059),7)=" Equity",TRIM(A1059),TRIM(A1059)&amp;" Equity"))</f>
        <v/>
      </c>
      <c r="C1059">
        <f>IF(OR(SwitchUniverse&lt;&gt;"ON",$B1059=""),"",BDP($B1059,"NAME"))</f>
        <v/>
      </c>
      <c r="D1059">
        <f>IF(OR(SwitchUniverse&lt;&gt;"ON",$B1059=""),"",BDP($B1059,"GICS_SECTOR_NAME"))</f>
        <v/>
      </c>
    </row>
    <row r="1060" spans="2:4">
      <c r="B1060">
        <f>IF(TRIM(A1060&amp;"")="","",IF(RIGHT(TRIM(A1060),7)=" Equity",TRIM(A1060),TRIM(A1060)&amp;" Equity"))</f>
        <v/>
      </c>
      <c r="C1060">
        <f>IF(OR(SwitchUniverse&lt;&gt;"ON",$B1060=""),"",BDP($B1060,"NAME"))</f>
        <v/>
      </c>
      <c r="D1060">
        <f>IF(OR(SwitchUniverse&lt;&gt;"ON",$B1060=""),"",BDP($B1060,"GICS_SECTOR_NAME"))</f>
        <v/>
      </c>
    </row>
    <row r="1061" spans="2:4">
      <c r="B1061">
        <f>IF(TRIM(A1061&amp;"")="","",IF(RIGHT(TRIM(A1061),7)=" Equity",TRIM(A1061),TRIM(A1061)&amp;" Equity"))</f>
        <v/>
      </c>
      <c r="C1061">
        <f>IF(OR(SwitchUniverse&lt;&gt;"ON",$B1061=""),"",BDP($B1061,"NAME"))</f>
        <v/>
      </c>
      <c r="D1061">
        <f>IF(OR(SwitchUniverse&lt;&gt;"ON",$B1061=""),"",BDP($B1061,"GICS_SECTOR_NAME"))</f>
        <v/>
      </c>
    </row>
    <row r="1062" spans="2:4">
      <c r="B1062">
        <f>IF(TRIM(A1062&amp;"")="","",IF(RIGHT(TRIM(A1062),7)=" Equity",TRIM(A1062),TRIM(A1062)&amp;" Equity"))</f>
        <v/>
      </c>
      <c r="C1062">
        <f>IF(OR(SwitchUniverse&lt;&gt;"ON",$B1062=""),"",BDP($B1062,"NAME"))</f>
        <v/>
      </c>
      <c r="D1062">
        <f>IF(OR(SwitchUniverse&lt;&gt;"ON",$B1062=""),"",BDP($B1062,"GICS_SECTOR_NAME"))</f>
        <v/>
      </c>
    </row>
    <row r="1063" spans="2:4">
      <c r="B1063">
        <f>IF(TRIM(A1063&amp;"")="","",IF(RIGHT(TRIM(A1063),7)=" Equity",TRIM(A1063),TRIM(A1063)&amp;" Equity"))</f>
        <v/>
      </c>
      <c r="C1063">
        <f>IF(OR(SwitchUniverse&lt;&gt;"ON",$B1063=""),"",BDP($B1063,"NAME"))</f>
        <v/>
      </c>
      <c r="D1063">
        <f>IF(OR(SwitchUniverse&lt;&gt;"ON",$B1063=""),"",BDP($B1063,"GICS_SECTOR_NAME"))</f>
        <v/>
      </c>
    </row>
    <row r="1064" spans="2:4">
      <c r="B1064">
        <f>IF(TRIM(A1064&amp;"")="","",IF(RIGHT(TRIM(A1064),7)=" Equity",TRIM(A1064),TRIM(A1064)&amp;" Equity"))</f>
        <v/>
      </c>
      <c r="C1064">
        <f>IF(OR(SwitchUniverse&lt;&gt;"ON",$B1064=""),"",BDP($B1064,"NAME"))</f>
        <v/>
      </c>
      <c r="D1064">
        <f>IF(OR(SwitchUniverse&lt;&gt;"ON",$B1064=""),"",BDP($B1064,"GICS_SECTOR_NAME"))</f>
        <v/>
      </c>
    </row>
    <row r="1065" spans="2:4">
      <c r="B1065">
        <f>IF(TRIM(A1065&amp;"")="","",IF(RIGHT(TRIM(A1065),7)=" Equity",TRIM(A1065),TRIM(A1065)&amp;" Equity"))</f>
        <v/>
      </c>
      <c r="C1065">
        <f>IF(OR(SwitchUniverse&lt;&gt;"ON",$B1065=""),"",BDP($B1065,"NAME"))</f>
        <v/>
      </c>
      <c r="D1065">
        <f>IF(OR(SwitchUniverse&lt;&gt;"ON",$B1065=""),"",BDP($B1065,"GICS_SECTOR_NAME"))</f>
        <v/>
      </c>
    </row>
    <row r="1066" spans="2:4">
      <c r="B1066">
        <f>IF(TRIM(A1066&amp;"")="","",IF(RIGHT(TRIM(A1066),7)=" Equity",TRIM(A1066),TRIM(A1066)&amp;" Equity"))</f>
        <v/>
      </c>
      <c r="C1066">
        <f>IF(OR(SwitchUniverse&lt;&gt;"ON",$B1066=""),"",BDP($B1066,"NAME"))</f>
        <v/>
      </c>
      <c r="D1066">
        <f>IF(OR(SwitchUniverse&lt;&gt;"ON",$B1066=""),"",BDP($B1066,"GICS_SECTOR_NAME"))</f>
        <v/>
      </c>
    </row>
    <row r="1067" spans="2:4">
      <c r="B1067">
        <f>IF(TRIM(A1067&amp;"")="","",IF(RIGHT(TRIM(A1067),7)=" Equity",TRIM(A1067),TRIM(A1067)&amp;" Equity"))</f>
        <v/>
      </c>
      <c r="C1067">
        <f>IF(OR(SwitchUniverse&lt;&gt;"ON",$B1067=""),"",BDP($B1067,"NAME"))</f>
        <v/>
      </c>
      <c r="D1067">
        <f>IF(OR(SwitchUniverse&lt;&gt;"ON",$B1067=""),"",BDP($B1067,"GICS_SECTOR_NAME"))</f>
        <v/>
      </c>
    </row>
    <row r="1068" spans="2:4">
      <c r="B1068">
        <f>IF(TRIM(A1068&amp;"")="","",IF(RIGHT(TRIM(A1068),7)=" Equity",TRIM(A1068),TRIM(A1068)&amp;" Equity"))</f>
        <v/>
      </c>
      <c r="C1068">
        <f>IF(OR(SwitchUniverse&lt;&gt;"ON",$B1068=""),"",BDP($B1068,"NAME"))</f>
        <v/>
      </c>
      <c r="D1068">
        <f>IF(OR(SwitchUniverse&lt;&gt;"ON",$B1068=""),"",BDP($B1068,"GICS_SECTOR_NAME"))</f>
        <v/>
      </c>
    </row>
    <row r="1069" spans="2:4">
      <c r="B1069">
        <f>IF(TRIM(A1069&amp;"")="","",IF(RIGHT(TRIM(A1069),7)=" Equity",TRIM(A1069),TRIM(A1069)&amp;" Equity"))</f>
        <v/>
      </c>
      <c r="C1069">
        <f>IF(OR(SwitchUniverse&lt;&gt;"ON",$B1069=""),"",BDP($B1069,"NAME"))</f>
        <v/>
      </c>
      <c r="D1069">
        <f>IF(OR(SwitchUniverse&lt;&gt;"ON",$B1069=""),"",BDP($B1069,"GICS_SECTOR_NAME"))</f>
        <v/>
      </c>
    </row>
    <row r="1070" spans="2:4">
      <c r="B1070">
        <f>IF(TRIM(A1070&amp;"")="","",IF(RIGHT(TRIM(A1070),7)=" Equity",TRIM(A1070),TRIM(A1070)&amp;" Equity"))</f>
        <v/>
      </c>
      <c r="C1070">
        <f>IF(OR(SwitchUniverse&lt;&gt;"ON",$B1070=""),"",BDP($B1070,"NAME"))</f>
        <v/>
      </c>
      <c r="D1070">
        <f>IF(OR(SwitchUniverse&lt;&gt;"ON",$B1070=""),"",BDP($B1070,"GICS_SECTOR_NAME"))</f>
        <v/>
      </c>
    </row>
    <row r="1071" spans="2:4">
      <c r="B1071">
        <f>IF(TRIM(A1071&amp;"")="","",IF(RIGHT(TRIM(A1071),7)=" Equity",TRIM(A1071),TRIM(A1071)&amp;" Equity"))</f>
        <v/>
      </c>
      <c r="C1071">
        <f>IF(OR(SwitchUniverse&lt;&gt;"ON",$B1071=""),"",BDP($B1071,"NAME"))</f>
        <v/>
      </c>
      <c r="D1071">
        <f>IF(OR(SwitchUniverse&lt;&gt;"ON",$B1071=""),"",BDP($B1071,"GICS_SECTOR_NAME"))</f>
        <v/>
      </c>
    </row>
    <row r="1072" spans="2:4">
      <c r="B1072">
        <f>IF(TRIM(A1072&amp;"")="","",IF(RIGHT(TRIM(A1072),7)=" Equity",TRIM(A1072),TRIM(A1072)&amp;" Equity"))</f>
        <v/>
      </c>
      <c r="C1072">
        <f>IF(OR(SwitchUniverse&lt;&gt;"ON",$B1072=""),"",BDP($B1072,"NAME"))</f>
        <v/>
      </c>
      <c r="D1072">
        <f>IF(OR(SwitchUniverse&lt;&gt;"ON",$B1072=""),"",BDP($B1072,"GICS_SECTOR_NAME"))</f>
        <v/>
      </c>
    </row>
    <row r="1073" spans="2:4">
      <c r="B1073">
        <f>IF(TRIM(A1073&amp;"")="","",IF(RIGHT(TRIM(A1073),7)=" Equity",TRIM(A1073),TRIM(A1073)&amp;" Equity"))</f>
        <v/>
      </c>
      <c r="C1073">
        <f>IF(OR(SwitchUniverse&lt;&gt;"ON",$B1073=""),"",BDP($B1073,"NAME"))</f>
        <v/>
      </c>
      <c r="D1073">
        <f>IF(OR(SwitchUniverse&lt;&gt;"ON",$B1073=""),"",BDP($B1073,"GICS_SECTOR_NAME"))</f>
        <v/>
      </c>
    </row>
    <row r="1074" spans="2:4">
      <c r="B1074">
        <f>IF(TRIM(A1074&amp;"")="","",IF(RIGHT(TRIM(A1074),7)=" Equity",TRIM(A1074),TRIM(A1074)&amp;" Equity"))</f>
        <v/>
      </c>
      <c r="C1074">
        <f>IF(OR(SwitchUniverse&lt;&gt;"ON",$B1074=""),"",BDP($B1074,"NAME"))</f>
        <v/>
      </c>
      <c r="D1074">
        <f>IF(OR(SwitchUniverse&lt;&gt;"ON",$B1074=""),"",BDP($B1074,"GICS_SECTOR_NAME"))</f>
        <v/>
      </c>
    </row>
    <row r="1075" spans="2:4">
      <c r="B1075">
        <f>IF(TRIM(A1075&amp;"")="","",IF(RIGHT(TRIM(A1075),7)=" Equity",TRIM(A1075),TRIM(A1075)&amp;" Equity"))</f>
        <v/>
      </c>
      <c r="C1075">
        <f>IF(OR(SwitchUniverse&lt;&gt;"ON",$B1075=""),"",BDP($B1075,"NAME"))</f>
        <v/>
      </c>
      <c r="D1075">
        <f>IF(OR(SwitchUniverse&lt;&gt;"ON",$B1075=""),"",BDP($B1075,"GICS_SECTOR_NAME"))</f>
        <v/>
      </c>
    </row>
    <row r="1076" spans="2:4">
      <c r="B1076">
        <f>IF(TRIM(A1076&amp;"")="","",IF(RIGHT(TRIM(A1076),7)=" Equity",TRIM(A1076),TRIM(A1076)&amp;" Equity"))</f>
        <v/>
      </c>
      <c r="C1076">
        <f>IF(OR(SwitchUniverse&lt;&gt;"ON",$B1076=""),"",BDP($B1076,"NAME"))</f>
        <v/>
      </c>
      <c r="D1076">
        <f>IF(OR(SwitchUniverse&lt;&gt;"ON",$B1076=""),"",BDP($B1076,"GICS_SECTOR_NAME"))</f>
        <v/>
      </c>
    </row>
    <row r="1077" spans="2:4">
      <c r="B1077">
        <f>IF(TRIM(A1077&amp;"")="","",IF(RIGHT(TRIM(A1077),7)=" Equity",TRIM(A1077),TRIM(A1077)&amp;" Equity"))</f>
        <v/>
      </c>
      <c r="C1077">
        <f>IF(OR(SwitchUniverse&lt;&gt;"ON",$B1077=""),"",BDP($B1077,"NAME"))</f>
        <v/>
      </c>
      <c r="D1077">
        <f>IF(OR(SwitchUniverse&lt;&gt;"ON",$B1077=""),"",BDP($B1077,"GICS_SECTOR_NAME"))</f>
        <v/>
      </c>
    </row>
    <row r="1078" spans="2:4">
      <c r="B1078">
        <f>IF(TRIM(A1078&amp;"")="","",IF(RIGHT(TRIM(A1078),7)=" Equity",TRIM(A1078),TRIM(A1078)&amp;" Equity"))</f>
        <v/>
      </c>
      <c r="C1078">
        <f>IF(OR(SwitchUniverse&lt;&gt;"ON",$B1078=""),"",BDP($B1078,"NAME"))</f>
        <v/>
      </c>
      <c r="D1078">
        <f>IF(OR(SwitchUniverse&lt;&gt;"ON",$B1078=""),"",BDP($B1078,"GICS_SECTOR_NAME"))</f>
        <v/>
      </c>
    </row>
    <row r="1079" spans="2:4">
      <c r="B1079">
        <f>IF(TRIM(A1079&amp;"")="","",IF(RIGHT(TRIM(A1079),7)=" Equity",TRIM(A1079),TRIM(A1079)&amp;" Equity"))</f>
        <v/>
      </c>
      <c r="C1079">
        <f>IF(OR(SwitchUniverse&lt;&gt;"ON",$B1079=""),"",BDP($B1079,"NAME"))</f>
        <v/>
      </c>
      <c r="D1079">
        <f>IF(OR(SwitchUniverse&lt;&gt;"ON",$B1079=""),"",BDP($B1079,"GICS_SECTOR_NAME"))</f>
        <v/>
      </c>
    </row>
    <row r="1080" spans="2:4">
      <c r="B1080">
        <f>IF(TRIM(A1080&amp;"")="","",IF(RIGHT(TRIM(A1080),7)=" Equity",TRIM(A1080),TRIM(A1080)&amp;" Equity"))</f>
        <v/>
      </c>
      <c r="C1080">
        <f>IF(OR(SwitchUniverse&lt;&gt;"ON",$B1080=""),"",BDP($B1080,"NAME"))</f>
        <v/>
      </c>
      <c r="D1080">
        <f>IF(OR(SwitchUniverse&lt;&gt;"ON",$B1080=""),"",BDP($B1080,"GICS_SECTOR_NAME"))</f>
        <v/>
      </c>
    </row>
    <row r="1081" spans="2:4">
      <c r="B1081">
        <f>IF(TRIM(A1081&amp;"")="","",IF(RIGHT(TRIM(A1081),7)=" Equity",TRIM(A1081),TRIM(A1081)&amp;" Equity"))</f>
        <v/>
      </c>
      <c r="C1081">
        <f>IF(OR(SwitchUniverse&lt;&gt;"ON",$B1081=""),"",BDP($B1081,"NAME"))</f>
        <v/>
      </c>
      <c r="D1081">
        <f>IF(OR(SwitchUniverse&lt;&gt;"ON",$B1081=""),"",BDP($B1081,"GICS_SECTOR_NAME"))</f>
        <v/>
      </c>
    </row>
    <row r="1082" spans="2:4">
      <c r="B1082">
        <f>IF(TRIM(A1082&amp;"")="","",IF(RIGHT(TRIM(A1082),7)=" Equity",TRIM(A1082),TRIM(A1082)&amp;" Equity"))</f>
        <v/>
      </c>
      <c r="C1082">
        <f>IF(OR(SwitchUniverse&lt;&gt;"ON",$B1082=""),"",BDP($B1082,"NAME"))</f>
        <v/>
      </c>
      <c r="D1082">
        <f>IF(OR(SwitchUniverse&lt;&gt;"ON",$B1082=""),"",BDP($B1082,"GICS_SECTOR_NAME"))</f>
        <v/>
      </c>
    </row>
    <row r="1083" spans="2:4">
      <c r="B1083">
        <f>IF(TRIM(A1083&amp;"")="","",IF(RIGHT(TRIM(A1083),7)=" Equity",TRIM(A1083),TRIM(A1083)&amp;" Equity"))</f>
        <v/>
      </c>
      <c r="C1083">
        <f>IF(OR(SwitchUniverse&lt;&gt;"ON",$B1083=""),"",BDP($B1083,"NAME"))</f>
        <v/>
      </c>
      <c r="D1083">
        <f>IF(OR(SwitchUniverse&lt;&gt;"ON",$B1083=""),"",BDP($B1083,"GICS_SECTOR_NAME"))</f>
        <v/>
      </c>
    </row>
    <row r="1084" spans="2:4">
      <c r="B1084">
        <f>IF(TRIM(A1084&amp;"")="","",IF(RIGHT(TRIM(A1084),7)=" Equity",TRIM(A1084),TRIM(A1084)&amp;" Equity"))</f>
        <v/>
      </c>
      <c r="C1084">
        <f>IF(OR(SwitchUniverse&lt;&gt;"ON",$B1084=""),"",BDP($B1084,"NAME"))</f>
        <v/>
      </c>
      <c r="D1084">
        <f>IF(OR(SwitchUniverse&lt;&gt;"ON",$B1084=""),"",BDP($B1084,"GICS_SECTOR_NAME"))</f>
        <v/>
      </c>
    </row>
    <row r="1085" spans="2:4">
      <c r="B1085">
        <f>IF(TRIM(A1085&amp;"")="","",IF(RIGHT(TRIM(A1085),7)=" Equity",TRIM(A1085),TRIM(A1085)&amp;" Equity"))</f>
        <v/>
      </c>
      <c r="C1085">
        <f>IF(OR(SwitchUniverse&lt;&gt;"ON",$B1085=""),"",BDP($B1085,"NAME"))</f>
        <v/>
      </c>
      <c r="D1085">
        <f>IF(OR(SwitchUniverse&lt;&gt;"ON",$B1085=""),"",BDP($B1085,"GICS_SECTOR_NAME"))</f>
        <v/>
      </c>
    </row>
    <row r="1086" spans="2:4">
      <c r="B1086">
        <f>IF(TRIM(A1086&amp;"")="","",IF(RIGHT(TRIM(A1086),7)=" Equity",TRIM(A1086),TRIM(A1086)&amp;" Equity"))</f>
        <v/>
      </c>
      <c r="C1086">
        <f>IF(OR(SwitchUniverse&lt;&gt;"ON",$B1086=""),"",BDP($B1086,"NAME"))</f>
        <v/>
      </c>
      <c r="D1086">
        <f>IF(OR(SwitchUniverse&lt;&gt;"ON",$B1086=""),"",BDP($B1086,"GICS_SECTOR_NAME"))</f>
        <v/>
      </c>
    </row>
    <row r="1087" spans="2:4">
      <c r="B1087">
        <f>IF(TRIM(A1087&amp;"")="","",IF(RIGHT(TRIM(A1087),7)=" Equity",TRIM(A1087),TRIM(A1087)&amp;" Equity"))</f>
        <v/>
      </c>
      <c r="C1087">
        <f>IF(OR(SwitchUniverse&lt;&gt;"ON",$B1087=""),"",BDP($B1087,"NAME"))</f>
        <v/>
      </c>
      <c r="D1087">
        <f>IF(OR(SwitchUniverse&lt;&gt;"ON",$B1087=""),"",BDP($B1087,"GICS_SECTOR_NAME"))</f>
        <v/>
      </c>
    </row>
    <row r="1088" spans="2:4">
      <c r="B1088">
        <f>IF(TRIM(A1088&amp;"")="","",IF(RIGHT(TRIM(A1088),7)=" Equity",TRIM(A1088),TRIM(A1088)&amp;" Equity"))</f>
        <v/>
      </c>
      <c r="C1088">
        <f>IF(OR(SwitchUniverse&lt;&gt;"ON",$B1088=""),"",BDP($B1088,"NAME"))</f>
        <v/>
      </c>
      <c r="D1088">
        <f>IF(OR(SwitchUniverse&lt;&gt;"ON",$B1088=""),"",BDP($B1088,"GICS_SECTOR_NAME"))</f>
        <v/>
      </c>
    </row>
    <row r="1089" spans="2:4">
      <c r="B1089">
        <f>IF(TRIM(A1089&amp;"")="","",IF(RIGHT(TRIM(A1089),7)=" Equity",TRIM(A1089),TRIM(A1089)&amp;" Equity"))</f>
        <v/>
      </c>
      <c r="C1089">
        <f>IF(OR(SwitchUniverse&lt;&gt;"ON",$B1089=""),"",BDP($B1089,"NAME"))</f>
        <v/>
      </c>
      <c r="D1089">
        <f>IF(OR(SwitchUniverse&lt;&gt;"ON",$B1089=""),"",BDP($B1089,"GICS_SECTOR_NAME"))</f>
        <v/>
      </c>
    </row>
    <row r="1090" spans="2:4">
      <c r="B1090">
        <f>IF(TRIM(A1090&amp;"")="","",IF(RIGHT(TRIM(A1090),7)=" Equity",TRIM(A1090),TRIM(A1090)&amp;" Equity"))</f>
        <v/>
      </c>
      <c r="C1090">
        <f>IF(OR(SwitchUniverse&lt;&gt;"ON",$B1090=""),"",BDP($B1090,"NAME"))</f>
        <v/>
      </c>
      <c r="D1090">
        <f>IF(OR(SwitchUniverse&lt;&gt;"ON",$B1090=""),"",BDP($B1090,"GICS_SECTOR_NAME"))</f>
        <v/>
      </c>
    </row>
    <row r="1091" spans="2:4">
      <c r="B1091">
        <f>IF(TRIM(A1091&amp;"")="","",IF(RIGHT(TRIM(A1091),7)=" Equity",TRIM(A1091),TRIM(A1091)&amp;" Equity"))</f>
        <v/>
      </c>
      <c r="C1091">
        <f>IF(OR(SwitchUniverse&lt;&gt;"ON",$B1091=""),"",BDP($B1091,"NAME"))</f>
        <v/>
      </c>
      <c r="D1091">
        <f>IF(OR(SwitchUniverse&lt;&gt;"ON",$B1091=""),"",BDP($B1091,"GICS_SECTOR_NAME"))</f>
        <v/>
      </c>
    </row>
    <row r="1092" spans="2:4">
      <c r="B1092">
        <f>IF(TRIM(A1092&amp;"")="","",IF(RIGHT(TRIM(A1092),7)=" Equity",TRIM(A1092),TRIM(A1092)&amp;" Equity"))</f>
        <v/>
      </c>
      <c r="C1092">
        <f>IF(OR(SwitchUniverse&lt;&gt;"ON",$B1092=""),"",BDP($B1092,"NAME"))</f>
        <v/>
      </c>
      <c r="D1092">
        <f>IF(OR(SwitchUniverse&lt;&gt;"ON",$B1092=""),"",BDP($B1092,"GICS_SECTOR_NAME"))</f>
        <v/>
      </c>
    </row>
    <row r="1093" spans="2:4">
      <c r="B1093">
        <f>IF(TRIM(A1093&amp;"")="","",IF(RIGHT(TRIM(A1093),7)=" Equity",TRIM(A1093),TRIM(A1093)&amp;" Equity"))</f>
        <v/>
      </c>
      <c r="C1093">
        <f>IF(OR(SwitchUniverse&lt;&gt;"ON",$B1093=""),"",BDP($B1093,"NAME"))</f>
        <v/>
      </c>
      <c r="D1093">
        <f>IF(OR(SwitchUniverse&lt;&gt;"ON",$B1093=""),"",BDP($B1093,"GICS_SECTOR_NAME"))</f>
        <v/>
      </c>
    </row>
    <row r="1094" spans="2:4">
      <c r="B1094">
        <f>IF(TRIM(A1094&amp;"")="","",IF(RIGHT(TRIM(A1094),7)=" Equity",TRIM(A1094),TRIM(A1094)&amp;" Equity"))</f>
        <v/>
      </c>
      <c r="C1094">
        <f>IF(OR(SwitchUniverse&lt;&gt;"ON",$B1094=""),"",BDP($B1094,"NAME"))</f>
        <v/>
      </c>
      <c r="D1094">
        <f>IF(OR(SwitchUniverse&lt;&gt;"ON",$B1094=""),"",BDP($B1094,"GICS_SECTOR_NAME"))</f>
        <v/>
      </c>
    </row>
    <row r="1095" spans="2:4">
      <c r="B1095">
        <f>IF(TRIM(A1095&amp;"")="","",IF(RIGHT(TRIM(A1095),7)=" Equity",TRIM(A1095),TRIM(A1095)&amp;" Equity"))</f>
        <v/>
      </c>
      <c r="C1095">
        <f>IF(OR(SwitchUniverse&lt;&gt;"ON",$B1095=""),"",BDP($B1095,"NAME"))</f>
        <v/>
      </c>
      <c r="D1095">
        <f>IF(OR(SwitchUniverse&lt;&gt;"ON",$B1095=""),"",BDP($B1095,"GICS_SECTOR_NAME"))</f>
        <v/>
      </c>
    </row>
    <row r="1096" spans="2:4">
      <c r="B1096">
        <f>IF(TRIM(A1096&amp;"")="","",IF(RIGHT(TRIM(A1096),7)=" Equity",TRIM(A1096),TRIM(A1096)&amp;" Equity"))</f>
        <v/>
      </c>
      <c r="C1096">
        <f>IF(OR(SwitchUniverse&lt;&gt;"ON",$B1096=""),"",BDP($B1096,"NAME"))</f>
        <v/>
      </c>
      <c r="D1096">
        <f>IF(OR(SwitchUniverse&lt;&gt;"ON",$B1096=""),"",BDP($B1096,"GICS_SECTOR_NAME"))</f>
        <v/>
      </c>
    </row>
    <row r="1097" spans="2:4">
      <c r="B1097">
        <f>IF(TRIM(A1097&amp;"")="","",IF(RIGHT(TRIM(A1097),7)=" Equity",TRIM(A1097),TRIM(A1097)&amp;" Equity"))</f>
        <v/>
      </c>
      <c r="C1097">
        <f>IF(OR(SwitchUniverse&lt;&gt;"ON",$B1097=""),"",BDP($B1097,"NAME"))</f>
        <v/>
      </c>
      <c r="D1097">
        <f>IF(OR(SwitchUniverse&lt;&gt;"ON",$B1097=""),"",BDP($B1097,"GICS_SECTOR_NAME"))</f>
        <v/>
      </c>
    </row>
    <row r="1098" spans="2:4">
      <c r="B1098">
        <f>IF(TRIM(A1098&amp;"")="","",IF(RIGHT(TRIM(A1098),7)=" Equity",TRIM(A1098),TRIM(A1098)&amp;" Equity"))</f>
        <v/>
      </c>
      <c r="C1098">
        <f>IF(OR(SwitchUniverse&lt;&gt;"ON",$B1098=""),"",BDP($B1098,"NAME"))</f>
        <v/>
      </c>
      <c r="D1098">
        <f>IF(OR(SwitchUniverse&lt;&gt;"ON",$B1098=""),"",BDP($B1098,"GICS_SECTOR_NAME"))</f>
        <v/>
      </c>
    </row>
    <row r="1099" spans="2:4">
      <c r="B1099">
        <f>IF(TRIM(A1099&amp;"")="","",IF(RIGHT(TRIM(A1099),7)=" Equity",TRIM(A1099),TRIM(A1099)&amp;" Equity"))</f>
        <v/>
      </c>
      <c r="C1099">
        <f>IF(OR(SwitchUniverse&lt;&gt;"ON",$B1099=""),"",BDP($B1099,"NAME"))</f>
        <v/>
      </c>
      <c r="D1099">
        <f>IF(OR(SwitchUniverse&lt;&gt;"ON",$B1099=""),"",BDP($B1099,"GICS_SECTOR_NAME"))</f>
        <v/>
      </c>
    </row>
    <row r="1100" spans="2:4">
      <c r="B1100">
        <f>IF(TRIM(A1100&amp;"")="","",IF(RIGHT(TRIM(A1100),7)=" Equity",TRIM(A1100),TRIM(A1100)&amp;" Equity"))</f>
        <v/>
      </c>
      <c r="C1100">
        <f>IF(OR(SwitchUniverse&lt;&gt;"ON",$B1100=""),"",BDP($B1100,"NAME"))</f>
        <v/>
      </c>
      <c r="D1100">
        <f>IF(OR(SwitchUniverse&lt;&gt;"ON",$B1100=""),"",BDP($B1100,"GICS_SECTOR_NAME"))</f>
        <v/>
      </c>
    </row>
    <row r="1101" spans="2:4">
      <c r="B1101">
        <f>IF(TRIM(A1101&amp;"")="","",IF(RIGHT(TRIM(A1101),7)=" Equity",TRIM(A1101),TRIM(A1101)&amp;" Equity"))</f>
        <v/>
      </c>
      <c r="C1101">
        <f>IF(OR(SwitchUniverse&lt;&gt;"ON",$B1101=""),"",BDP($B1101,"NAME"))</f>
        <v/>
      </c>
      <c r="D1101">
        <f>IF(OR(SwitchUniverse&lt;&gt;"ON",$B1101=""),"",BDP($B1101,"GICS_SECTOR_NAME"))</f>
        <v/>
      </c>
    </row>
    <row r="1102" spans="2:4">
      <c r="B1102">
        <f>IF(TRIM(A1102&amp;"")="","",IF(RIGHT(TRIM(A1102),7)=" Equity",TRIM(A1102),TRIM(A1102)&amp;" Equity"))</f>
        <v/>
      </c>
      <c r="C1102">
        <f>IF(OR(SwitchUniverse&lt;&gt;"ON",$B1102=""),"",BDP($B1102,"NAME"))</f>
        <v/>
      </c>
      <c r="D1102">
        <f>IF(OR(SwitchUniverse&lt;&gt;"ON",$B1102=""),"",BDP($B1102,"GICS_SECTOR_NAME"))</f>
        <v/>
      </c>
    </row>
    <row r="1103" spans="2:4">
      <c r="B1103">
        <f>IF(TRIM(A1103&amp;"")="","",IF(RIGHT(TRIM(A1103),7)=" Equity",TRIM(A1103),TRIM(A1103)&amp;" Equity"))</f>
        <v/>
      </c>
      <c r="C1103">
        <f>IF(OR(SwitchUniverse&lt;&gt;"ON",$B1103=""),"",BDP($B1103,"NAME"))</f>
        <v/>
      </c>
      <c r="D1103">
        <f>IF(OR(SwitchUniverse&lt;&gt;"ON",$B1103=""),"",BDP($B1103,"GICS_SECTOR_NAME"))</f>
        <v/>
      </c>
    </row>
    <row r="1104" spans="2:4">
      <c r="B1104">
        <f>IF(TRIM(A1104&amp;"")="","",IF(RIGHT(TRIM(A1104),7)=" Equity",TRIM(A1104),TRIM(A1104)&amp;" Equity"))</f>
        <v/>
      </c>
      <c r="C1104">
        <f>IF(OR(SwitchUniverse&lt;&gt;"ON",$B1104=""),"",BDP($B1104,"NAME"))</f>
        <v/>
      </c>
      <c r="D1104">
        <f>IF(OR(SwitchUniverse&lt;&gt;"ON",$B1104=""),"",BDP($B1104,"GICS_SECTOR_NAME"))</f>
        <v/>
      </c>
    </row>
    <row r="1105" spans="2:4">
      <c r="B1105">
        <f>IF(TRIM(A1105&amp;"")="","",IF(RIGHT(TRIM(A1105),7)=" Equity",TRIM(A1105),TRIM(A1105)&amp;" Equity"))</f>
        <v/>
      </c>
      <c r="C1105">
        <f>IF(OR(SwitchUniverse&lt;&gt;"ON",$B1105=""),"",BDP($B1105,"NAME"))</f>
        <v/>
      </c>
      <c r="D1105">
        <f>IF(OR(SwitchUniverse&lt;&gt;"ON",$B1105=""),"",BDP($B1105,"GICS_SECTOR_NAME"))</f>
        <v/>
      </c>
    </row>
    <row r="1106" spans="2:4">
      <c r="B1106">
        <f>IF(TRIM(A1106&amp;"")="","",IF(RIGHT(TRIM(A1106),7)=" Equity",TRIM(A1106),TRIM(A1106)&amp;" Equity"))</f>
        <v/>
      </c>
      <c r="C1106">
        <f>IF(OR(SwitchUniverse&lt;&gt;"ON",$B1106=""),"",BDP($B1106,"NAME"))</f>
        <v/>
      </c>
      <c r="D1106">
        <f>IF(OR(SwitchUniverse&lt;&gt;"ON",$B1106=""),"",BDP($B1106,"GICS_SECTOR_NAME"))</f>
        <v/>
      </c>
    </row>
    <row r="1107" spans="2:4">
      <c r="B1107">
        <f>IF(TRIM(A1107&amp;"")="","",IF(RIGHT(TRIM(A1107),7)=" Equity",TRIM(A1107),TRIM(A1107)&amp;" Equity"))</f>
        <v/>
      </c>
      <c r="C1107">
        <f>IF(OR(SwitchUniverse&lt;&gt;"ON",$B1107=""),"",BDP($B1107,"NAME"))</f>
        <v/>
      </c>
      <c r="D1107">
        <f>IF(OR(SwitchUniverse&lt;&gt;"ON",$B1107=""),"",BDP($B1107,"GICS_SECTOR_NAME"))</f>
        <v/>
      </c>
    </row>
    <row r="1108" spans="2:4">
      <c r="B1108">
        <f>IF(TRIM(A1108&amp;"")="","",IF(RIGHT(TRIM(A1108),7)=" Equity",TRIM(A1108),TRIM(A1108)&amp;" Equity"))</f>
        <v/>
      </c>
      <c r="C1108">
        <f>IF(OR(SwitchUniverse&lt;&gt;"ON",$B1108=""),"",BDP($B1108,"NAME"))</f>
        <v/>
      </c>
      <c r="D1108">
        <f>IF(OR(SwitchUniverse&lt;&gt;"ON",$B1108=""),"",BDP($B1108,"GICS_SECTOR_NAME"))</f>
        <v/>
      </c>
    </row>
    <row r="1109" spans="2:4">
      <c r="B1109">
        <f>IF(TRIM(A1109&amp;"")="","",IF(RIGHT(TRIM(A1109),7)=" Equity",TRIM(A1109),TRIM(A1109)&amp;" Equity"))</f>
        <v/>
      </c>
      <c r="C1109">
        <f>IF(OR(SwitchUniverse&lt;&gt;"ON",$B1109=""),"",BDP($B1109,"NAME"))</f>
        <v/>
      </c>
      <c r="D1109">
        <f>IF(OR(SwitchUniverse&lt;&gt;"ON",$B1109=""),"",BDP($B1109,"GICS_SECTOR_NAME"))</f>
        <v/>
      </c>
    </row>
    <row r="1110" spans="2:4">
      <c r="B1110">
        <f>IF(TRIM(A1110&amp;"")="","",IF(RIGHT(TRIM(A1110),7)=" Equity",TRIM(A1110),TRIM(A1110)&amp;" Equity"))</f>
        <v/>
      </c>
      <c r="C1110">
        <f>IF(OR(SwitchUniverse&lt;&gt;"ON",$B1110=""),"",BDP($B1110,"NAME"))</f>
        <v/>
      </c>
      <c r="D1110">
        <f>IF(OR(SwitchUniverse&lt;&gt;"ON",$B1110=""),"",BDP($B1110,"GICS_SECTOR_NAME"))</f>
        <v/>
      </c>
    </row>
    <row r="1111" spans="2:4">
      <c r="B1111">
        <f>IF(TRIM(A1111&amp;"")="","",IF(RIGHT(TRIM(A1111),7)=" Equity",TRIM(A1111),TRIM(A1111)&amp;" Equity"))</f>
        <v/>
      </c>
      <c r="C1111">
        <f>IF(OR(SwitchUniverse&lt;&gt;"ON",$B1111=""),"",BDP($B1111,"NAME"))</f>
        <v/>
      </c>
      <c r="D1111">
        <f>IF(OR(SwitchUniverse&lt;&gt;"ON",$B1111=""),"",BDP($B1111,"GICS_SECTOR_NAME"))</f>
        <v/>
      </c>
    </row>
    <row r="1112" spans="2:4">
      <c r="B1112">
        <f>IF(TRIM(A1112&amp;"")="","",IF(RIGHT(TRIM(A1112),7)=" Equity",TRIM(A1112),TRIM(A1112)&amp;" Equity"))</f>
        <v/>
      </c>
      <c r="C1112">
        <f>IF(OR(SwitchUniverse&lt;&gt;"ON",$B1112=""),"",BDP($B1112,"NAME"))</f>
        <v/>
      </c>
      <c r="D1112">
        <f>IF(OR(SwitchUniverse&lt;&gt;"ON",$B1112=""),"",BDP($B1112,"GICS_SECTOR_NAME"))</f>
        <v/>
      </c>
    </row>
    <row r="1113" spans="2:4">
      <c r="B1113">
        <f>IF(TRIM(A1113&amp;"")="","",IF(RIGHT(TRIM(A1113),7)=" Equity",TRIM(A1113),TRIM(A1113)&amp;" Equity"))</f>
        <v/>
      </c>
      <c r="C1113">
        <f>IF(OR(SwitchUniverse&lt;&gt;"ON",$B1113=""),"",BDP($B1113,"NAME"))</f>
        <v/>
      </c>
      <c r="D1113">
        <f>IF(OR(SwitchUniverse&lt;&gt;"ON",$B1113=""),"",BDP($B1113,"GICS_SECTOR_NAME"))</f>
        <v/>
      </c>
    </row>
    <row r="1114" spans="2:4">
      <c r="B1114">
        <f>IF(TRIM(A1114&amp;"")="","",IF(RIGHT(TRIM(A1114),7)=" Equity",TRIM(A1114),TRIM(A1114)&amp;" Equity"))</f>
        <v/>
      </c>
      <c r="C1114">
        <f>IF(OR(SwitchUniverse&lt;&gt;"ON",$B1114=""),"",BDP($B1114,"NAME"))</f>
        <v/>
      </c>
      <c r="D1114">
        <f>IF(OR(SwitchUniverse&lt;&gt;"ON",$B1114=""),"",BDP($B1114,"GICS_SECTOR_NAME"))</f>
        <v/>
      </c>
    </row>
    <row r="1115" spans="2:4">
      <c r="B1115">
        <f>IF(TRIM(A1115&amp;"")="","",IF(RIGHT(TRIM(A1115),7)=" Equity",TRIM(A1115),TRIM(A1115)&amp;" Equity"))</f>
        <v/>
      </c>
      <c r="C1115">
        <f>IF(OR(SwitchUniverse&lt;&gt;"ON",$B1115=""),"",BDP($B1115,"NAME"))</f>
        <v/>
      </c>
      <c r="D1115">
        <f>IF(OR(SwitchUniverse&lt;&gt;"ON",$B1115=""),"",BDP($B1115,"GICS_SECTOR_NAME"))</f>
        <v/>
      </c>
    </row>
    <row r="1116" spans="2:4">
      <c r="B1116">
        <f>IF(TRIM(A1116&amp;"")="","",IF(RIGHT(TRIM(A1116),7)=" Equity",TRIM(A1116),TRIM(A1116)&amp;" Equity"))</f>
        <v/>
      </c>
      <c r="C1116">
        <f>IF(OR(SwitchUniverse&lt;&gt;"ON",$B1116=""),"",BDP($B1116,"NAME"))</f>
        <v/>
      </c>
      <c r="D1116">
        <f>IF(OR(SwitchUniverse&lt;&gt;"ON",$B1116=""),"",BDP($B1116,"GICS_SECTOR_NAME"))</f>
        <v/>
      </c>
    </row>
    <row r="1117" spans="2:4">
      <c r="B1117">
        <f>IF(TRIM(A1117&amp;"")="","",IF(RIGHT(TRIM(A1117),7)=" Equity",TRIM(A1117),TRIM(A1117)&amp;" Equity"))</f>
        <v/>
      </c>
      <c r="C1117">
        <f>IF(OR(SwitchUniverse&lt;&gt;"ON",$B1117=""),"",BDP($B1117,"NAME"))</f>
        <v/>
      </c>
      <c r="D1117">
        <f>IF(OR(SwitchUniverse&lt;&gt;"ON",$B1117=""),"",BDP($B1117,"GICS_SECTOR_NAME"))</f>
        <v/>
      </c>
    </row>
    <row r="1118" spans="2:4">
      <c r="B1118">
        <f>IF(TRIM(A1118&amp;"")="","",IF(RIGHT(TRIM(A1118),7)=" Equity",TRIM(A1118),TRIM(A1118)&amp;" Equity"))</f>
        <v/>
      </c>
      <c r="C1118">
        <f>IF(OR(SwitchUniverse&lt;&gt;"ON",$B1118=""),"",BDP($B1118,"NAME"))</f>
        <v/>
      </c>
      <c r="D1118">
        <f>IF(OR(SwitchUniverse&lt;&gt;"ON",$B1118=""),"",BDP($B1118,"GICS_SECTOR_NAME"))</f>
        <v/>
      </c>
    </row>
    <row r="1119" spans="2:4">
      <c r="B1119">
        <f>IF(TRIM(A1119&amp;"")="","",IF(RIGHT(TRIM(A1119),7)=" Equity",TRIM(A1119),TRIM(A1119)&amp;" Equity"))</f>
        <v/>
      </c>
      <c r="C1119">
        <f>IF(OR(SwitchUniverse&lt;&gt;"ON",$B1119=""),"",BDP($B1119,"NAME"))</f>
        <v/>
      </c>
      <c r="D1119">
        <f>IF(OR(SwitchUniverse&lt;&gt;"ON",$B1119=""),"",BDP($B1119,"GICS_SECTOR_NAME"))</f>
        <v/>
      </c>
    </row>
    <row r="1120" spans="2:4">
      <c r="B1120">
        <f>IF(TRIM(A1120&amp;"")="","",IF(RIGHT(TRIM(A1120),7)=" Equity",TRIM(A1120),TRIM(A1120)&amp;" Equity"))</f>
        <v/>
      </c>
      <c r="C1120">
        <f>IF(OR(SwitchUniverse&lt;&gt;"ON",$B1120=""),"",BDP($B1120,"NAME"))</f>
        <v/>
      </c>
      <c r="D1120">
        <f>IF(OR(SwitchUniverse&lt;&gt;"ON",$B1120=""),"",BDP($B1120,"GICS_SECTOR_NAME"))</f>
        <v/>
      </c>
    </row>
    <row r="1121" spans="2:4">
      <c r="B1121">
        <f>IF(TRIM(A1121&amp;"")="","",IF(RIGHT(TRIM(A1121),7)=" Equity",TRIM(A1121),TRIM(A1121)&amp;" Equity"))</f>
        <v/>
      </c>
      <c r="C1121">
        <f>IF(OR(SwitchUniverse&lt;&gt;"ON",$B1121=""),"",BDP($B1121,"NAME"))</f>
        <v/>
      </c>
      <c r="D1121">
        <f>IF(OR(SwitchUniverse&lt;&gt;"ON",$B1121=""),"",BDP($B1121,"GICS_SECTOR_NAME"))</f>
        <v/>
      </c>
    </row>
    <row r="1122" spans="2:4">
      <c r="B1122">
        <f>IF(TRIM(A1122&amp;"")="","",IF(RIGHT(TRIM(A1122),7)=" Equity",TRIM(A1122),TRIM(A1122)&amp;" Equity"))</f>
        <v/>
      </c>
      <c r="C1122">
        <f>IF(OR(SwitchUniverse&lt;&gt;"ON",$B1122=""),"",BDP($B1122,"NAME"))</f>
        <v/>
      </c>
      <c r="D1122">
        <f>IF(OR(SwitchUniverse&lt;&gt;"ON",$B1122=""),"",BDP($B1122,"GICS_SECTOR_NAME"))</f>
        <v/>
      </c>
    </row>
    <row r="1123" spans="2:4">
      <c r="B1123">
        <f>IF(TRIM(A1123&amp;"")="","",IF(RIGHT(TRIM(A1123),7)=" Equity",TRIM(A1123),TRIM(A1123)&amp;" Equity"))</f>
        <v/>
      </c>
      <c r="C1123">
        <f>IF(OR(SwitchUniverse&lt;&gt;"ON",$B1123=""),"",BDP($B1123,"NAME"))</f>
        <v/>
      </c>
      <c r="D1123">
        <f>IF(OR(SwitchUniverse&lt;&gt;"ON",$B1123=""),"",BDP($B1123,"GICS_SECTOR_NAME"))</f>
        <v/>
      </c>
    </row>
    <row r="1124" spans="2:4">
      <c r="B1124">
        <f>IF(TRIM(A1124&amp;"")="","",IF(RIGHT(TRIM(A1124),7)=" Equity",TRIM(A1124),TRIM(A1124)&amp;" Equity"))</f>
        <v/>
      </c>
      <c r="C1124">
        <f>IF(OR(SwitchUniverse&lt;&gt;"ON",$B1124=""),"",BDP($B1124,"NAME"))</f>
        <v/>
      </c>
      <c r="D1124">
        <f>IF(OR(SwitchUniverse&lt;&gt;"ON",$B1124=""),"",BDP($B1124,"GICS_SECTOR_NAME"))</f>
        <v/>
      </c>
    </row>
    <row r="1125" spans="2:4">
      <c r="B1125">
        <f>IF(TRIM(A1125&amp;"")="","",IF(RIGHT(TRIM(A1125),7)=" Equity",TRIM(A1125),TRIM(A1125)&amp;" Equity"))</f>
        <v/>
      </c>
      <c r="C1125">
        <f>IF(OR(SwitchUniverse&lt;&gt;"ON",$B1125=""),"",BDP($B1125,"NAME"))</f>
        <v/>
      </c>
      <c r="D1125">
        <f>IF(OR(SwitchUniverse&lt;&gt;"ON",$B1125=""),"",BDP($B1125,"GICS_SECTOR_NAME"))</f>
        <v/>
      </c>
    </row>
    <row r="1126" spans="2:4">
      <c r="B1126">
        <f>IF(TRIM(A1126&amp;"")="","",IF(RIGHT(TRIM(A1126),7)=" Equity",TRIM(A1126),TRIM(A1126)&amp;" Equity"))</f>
        <v/>
      </c>
      <c r="C1126">
        <f>IF(OR(SwitchUniverse&lt;&gt;"ON",$B1126=""),"",BDP($B1126,"NAME"))</f>
        <v/>
      </c>
      <c r="D1126">
        <f>IF(OR(SwitchUniverse&lt;&gt;"ON",$B1126=""),"",BDP($B1126,"GICS_SECTOR_NAME"))</f>
        <v/>
      </c>
    </row>
    <row r="1127" spans="2:4">
      <c r="B1127">
        <f>IF(TRIM(A1127&amp;"")="","",IF(RIGHT(TRIM(A1127),7)=" Equity",TRIM(A1127),TRIM(A1127)&amp;" Equity"))</f>
        <v/>
      </c>
      <c r="C1127">
        <f>IF(OR(SwitchUniverse&lt;&gt;"ON",$B1127=""),"",BDP($B1127,"NAME"))</f>
        <v/>
      </c>
      <c r="D1127">
        <f>IF(OR(SwitchUniverse&lt;&gt;"ON",$B1127=""),"",BDP($B1127,"GICS_SECTOR_NAME"))</f>
        <v/>
      </c>
    </row>
    <row r="1128" spans="2:4">
      <c r="B1128">
        <f>IF(TRIM(A1128&amp;"")="","",IF(RIGHT(TRIM(A1128),7)=" Equity",TRIM(A1128),TRIM(A1128)&amp;" Equity"))</f>
        <v/>
      </c>
      <c r="C1128">
        <f>IF(OR(SwitchUniverse&lt;&gt;"ON",$B1128=""),"",BDP($B1128,"NAME"))</f>
        <v/>
      </c>
      <c r="D1128">
        <f>IF(OR(SwitchUniverse&lt;&gt;"ON",$B1128=""),"",BDP($B1128,"GICS_SECTOR_NAME"))</f>
        <v/>
      </c>
    </row>
    <row r="1129" spans="2:4">
      <c r="B1129">
        <f>IF(TRIM(A1129&amp;"")="","",IF(RIGHT(TRIM(A1129),7)=" Equity",TRIM(A1129),TRIM(A1129)&amp;" Equity"))</f>
        <v/>
      </c>
      <c r="C1129">
        <f>IF(OR(SwitchUniverse&lt;&gt;"ON",$B1129=""),"",BDP($B1129,"NAME"))</f>
        <v/>
      </c>
      <c r="D1129">
        <f>IF(OR(SwitchUniverse&lt;&gt;"ON",$B1129=""),"",BDP($B1129,"GICS_SECTOR_NAME"))</f>
        <v/>
      </c>
    </row>
    <row r="1130" spans="2:4">
      <c r="B1130">
        <f>IF(TRIM(A1130&amp;"")="","",IF(RIGHT(TRIM(A1130),7)=" Equity",TRIM(A1130),TRIM(A1130)&amp;" Equity"))</f>
        <v/>
      </c>
      <c r="C1130">
        <f>IF(OR(SwitchUniverse&lt;&gt;"ON",$B1130=""),"",BDP($B1130,"NAME"))</f>
        <v/>
      </c>
      <c r="D1130">
        <f>IF(OR(SwitchUniverse&lt;&gt;"ON",$B1130=""),"",BDP($B1130,"GICS_SECTOR_NAME"))</f>
        <v/>
      </c>
    </row>
    <row r="1131" spans="2:4">
      <c r="B1131">
        <f>IF(TRIM(A1131&amp;"")="","",IF(RIGHT(TRIM(A1131),7)=" Equity",TRIM(A1131),TRIM(A1131)&amp;" Equity"))</f>
        <v/>
      </c>
      <c r="C1131">
        <f>IF(OR(SwitchUniverse&lt;&gt;"ON",$B1131=""),"",BDP($B1131,"NAME"))</f>
        <v/>
      </c>
      <c r="D1131">
        <f>IF(OR(SwitchUniverse&lt;&gt;"ON",$B1131=""),"",BDP($B1131,"GICS_SECTOR_NAME"))</f>
        <v/>
      </c>
    </row>
    <row r="1132" spans="2:4">
      <c r="B1132">
        <f>IF(TRIM(A1132&amp;"")="","",IF(RIGHT(TRIM(A1132),7)=" Equity",TRIM(A1132),TRIM(A1132)&amp;" Equity"))</f>
        <v/>
      </c>
      <c r="C1132">
        <f>IF(OR(SwitchUniverse&lt;&gt;"ON",$B1132=""),"",BDP($B1132,"NAME"))</f>
        <v/>
      </c>
      <c r="D1132">
        <f>IF(OR(SwitchUniverse&lt;&gt;"ON",$B1132=""),"",BDP($B1132,"GICS_SECTOR_NAME"))</f>
        <v/>
      </c>
    </row>
    <row r="1133" spans="2:4">
      <c r="B1133">
        <f>IF(TRIM(A1133&amp;"")="","",IF(RIGHT(TRIM(A1133),7)=" Equity",TRIM(A1133),TRIM(A1133)&amp;" Equity"))</f>
        <v/>
      </c>
      <c r="C1133">
        <f>IF(OR(SwitchUniverse&lt;&gt;"ON",$B1133=""),"",BDP($B1133,"NAME"))</f>
        <v/>
      </c>
      <c r="D1133">
        <f>IF(OR(SwitchUniverse&lt;&gt;"ON",$B1133=""),"",BDP($B1133,"GICS_SECTOR_NAME"))</f>
        <v/>
      </c>
    </row>
    <row r="1134" spans="2:4">
      <c r="B1134">
        <f>IF(TRIM(A1134&amp;"")="","",IF(RIGHT(TRIM(A1134),7)=" Equity",TRIM(A1134),TRIM(A1134)&amp;" Equity"))</f>
        <v/>
      </c>
      <c r="C1134">
        <f>IF(OR(SwitchUniverse&lt;&gt;"ON",$B1134=""),"",BDP($B1134,"NAME"))</f>
        <v/>
      </c>
      <c r="D1134">
        <f>IF(OR(SwitchUniverse&lt;&gt;"ON",$B1134=""),"",BDP($B1134,"GICS_SECTOR_NAME"))</f>
        <v/>
      </c>
    </row>
    <row r="1135" spans="2:4">
      <c r="B1135">
        <f>IF(TRIM(A1135&amp;"")="","",IF(RIGHT(TRIM(A1135),7)=" Equity",TRIM(A1135),TRIM(A1135)&amp;" Equity"))</f>
        <v/>
      </c>
      <c r="C1135">
        <f>IF(OR(SwitchUniverse&lt;&gt;"ON",$B1135=""),"",BDP($B1135,"NAME"))</f>
        <v/>
      </c>
      <c r="D1135">
        <f>IF(OR(SwitchUniverse&lt;&gt;"ON",$B1135=""),"",BDP($B1135,"GICS_SECTOR_NAME"))</f>
        <v/>
      </c>
    </row>
    <row r="1136" spans="2:4">
      <c r="B1136">
        <f>IF(TRIM(A1136&amp;"")="","",IF(RIGHT(TRIM(A1136),7)=" Equity",TRIM(A1136),TRIM(A1136)&amp;" Equity"))</f>
        <v/>
      </c>
      <c r="C1136">
        <f>IF(OR(SwitchUniverse&lt;&gt;"ON",$B1136=""),"",BDP($B1136,"NAME"))</f>
        <v/>
      </c>
      <c r="D1136">
        <f>IF(OR(SwitchUniverse&lt;&gt;"ON",$B1136=""),"",BDP($B1136,"GICS_SECTOR_NAME"))</f>
        <v/>
      </c>
    </row>
    <row r="1137" spans="2:4">
      <c r="B1137">
        <f>IF(TRIM(A1137&amp;"")="","",IF(RIGHT(TRIM(A1137),7)=" Equity",TRIM(A1137),TRIM(A1137)&amp;" Equity"))</f>
        <v/>
      </c>
      <c r="C1137">
        <f>IF(OR(SwitchUniverse&lt;&gt;"ON",$B1137=""),"",BDP($B1137,"NAME"))</f>
        <v/>
      </c>
      <c r="D1137">
        <f>IF(OR(SwitchUniverse&lt;&gt;"ON",$B1137=""),"",BDP($B1137,"GICS_SECTOR_NAME"))</f>
        <v/>
      </c>
    </row>
    <row r="1138" spans="2:4">
      <c r="B1138">
        <f>IF(TRIM(A1138&amp;"")="","",IF(RIGHT(TRIM(A1138),7)=" Equity",TRIM(A1138),TRIM(A1138)&amp;" Equity"))</f>
        <v/>
      </c>
      <c r="C1138">
        <f>IF(OR(SwitchUniverse&lt;&gt;"ON",$B1138=""),"",BDP($B1138,"NAME"))</f>
        <v/>
      </c>
      <c r="D1138">
        <f>IF(OR(SwitchUniverse&lt;&gt;"ON",$B1138=""),"",BDP($B1138,"GICS_SECTOR_NAME"))</f>
        <v/>
      </c>
    </row>
    <row r="1139" spans="2:4">
      <c r="B1139">
        <f>IF(TRIM(A1139&amp;"")="","",IF(RIGHT(TRIM(A1139),7)=" Equity",TRIM(A1139),TRIM(A1139)&amp;" Equity"))</f>
        <v/>
      </c>
      <c r="C1139">
        <f>IF(OR(SwitchUniverse&lt;&gt;"ON",$B1139=""),"",BDP($B1139,"NAME"))</f>
        <v/>
      </c>
      <c r="D1139">
        <f>IF(OR(SwitchUniverse&lt;&gt;"ON",$B1139=""),"",BDP($B1139,"GICS_SECTOR_NAME"))</f>
        <v/>
      </c>
    </row>
    <row r="1140" spans="2:4">
      <c r="B1140">
        <f>IF(TRIM(A1140&amp;"")="","",IF(RIGHT(TRIM(A1140),7)=" Equity",TRIM(A1140),TRIM(A1140)&amp;" Equity"))</f>
        <v/>
      </c>
      <c r="C1140">
        <f>IF(OR(SwitchUniverse&lt;&gt;"ON",$B1140=""),"",BDP($B1140,"NAME"))</f>
        <v/>
      </c>
      <c r="D1140">
        <f>IF(OR(SwitchUniverse&lt;&gt;"ON",$B1140=""),"",BDP($B1140,"GICS_SECTOR_NAME"))</f>
        <v/>
      </c>
    </row>
    <row r="1141" spans="2:4">
      <c r="B1141">
        <f>IF(TRIM(A1141&amp;"")="","",IF(RIGHT(TRIM(A1141),7)=" Equity",TRIM(A1141),TRIM(A1141)&amp;" Equity"))</f>
        <v/>
      </c>
      <c r="C1141">
        <f>IF(OR(SwitchUniverse&lt;&gt;"ON",$B1141=""),"",BDP($B1141,"NAME"))</f>
        <v/>
      </c>
      <c r="D1141">
        <f>IF(OR(SwitchUniverse&lt;&gt;"ON",$B1141=""),"",BDP($B1141,"GICS_SECTOR_NAME"))</f>
        <v/>
      </c>
    </row>
    <row r="1142" spans="2:4">
      <c r="B1142">
        <f>IF(TRIM(A1142&amp;"")="","",IF(RIGHT(TRIM(A1142),7)=" Equity",TRIM(A1142),TRIM(A1142)&amp;" Equity"))</f>
        <v/>
      </c>
      <c r="C1142">
        <f>IF(OR(SwitchUniverse&lt;&gt;"ON",$B1142=""),"",BDP($B1142,"NAME"))</f>
        <v/>
      </c>
      <c r="D1142">
        <f>IF(OR(SwitchUniverse&lt;&gt;"ON",$B1142=""),"",BDP($B1142,"GICS_SECTOR_NAME"))</f>
        <v/>
      </c>
    </row>
    <row r="1143" spans="2:4">
      <c r="B1143">
        <f>IF(TRIM(A1143&amp;"")="","",IF(RIGHT(TRIM(A1143),7)=" Equity",TRIM(A1143),TRIM(A1143)&amp;" Equity"))</f>
        <v/>
      </c>
      <c r="C1143">
        <f>IF(OR(SwitchUniverse&lt;&gt;"ON",$B1143=""),"",BDP($B1143,"NAME"))</f>
        <v/>
      </c>
      <c r="D1143">
        <f>IF(OR(SwitchUniverse&lt;&gt;"ON",$B1143=""),"",BDP($B1143,"GICS_SECTOR_NAME"))</f>
        <v/>
      </c>
    </row>
    <row r="1144" spans="2:4">
      <c r="B1144">
        <f>IF(TRIM(A1144&amp;"")="","",IF(RIGHT(TRIM(A1144),7)=" Equity",TRIM(A1144),TRIM(A1144)&amp;" Equity"))</f>
        <v/>
      </c>
      <c r="C1144">
        <f>IF(OR(SwitchUniverse&lt;&gt;"ON",$B1144=""),"",BDP($B1144,"NAME"))</f>
        <v/>
      </c>
      <c r="D1144">
        <f>IF(OR(SwitchUniverse&lt;&gt;"ON",$B1144=""),"",BDP($B1144,"GICS_SECTOR_NAME"))</f>
        <v/>
      </c>
    </row>
    <row r="1145" spans="2:4">
      <c r="B1145">
        <f>IF(TRIM(A1145&amp;"")="","",IF(RIGHT(TRIM(A1145),7)=" Equity",TRIM(A1145),TRIM(A1145)&amp;" Equity"))</f>
        <v/>
      </c>
      <c r="C1145">
        <f>IF(OR(SwitchUniverse&lt;&gt;"ON",$B1145=""),"",BDP($B1145,"NAME"))</f>
        <v/>
      </c>
      <c r="D1145">
        <f>IF(OR(SwitchUniverse&lt;&gt;"ON",$B1145=""),"",BDP($B1145,"GICS_SECTOR_NAME"))</f>
        <v/>
      </c>
    </row>
    <row r="1146" spans="2:4">
      <c r="B1146">
        <f>IF(TRIM(A1146&amp;"")="","",IF(RIGHT(TRIM(A1146),7)=" Equity",TRIM(A1146),TRIM(A1146)&amp;" Equity"))</f>
        <v/>
      </c>
      <c r="C1146">
        <f>IF(OR(SwitchUniverse&lt;&gt;"ON",$B1146=""),"",BDP($B1146,"NAME"))</f>
        <v/>
      </c>
      <c r="D1146">
        <f>IF(OR(SwitchUniverse&lt;&gt;"ON",$B1146=""),"",BDP($B1146,"GICS_SECTOR_NAME"))</f>
        <v/>
      </c>
    </row>
    <row r="1147" spans="2:4">
      <c r="B1147">
        <f>IF(TRIM(A1147&amp;"")="","",IF(RIGHT(TRIM(A1147),7)=" Equity",TRIM(A1147),TRIM(A1147)&amp;" Equity"))</f>
        <v/>
      </c>
      <c r="C1147">
        <f>IF(OR(SwitchUniverse&lt;&gt;"ON",$B1147=""),"",BDP($B1147,"NAME"))</f>
        <v/>
      </c>
      <c r="D1147">
        <f>IF(OR(SwitchUniverse&lt;&gt;"ON",$B1147=""),"",BDP($B1147,"GICS_SECTOR_NAME"))</f>
        <v/>
      </c>
    </row>
    <row r="1148" spans="2:4">
      <c r="B1148">
        <f>IF(TRIM(A1148&amp;"")="","",IF(RIGHT(TRIM(A1148),7)=" Equity",TRIM(A1148),TRIM(A1148)&amp;" Equity"))</f>
        <v/>
      </c>
      <c r="C1148">
        <f>IF(OR(SwitchUniverse&lt;&gt;"ON",$B1148=""),"",BDP($B1148,"NAME"))</f>
        <v/>
      </c>
      <c r="D1148">
        <f>IF(OR(SwitchUniverse&lt;&gt;"ON",$B1148=""),"",BDP($B1148,"GICS_SECTOR_NAME"))</f>
        <v/>
      </c>
    </row>
    <row r="1149" spans="2:4">
      <c r="B1149">
        <f>IF(TRIM(A1149&amp;"")="","",IF(RIGHT(TRIM(A1149),7)=" Equity",TRIM(A1149),TRIM(A1149)&amp;" Equity"))</f>
        <v/>
      </c>
      <c r="C1149">
        <f>IF(OR(SwitchUniverse&lt;&gt;"ON",$B1149=""),"",BDP($B1149,"NAME"))</f>
        <v/>
      </c>
      <c r="D1149">
        <f>IF(OR(SwitchUniverse&lt;&gt;"ON",$B1149=""),"",BDP($B1149,"GICS_SECTOR_NAME"))</f>
        <v/>
      </c>
    </row>
    <row r="1150" spans="2:4">
      <c r="B1150">
        <f>IF(TRIM(A1150&amp;"")="","",IF(RIGHT(TRIM(A1150),7)=" Equity",TRIM(A1150),TRIM(A1150)&amp;" Equity"))</f>
        <v/>
      </c>
      <c r="C1150">
        <f>IF(OR(SwitchUniverse&lt;&gt;"ON",$B1150=""),"",BDP($B1150,"NAME"))</f>
        <v/>
      </c>
      <c r="D1150">
        <f>IF(OR(SwitchUniverse&lt;&gt;"ON",$B1150=""),"",BDP($B1150,"GICS_SECTOR_NAME"))</f>
        <v/>
      </c>
    </row>
    <row r="1151" spans="2:4">
      <c r="B1151">
        <f>IF(TRIM(A1151&amp;"")="","",IF(RIGHT(TRIM(A1151),7)=" Equity",TRIM(A1151),TRIM(A1151)&amp;" Equity"))</f>
        <v/>
      </c>
      <c r="C1151">
        <f>IF(OR(SwitchUniverse&lt;&gt;"ON",$B1151=""),"",BDP($B1151,"NAME"))</f>
        <v/>
      </c>
      <c r="D1151">
        <f>IF(OR(SwitchUniverse&lt;&gt;"ON",$B1151=""),"",BDP($B1151,"GICS_SECTOR_NAME"))</f>
        <v/>
      </c>
    </row>
    <row r="1152" spans="2:4">
      <c r="B1152">
        <f>IF(TRIM(A1152&amp;"")="","",IF(RIGHT(TRIM(A1152),7)=" Equity",TRIM(A1152),TRIM(A1152)&amp;" Equity"))</f>
        <v/>
      </c>
      <c r="C1152">
        <f>IF(OR(SwitchUniverse&lt;&gt;"ON",$B1152=""),"",BDP($B1152,"NAME"))</f>
        <v/>
      </c>
      <c r="D1152">
        <f>IF(OR(SwitchUniverse&lt;&gt;"ON",$B1152=""),"",BDP($B1152,"GICS_SECTOR_NAME"))</f>
        <v/>
      </c>
    </row>
    <row r="1153" spans="2:4">
      <c r="B1153">
        <f>IF(TRIM(A1153&amp;"")="","",IF(RIGHT(TRIM(A1153),7)=" Equity",TRIM(A1153),TRIM(A1153)&amp;" Equity"))</f>
        <v/>
      </c>
      <c r="C1153">
        <f>IF(OR(SwitchUniverse&lt;&gt;"ON",$B1153=""),"",BDP($B1153,"NAME"))</f>
        <v/>
      </c>
      <c r="D1153">
        <f>IF(OR(SwitchUniverse&lt;&gt;"ON",$B1153=""),"",BDP($B1153,"GICS_SECTOR_NAME"))</f>
        <v/>
      </c>
    </row>
    <row r="1154" spans="2:4">
      <c r="B1154">
        <f>IF(TRIM(A1154&amp;"")="","",IF(RIGHT(TRIM(A1154),7)=" Equity",TRIM(A1154),TRIM(A1154)&amp;" Equity"))</f>
        <v/>
      </c>
      <c r="C1154">
        <f>IF(OR(SwitchUniverse&lt;&gt;"ON",$B1154=""),"",BDP($B1154,"NAME"))</f>
        <v/>
      </c>
      <c r="D1154">
        <f>IF(OR(SwitchUniverse&lt;&gt;"ON",$B1154=""),"",BDP($B1154,"GICS_SECTOR_NAME"))</f>
        <v/>
      </c>
    </row>
    <row r="1155" spans="2:4">
      <c r="B1155">
        <f>IF(TRIM(A1155&amp;"")="","",IF(RIGHT(TRIM(A1155),7)=" Equity",TRIM(A1155),TRIM(A1155)&amp;" Equity"))</f>
        <v/>
      </c>
      <c r="C1155">
        <f>IF(OR(SwitchUniverse&lt;&gt;"ON",$B1155=""),"",BDP($B1155,"NAME"))</f>
        <v/>
      </c>
      <c r="D1155">
        <f>IF(OR(SwitchUniverse&lt;&gt;"ON",$B1155=""),"",BDP($B1155,"GICS_SECTOR_NAME"))</f>
        <v/>
      </c>
    </row>
    <row r="1156" spans="2:4">
      <c r="B1156">
        <f>IF(TRIM(A1156&amp;"")="","",IF(RIGHT(TRIM(A1156),7)=" Equity",TRIM(A1156),TRIM(A1156)&amp;" Equity"))</f>
        <v/>
      </c>
      <c r="C1156">
        <f>IF(OR(SwitchUniverse&lt;&gt;"ON",$B1156=""),"",BDP($B1156,"NAME"))</f>
        <v/>
      </c>
      <c r="D1156">
        <f>IF(OR(SwitchUniverse&lt;&gt;"ON",$B1156=""),"",BDP($B1156,"GICS_SECTOR_NAME"))</f>
        <v/>
      </c>
    </row>
    <row r="1157" spans="2:4">
      <c r="B1157">
        <f>IF(TRIM(A1157&amp;"")="","",IF(RIGHT(TRIM(A1157),7)=" Equity",TRIM(A1157),TRIM(A1157)&amp;" Equity"))</f>
        <v/>
      </c>
      <c r="C1157">
        <f>IF(OR(SwitchUniverse&lt;&gt;"ON",$B1157=""),"",BDP($B1157,"NAME"))</f>
        <v/>
      </c>
      <c r="D1157">
        <f>IF(OR(SwitchUniverse&lt;&gt;"ON",$B1157=""),"",BDP($B1157,"GICS_SECTOR_NAME"))</f>
        <v/>
      </c>
    </row>
    <row r="1158" spans="2:4">
      <c r="B1158">
        <f>IF(TRIM(A1158&amp;"")="","",IF(RIGHT(TRIM(A1158),7)=" Equity",TRIM(A1158),TRIM(A1158)&amp;" Equity"))</f>
        <v/>
      </c>
      <c r="C1158">
        <f>IF(OR(SwitchUniverse&lt;&gt;"ON",$B1158=""),"",BDP($B1158,"NAME"))</f>
        <v/>
      </c>
      <c r="D1158">
        <f>IF(OR(SwitchUniverse&lt;&gt;"ON",$B1158=""),"",BDP($B1158,"GICS_SECTOR_NAME"))</f>
        <v/>
      </c>
    </row>
    <row r="1159" spans="2:4">
      <c r="B1159">
        <f>IF(TRIM(A1159&amp;"")="","",IF(RIGHT(TRIM(A1159),7)=" Equity",TRIM(A1159),TRIM(A1159)&amp;" Equity"))</f>
        <v/>
      </c>
      <c r="C1159">
        <f>IF(OR(SwitchUniverse&lt;&gt;"ON",$B1159=""),"",BDP($B1159,"NAME"))</f>
        <v/>
      </c>
      <c r="D1159">
        <f>IF(OR(SwitchUniverse&lt;&gt;"ON",$B1159=""),"",BDP($B1159,"GICS_SECTOR_NAME"))</f>
        <v/>
      </c>
    </row>
    <row r="1160" spans="2:4">
      <c r="B1160">
        <f>IF(TRIM(A1160&amp;"")="","",IF(RIGHT(TRIM(A1160),7)=" Equity",TRIM(A1160),TRIM(A1160)&amp;" Equity"))</f>
        <v/>
      </c>
      <c r="C1160">
        <f>IF(OR(SwitchUniverse&lt;&gt;"ON",$B1160=""),"",BDP($B1160,"NAME"))</f>
        <v/>
      </c>
      <c r="D1160">
        <f>IF(OR(SwitchUniverse&lt;&gt;"ON",$B1160=""),"",BDP($B1160,"GICS_SECTOR_NAME"))</f>
        <v/>
      </c>
    </row>
    <row r="1161" spans="2:4">
      <c r="B1161">
        <f>IF(TRIM(A1161&amp;"")="","",IF(RIGHT(TRIM(A1161),7)=" Equity",TRIM(A1161),TRIM(A1161)&amp;" Equity"))</f>
        <v/>
      </c>
      <c r="C1161">
        <f>IF(OR(SwitchUniverse&lt;&gt;"ON",$B1161=""),"",BDP($B1161,"NAME"))</f>
        <v/>
      </c>
      <c r="D1161">
        <f>IF(OR(SwitchUniverse&lt;&gt;"ON",$B1161=""),"",BDP($B1161,"GICS_SECTOR_NAME"))</f>
        <v/>
      </c>
    </row>
    <row r="1162" spans="2:4">
      <c r="B1162">
        <f>IF(TRIM(A1162&amp;"")="","",IF(RIGHT(TRIM(A1162),7)=" Equity",TRIM(A1162),TRIM(A1162)&amp;" Equity"))</f>
        <v/>
      </c>
      <c r="C1162">
        <f>IF(OR(SwitchUniverse&lt;&gt;"ON",$B1162=""),"",BDP($B1162,"NAME"))</f>
        <v/>
      </c>
      <c r="D1162">
        <f>IF(OR(SwitchUniverse&lt;&gt;"ON",$B1162=""),"",BDP($B1162,"GICS_SECTOR_NAME"))</f>
        <v/>
      </c>
    </row>
    <row r="1163" spans="2:4">
      <c r="B1163">
        <f>IF(TRIM(A1163&amp;"")="","",IF(RIGHT(TRIM(A1163),7)=" Equity",TRIM(A1163),TRIM(A1163)&amp;" Equity"))</f>
        <v/>
      </c>
      <c r="C1163">
        <f>IF(OR(SwitchUniverse&lt;&gt;"ON",$B1163=""),"",BDP($B1163,"NAME"))</f>
        <v/>
      </c>
      <c r="D1163">
        <f>IF(OR(SwitchUniverse&lt;&gt;"ON",$B1163=""),"",BDP($B1163,"GICS_SECTOR_NAME"))</f>
        <v/>
      </c>
    </row>
    <row r="1164" spans="2:4">
      <c r="B1164">
        <f>IF(TRIM(A1164&amp;"")="","",IF(RIGHT(TRIM(A1164),7)=" Equity",TRIM(A1164),TRIM(A1164)&amp;" Equity"))</f>
        <v/>
      </c>
      <c r="C1164">
        <f>IF(OR(SwitchUniverse&lt;&gt;"ON",$B1164=""),"",BDP($B1164,"NAME"))</f>
        <v/>
      </c>
      <c r="D1164">
        <f>IF(OR(SwitchUniverse&lt;&gt;"ON",$B1164=""),"",BDP($B1164,"GICS_SECTOR_NAME"))</f>
        <v/>
      </c>
    </row>
    <row r="1165" spans="2:4">
      <c r="B1165">
        <f>IF(TRIM(A1165&amp;"")="","",IF(RIGHT(TRIM(A1165),7)=" Equity",TRIM(A1165),TRIM(A1165)&amp;" Equity"))</f>
        <v/>
      </c>
      <c r="C1165">
        <f>IF(OR(SwitchUniverse&lt;&gt;"ON",$B1165=""),"",BDP($B1165,"NAME"))</f>
        <v/>
      </c>
      <c r="D1165">
        <f>IF(OR(SwitchUniverse&lt;&gt;"ON",$B1165=""),"",BDP($B1165,"GICS_SECTOR_NAME"))</f>
        <v/>
      </c>
    </row>
    <row r="1166" spans="2:4">
      <c r="B1166">
        <f>IF(TRIM(A1166&amp;"")="","",IF(RIGHT(TRIM(A1166),7)=" Equity",TRIM(A1166),TRIM(A1166)&amp;" Equity"))</f>
        <v/>
      </c>
      <c r="C1166">
        <f>IF(OR(SwitchUniverse&lt;&gt;"ON",$B1166=""),"",BDP($B1166,"NAME"))</f>
        <v/>
      </c>
      <c r="D1166">
        <f>IF(OR(SwitchUniverse&lt;&gt;"ON",$B1166=""),"",BDP($B1166,"GICS_SECTOR_NAME"))</f>
        <v/>
      </c>
    </row>
    <row r="1167" spans="2:4">
      <c r="B1167">
        <f>IF(TRIM(A1167&amp;"")="","",IF(RIGHT(TRIM(A1167),7)=" Equity",TRIM(A1167),TRIM(A1167)&amp;" Equity"))</f>
        <v/>
      </c>
      <c r="C1167">
        <f>IF(OR(SwitchUniverse&lt;&gt;"ON",$B1167=""),"",BDP($B1167,"NAME"))</f>
        <v/>
      </c>
      <c r="D1167">
        <f>IF(OR(SwitchUniverse&lt;&gt;"ON",$B1167=""),"",BDP($B1167,"GICS_SECTOR_NAME"))</f>
        <v/>
      </c>
    </row>
    <row r="1168" spans="2:4">
      <c r="B1168">
        <f>IF(TRIM(A1168&amp;"")="","",IF(RIGHT(TRIM(A1168),7)=" Equity",TRIM(A1168),TRIM(A1168)&amp;" Equity"))</f>
        <v/>
      </c>
      <c r="C1168">
        <f>IF(OR(SwitchUniverse&lt;&gt;"ON",$B1168=""),"",BDP($B1168,"NAME"))</f>
        <v/>
      </c>
      <c r="D1168">
        <f>IF(OR(SwitchUniverse&lt;&gt;"ON",$B1168=""),"",BDP($B1168,"GICS_SECTOR_NAME"))</f>
        <v/>
      </c>
    </row>
    <row r="1169" spans="2:4">
      <c r="B1169">
        <f>IF(TRIM(A1169&amp;"")="","",IF(RIGHT(TRIM(A1169),7)=" Equity",TRIM(A1169),TRIM(A1169)&amp;" Equity"))</f>
        <v/>
      </c>
      <c r="C1169">
        <f>IF(OR(SwitchUniverse&lt;&gt;"ON",$B1169=""),"",BDP($B1169,"NAME"))</f>
        <v/>
      </c>
      <c r="D1169">
        <f>IF(OR(SwitchUniverse&lt;&gt;"ON",$B1169=""),"",BDP($B1169,"GICS_SECTOR_NAME"))</f>
        <v/>
      </c>
    </row>
    <row r="1170" spans="2:4">
      <c r="B1170">
        <f>IF(TRIM(A1170&amp;"")="","",IF(RIGHT(TRIM(A1170),7)=" Equity",TRIM(A1170),TRIM(A1170)&amp;" Equity"))</f>
        <v/>
      </c>
      <c r="C1170">
        <f>IF(OR(SwitchUniverse&lt;&gt;"ON",$B1170=""),"",BDP($B1170,"NAME"))</f>
        <v/>
      </c>
      <c r="D1170">
        <f>IF(OR(SwitchUniverse&lt;&gt;"ON",$B1170=""),"",BDP($B1170,"GICS_SECTOR_NAME"))</f>
        <v/>
      </c>
    </row>
    <row r="1171" spans="2:4">
      <c r="B1171">
        <f>IF(TRIM(A1171&amp;"")="","",IF(RIGHT(TRIM(A1171),7)=" Equity",TRIM(A1171),TRIM(A1171)&amp;" Equity"))</f>
        <v/>
      </c>
      <c r="C1171">
        <f>IF(OR(SwitchUniverse&lt;&gt;"ON",$B1171=""),"",BDP($B1171,"NAME"))</f>
        <v/>
      </c>
      <c r="D1171">
        <f>IF(OR(SwitchUniverse&lt;&gt;"ON",$B1171=""),"",BDP($B1171,"GICS_SECTOR_NAME"))</f>
        <v/>
      </c>
    </row>
    <row r="1172" spans="2:4">
      <c r="B1172">
        <f>IF(TRIM(A1172&amp;"")="","",IF(RIGHT(TRIM(A1172),7)=" Equity",TRIM(A1172),TRIM(A1172)&amp;" Equity"))</f>
        <v/>
      </c>
      <c r="C1172">
        <f>IF(OR(SwitchUniverse&lt;&gt;"ON",$B1172=""),"",BDP($B1172,"NAME"))</f>
        <v/>
      </c>
      <c r="D1172">
        <f>IF(OR(SwitchUniverse&lt;&gt;"ON",$B1172=""),"",BDP($B1172,"GICS_SECTOR_NAME"))</f>
        <v/>
      </c>
    </row>
    <row r="1173" spans="2:4">
      <c r="B1173">
        <f>IF(TRIM(A1173&amp;"")="","",IF(RIGHT(TRIM(A1173),7)=" Equity",TRIM(A1173),TRIM(A1173)&amp;" Equity"))</f>
        <v/>
      </c>
      <c r="C1173">
        <f>IF(OR(SwitchUniverse&lt;&gt;"ON",$B1173=""),"",BDP($B1173,"NAME"))</f>
        <v/>
      </c>
      <c r="D1173">
        <f>IF(OR(SwitchUniverse&lt;&gt;"ON",$B1173=""),"",BDP($B1173,"GICS_SECTOR_NAME"))</f>
        <v/>
      </c>
    </row>
    <row r="1174" spans="2:4">
      <c r="B1174">
        <f>IF(TRIM(A1174&amp;"")="","",IF(RIGHT(TRIM(A1174),7)=" Equity",TRIM(A1174),TRIM(A1174)&amp;" Equity"))</f>
        <v/>
      </c>
      <c r="C1174">
        <f>IF(OR(SwitchUniverse&lt;&gt;"ON",$B1174=""),"",BDP($B1174,"NAME"))</f>
        <v/>
      </c>
      <c r="D1174">
        <f>IF(OR(SwitchUniverse&lt;&gt;"ON",$B1174=""),"",BDP($B1174,"GICS_SECTOR_NAME"))</f>
        <v/>
      </c>
    </row>
    <row r="1175" spans="2:4">
      <c r="B1175">
        <f>IF(TRIM(A1175&amp;"")="","",IF(RIGHT(TRIM(A1175),7)=" Equity",TRIM(A1175),TRIM(A1175)&amp;" Equity"))</f>
        <v/>
      </c>
      <c r="C1175">
        <f>IF(OR(SwitchUniverse&lt;&gt;"ON",$B1175=""),"",BDP($B1175,"NAME"))</f>
        <v/>
      </c>
      <c r="D1175">
        <f>IF(OR(SwitchUniverse&lt;&gt;"ON",$B1175=""),"",BDP($B1175,"GICS_SECTOR_NAME"))</f>
        <v/>
      </c>
    </row>
    <row r="1176" spans="2:4">
      <c r="B1176">
        <f>IF(TRIM(A1176&amp;"")="","",IF(RIGHT(TRIM(A1176),7)=" Equity",TRIM(A1176),TRIM(A1176)&amp;" Equity"))</f>
        <v/>
      </c>
      <c r="C1176">
        <f>IF(OR(SwitchUniverse&lt;&gt;"ON",$B1176=""),"",BDP($B1176,"NAME"))</f>
        <v/>
      </c>
      <c r="D1176">
        <f>IF(OR(SwitchUniverse&lt;&gt;"ON",$B1176=""),"",BDP($B1176,"GICS_SECTOR_NAME"))</f>
        <v/>
      </c>
    </row>
    <row r="1177" spans="2:4">
      <c r="B1177">
        <f>IF(TRIM(A1177&amp;"")="","",IF(RIGHT(TRIM(A1177),7)=" Equity",TRIM(A1177),TRIM(A1177)&amp;" Equity"))</f>
        <v/>
      </c>
      <c r="C1177">
        <f>IF(OR(SwitchUniverse&lt;&gt;"ON",$B1177=""),"",BDP($B1177,"NAME"))</f>
        <v/>
      </c>
      <c r="D1177">
        <f>IF(OR(SwitchUniverse&lt;&gt;"ON",$B1177=""),"",BDP($B1177,"GICS_SECTOR_NAME"))</f>
        <v/>
      </c>
    </row>
    <row r="1178" spans="2:4">
      <c r="B1178">
        <f>IF(TRIM(A1178&amp;"")="","",IF(RIGHT(TRIM(A1178),7)=" Equity",TRIM(A1178),TRIM(A1178)&amp;" Equity"))</f>
        <v/>
      </c>
      <c r="C1178">
        <f>IF(OR(SwitchUniverse&lt;&gt;"ON",$B1178=""),"",BDP($B1178,"NAME"))</f>
        <v/>
      </c>
      <c r="D1178">
        <f>IF(OR(SwitchUniverse&lt;&gt;"ON",$B1178=""),"",BDP($B1178,"GICS_SECTOR_NAME"))</f>
        <v/>
      </c>
    </row>
    <row r="1179" spans="2:4">
      <c r="B1179">
        <f>IF(TRIM(A1179&amp;"")="","",IF(RIGHT(TRIM(A1179),7)=" Equity",TRIM(A1179),TRIM(A1179)&amp;" Equity"))</f>
        <v/>
      </c>
      <c r="C1179">
        <f>IF(OR(SwitchUniverse&lt;&gt;"ON",$B1179=""),"",BDP($B1179,"NAME"))</f>
        <v/>
      </c>
      <c r="D1179">
        <f>IF(OR(SwitchUniverse&lt;&gt;"ON",$B1179=""),"",BDP($B1179,"GICS_SECTOR_NAME"))</f>
        <v/>
      </c>
    </row>
    <row r="1180" spans="2:4">
      <c r="B1180">
        <f>IF(TRIM(A1180&amp;"")="","",IF(RIGHT(TRIM(A1180),7)=" Equity",TRIM(A1180),TRIM(A1180)&amp;" Equity"))</f>
        <v/>
      </c>
      <c r="C1180">
        <f>IF(OR(SwitchUniverse&lt;&gt;"ON",$B1180=""),"",BDP($B1180,"NAME"))</f>
        <v/>
      </c>
      <c r="D1180">
        <f>IF(OR(SwitchUniverse&lt;&gt;"ON",$B1180=""),"",BDP($B1180,"GICS_SECTOR_NAME"))</f>
        <v/>
      </c>
    </row>
    <row r="1181" spans="2:4">
      <c r="B1181">
        <f>IF(TRIM(A1181&amp;"")="","",IF(RIGHT(TRIM(A1181),7)=" Equity",TRIM(A1181),TRIM(A1181)&amp;" Equity"))</f>
        <v/>
      </c>
      <c r="C1181">
        <f>IF(OR(SwitchUniverse&lt;&gt;"ON",$B1181=""),"",BDP($B1181,"NAME"))</f>
        <v/>
      </c>
      <c r="D1181">
        <f>IF(OR(SwitchUniverse&lt;&gt;"ON",$B1181=""),"",BDP($B1181,"GICS_SECTOR_NAME"))</f>
        <v/>
      </c>
    </row>
    <row r="1182" spans="2:4">
      <c r="B1182">
        <f>IF(TRIM(A1182&amp;"")="","",IF(RIGHT(TRIM(A1182),7)=" Equity",TRIM(A1182),TRIM(A1182)&amp;" Equity"))</f>
        <v/>
      </c>
      <c r="C1182">
        <f>IF(OR(SwitchUniverse&lt;&gt;"ON",$B1182=""),"",BDP($B1182,"NAME"))</f>
        <v/>
      </c>
      <c r="D1182">
        <f>IF(OR(SwitchUniverse&lt;&gt;"ON",$B1182=""),"",BDP($B1182,"GICS_SECTOR_NAME"))</f>
        <v/>
      </c>
    </row>
    <row r="1183" spans="2:4">
      <c r="B1183">
        <f>IF(TRIM(A1183&amp;"")="","",IF(RIGHT(TRIM(A1183),7)=" Equity",TRIM(A1183),TRIM(A1183)&amp;" Equity"))</f>
        <v/>
      </c>
      <c r="C1183">
        <f>IF(OR(SwitchUniverse&lt;&gt;"ON",$B1183=""),"",BDP($B1183,"NAME"))</f>
        <v/>
      </c>
      <c r="D1183">
        <f>IF(OR(SwitchUniverse&lt;&gt;"ON",$B1183=""),"",BDP($B1183,"GICS_SECTOR_NAME"))</f>
        <v/>
      </c>
    </row>
    <row r="1184" spans="2:4">
      <c r="B1184">
        <f>IF(TRIM(A1184&amp;"")="","",IF(RIGHT(TRIM(A1184),7)=" Equity",TRIM(A1184),TRIM(A1184)&amp;" Equity"))</f>
        <v/>
      </c>
      <c r="C1184">
        <f>IF(OR(SwitchUniverse&lt;&gt;"ON",$B1184=""),"",BDP($B1184,"NAME"))</f>
        <v/>
      </c>
      <c r="D1184">
        <f>IF(OR(SwitchUniverse&lt;&gt;"ON",$B1184=""),"",BDP($B1184,"GICS_SECTOR_NAME"))</f>
        <v/>
      </c>
    </row>
    <row r="1185" spans="2:4">
      <c r="B1185">
        <f>IF(TRIM(A1185&amp;"")="","",IF(RIGHT(TRIM(A1185),7)=" Equity",TRIM(A1185),TRIM(A1185)&amp;" Equity"))</f>
        <v/>
      </c>
      <c r="C1185">
        <f>IF(OR(SwitchUniverse&lt;&gt;"ON",$B1185=""),"",BDP($B1185,"NAME"))</f>
        <v/>
      </c>
      <c r="D1185">
        <f>IF(OR(SwitchUniverse&lt;&gt;"ON",$B1185=""),"",BDP($B1185,"GICS_SECTOR_NAME"))</f>
        <v/>
      </c>
    </row>
    <row r="1186" spans="2:4">
      <c r="B1186">
        <f>IF(TRIM(A1186&amp;"")="","",IF(RIGHT(TRIM(A1186),7)=" Equity",TRIM(A1186),TRIM(A1186)&amp;" Equity"))</f>
        <v/>
      </c>
      <c r="C1186">
        <f>IF(OR(SwitchUniverse&lt;&gt;"ON",$B1186=""),"",BDP($B1186,"NAME"))</f>
        <v/>
      </c>
      <c r="D1186">
        <f>IF(OR(SwitchUniverse&lt;&gt;"ON",$B1186=""),"",BDP($B1186,"GICS_SECTOR_NAME"))</f>
        <v/>
      </c>
    </row>
    <row r="1187" spans="2:4">
      <c r="B1187">
        <f>IF(TRIM(A1187&amp;"")="","",IF(RIGHT(TRIM(A1187),7)=" Equity",TRIM(A1187),TRIM(A1187)&amp;" Equity"))</f>
        <v/>
      </c>
      <c r="C1187">
        <f>IF(OR(SwitchUniverse&lt;&gt;"ON",$B1187=""),"",BDP($B1187,"NAME"))</f>
        <v/>
      </c>
      <c r="D1187">
        <f>IF(OR(SwitchUniverse&lt;&gt;"ON",$B1187=""),"",BDP($B1187,"GICS_SECTOR_NAME"))</f>
        <v/>
      </c>
    </row>
    <row r="1188" spans="2:4">
      <c r="B1188">
        <f>IF(TRIM(A1188&amp;"")="","",IF(RIGHT(TRIM(A1188),7)=" Equity",TRIM(A1188),TRIM(A1188)&amp;" Equity"))</f>
        <v/>
      </c>
      <c r="C1188">
        <f>IF(OR(SwitchUniverse&lt;&gt;"ON",$B1188=""),"",BDP($B1188,"NAME"))</f>
        <v/>
      </c>
      <c r="D1188">
        <f>IF(OR(SwitchUniverse&lt;&gt;"ON",$B1188=""),"",BDP($B1188,"GICS_SECTOR_NAME"))</f>
        <v/>
      </c>
    </row>
    <row r="1189" spans="2:4">
      <c r="B1189">
        <f>IF(TRIM(A1189&amp;"")="","",IF(RIGHT(TRIM(A1189),7)=" Equity",TRIM(A1189),TRIM(A1189)&amp;" Equity"))</f>
        <v/>
      </c>
      <c r="C1189">
        <f>IF(OR(SwitchUniverse&lt;&gt;"ON",$B1189=""),"",BDP($B1189,"NAME"))</f>
        <v/>
      </c>
      <c r="D1189">
        <f>IF(OR(SwitchUniverse&lt;&gt;"ON",$B1189=""),"",BDP($B1189,"GICS_SECTOR_NAME"))</f>
        <v/>
      </c>
    </row>
    <row r="1190" spans="2:4">
      <c r="B1190">
        <f>IF(TRIM(A1190&amp;"")="","",IF(RIGHT(TRIM(A1190),7)=" Equity",TRIM(A1190),TRIM(A1190)&amp;" Equity"))</f>
        <v/>
      </c>
      <c r="C1190">
        <f>IF(OR(SwitchUniverse&lt;&gt;"ON",$B1190=""),"",BDP($B1190,"NAME"))</f>
        <v/>
      </c>
      <c r="D1190">
        <f>IF(OR(SwitchUniverse&lt;&gt;"ON",$B1190=""),"",BDP($B1190,"GICS_SECTOR_NAME"))</f>
        <v/>
      </c>
    </row>
    <row r="1191" spans="2:4">
      <c r="B1191">
        <f>IF(TRIM(A1191&amp;"")="","",IF(RIGHT(TRIM(A1191),7)=" Equity",TRIM(A1191),TRIM(A1191)&amp;" Equity"))</f>
        <v/>
      </c>
      <c r="C1191">
        <f>IF(OR(SwitchUniverse&lt;&gt;"ON",$B1191=""),"",BDP($B1191,"NAME"))</f>
        <v/>
      </c>
      <c r="D1191">
        <f>IF(OR(SwitchUniverse&lt;&gt;"ON",$B1191=""),"",BDP($B1191,"GICS_SECTOR_NAME"))</f>
        <v/>
      </c>
    </row>
    <row r="1192" spans="2:4">
      <c r="B1192">
        <f>IF(TRIM(A1192&amp;"")="","",IF(RIGHT(TRIM(A1192),7)=" Equity",TRIM(A1192),TRIM(A1192)&amp;" Equity"))</f>
        <v/>
      </c>
      <c r="C1192">
        <f>IF(OR(SwitchUniverse&lt;&gt;"ON",$B1192=""),"",BDP($B1192,"NAME"))</f>
        <v/>
      </c>
      <c r="D1192">
        <f>IF(OR(SwitchUniverse&lt;&gt;"ON",$B1192=""),"",BDP($B1192,"GICS_SECTOR_NAME"))</f>
        <v/>
      </c>
    </row>
    <row r="1193" spans="2:4">
      <c r="B1193">
        <f>IF(TRIM(A1193&amp;"")="","",IF(RIGHT(TRIM(A1193),7)=" Equity",TRIM(A1193),TRIM(A1193)&amp;" Equity"))</f>
        <v/>
      </c>
      <c r="C1193">
        <f>IF(OR(SwitchUniverse&lt;&gt;"ON",$B1193=""),"",BDP($B1193,"NAME"))</f>
        <v/>
      </c>
      <c r="D1193">
        <f>IF(OR(SwitchUniverse&lt;&gt;"ON",$B1193=""),"",BDP($B1193,"GICS_SECTOR_NAME"))</f>
        <v/>
      </c>
    </row>
    <row r="1194" spans="2:4">
      <c r="B1194">
        <f>IF(TRIM(A1194&amp;"")="","",IF(RIGHT(TRIM(A1194),7)=" Equity",TRIM(A1194),TRIM(A1194)&amp;" Equity"))</f>
        <v/>
      </c>
      <c r="C1194">
        <f>IF(OR(SwitchUniverse&lt;&gt;"ON",$B1194=""),"",BDP($B1194,"NAME"))</f>
        <v/>
      </c>
      <c r="D1194">
        <f>IF(OR(SwitchUniverse&lt;&gt;"ON",$B1194=""),"",BDP($B1194,"GICS_SECTOR_NAME"))</f>
        <v/>
      </c>
    </row>
    <row r="1195" spans="2:4">
      <c r="B1195">
        <f>IF(TRIM(A1195&amp;"")="","",IF(RIGHT(TRIM(A1195),7)=" Equity",TRIM(A1195),TRIM(A1195)&amp;" Equity"))</f>
        <v/>
      </c>
      <c r="C1195">
        <f>IF(OR(SwitchUniverse&lt;&gt;"ON",$B1195=""),"",BDP($B1195,"NAME"))</f>
        <v/>
      </c>
      <c r="D1195">
        <f>IF(OR(SwitchUniverse&lt;&gt;"ON",$B1195=""),"",BDP($B1195,"GICS_SECTOR_NAME"))</f>
        <v/>
      </c>
    </row>
    <row r="1196" spans="2:4">
      <c r="B1196">
        <f>IF(TRIM(A1196&amp;"")="","",IF(RIGHT(TRIM(A1196),7)=" Equity",TRIM(A1196),TRIM(A1196)&amp;" Equity"))</f>
        <v/>
      </c>
      <c r="C1196">
        <f>IF(OR(SwitchUniverse&lt;&gt;"ON",$B1196=""),"",BDP($B1196,"NAME"))</f>
        <v/>
      </c>
      <c r="D1196">
        <f>IF(OR(SwitchUniverse&lt;&gt;"ON",$B1196=""),"",BDP($B1196,"GICS_SECTOR_NAME"))</f>
        <v/>
      </c>
    </row>
    <row r="1197" spans="2:4">
      <c r="B1197">
        <f>IF(TRIM(A1197&amp;"")="","",IF(RIGHT(TRIM(A1197),7)=" Equity",TRIM(A1197),TRIM(A1197)&amp;" Equity"))</f>
        <v/>
      </c>
      <c r="C1197">
        <f>IF(OR(SwitchUniverse&lt;&gt;"ON",$B1197=""),"",BDP($B1197,"NAME"))</f>
        <v/>
      </c>
      <c r="D1197">
        <f>IF(OR(SwitchUniverse&lt;&gt;"ON",$B1197=""),"",BDP($B1197,"GICS_SECTOR_NAME"))</f>
        <v/>
      </c>
    </row>
    <row r="1198" spans="2:4">
      <c r="B1198">
        <f>IF(TRIM(A1198&amp;"")="","",IF(RIGHT(TRIM(A1198),7)=" Equity",TRIM(A1198),TRIM(A1198)&amp;" Equity"))</f>
        <v/>
      </c>
      <c r="C1198">
        <f>IF(OR(SwitchUniverse&lt;&gt;"ON",$B1198=""),"",BDP($B1198,"NAME"))</f>
        <v/>
      </c>
      <c r="D1198">
        <f>IF(OR(SwitchUniverse&lt;&gt;"ON",$B1198=""),"",BDP($B1198,"GICS_SECTOR_NAME"))</f>
        <v/>
      </c>
    </row>
    <row r="1199" spans="2:4">
      <c r="B1199">
        <f>IF(TRIM(A1199&amp;"")="","",IF(RIGHT(TRIM(A1199),7)=" Equity",TRIM(A1199),TRIM(A1199)&amp;" Equity"))</f>
        <v/>
      </c>
      <c r="C1199">
        <f>IF(OR(SwitchUniverse&lt;&gt;"ON",$B1199=""),"",BDP($B1199,"NAME"))</f>
        <v/>
      </c>
      <c r="D1199">
        <f>IF(OR(SwitchUniverse&lt;&gt;"ON",$B1199=""),"",BDP($B1199,"GICS_SECTOR_NAME"))</f>
        <v/>
      </c>
    </row>
    <row r="1200" spans="2:4">
      <c r="B1200">
        <f>IF(TRIM(A1200&amp;"")="","",IF(RIGHT(TRIM(A1200),7)=" Equity",TRIM(A1200),TRIM(A1200)&amp;" Equity"))</f>
        <v/>
      </c>
      <c r="C1200">
        <f>IF(OR(SwitchUniverse&lt;&gt;"ON",$B1200=""),"",BDP($B1200,"NAME"))</f>
        <v/>
      </c>
      <c r="D1200">
        <f>IF(OR(SwitchUniverse&lt;&gt;"ON",$B1200=""),"",BDP($B1200,"GICS_SECTOR_NAME"))</f>
        <v/>
      </c>
    </row>
    <row r="1201" spans="2:4">
      <c r="B1201">
        <f>IF(TRIM(A1201&amp;"")="","",IF(RIGHT(TRIM(A1201),7)=" Equity",TRIM(A1201),TRIM(A1201)&amp;" Equity"))</f>
        <v/>
      </c>
      <c r="C1201">
        <f>IF(OR(SwitchUniverse&lt;&gt;"ON",$B1201=""),"",BDP($B1201,"NAME"))</f>
        <v/>
      </c>
      <c r="D1201">
        <f>IF(OR(SwitchUniverse&lt;&gt;"ON",$B1201=""),"",BDP($B1201,"GICS_SECTOR_NAME"))</f>
        <v/>
      </c>
    </row>
    <row r="1202" spans="2:4">
      <c r="B1202">
        <f>IF(TRIM(A1202&amp;"")="","",IF(RIGHT(TRIM(A1202),7)=" Equity",TRIM(A1202),TRIM(A1202)&amp;" Equity"))</f>
        <v/>
      </c>
      <c r="C1202">
        <f>IF(OR(SwitchUniverse&lt;&gt;"ON",$B1202=""),"",BDP($B1202,"NAME"))</f>
        <v/>
      </c>
      <c r="D1202">
        <f>IF(OR(SwitchUniverse&lt;&gt;"ON",$B1202=""),"",BDP($B1202,"GICS_SECTOR_NAME"))</f>
        <v/>
      </c>
    </row>
    <row r="1203" spans="2:4">
      <c r="B1203">
        <f>IF(TRIM(A1203&amp;"")="","",IF(RIGHT(TRIM(A1203),7)=" Equity",TRIM(A1203),TRIM(A1203)&amp;" Equity"))</f>
        <v/>
      </c>
      <c r="C1203">
        <f>IF(OR(SwitchUniverse&lt;&gt;"ON",$B1203=""),"",BDP($B1203,"NAME"))</f>
        <v/>
      </c>
      <c r="D1203">
        <f>IF(OR(SwitchUniverse&lt;&gt;"ON",$B1203=""),"",BDP($B1203,"GICS_SECTOR_NAME"))</f>
        <v/>
      </c>
    </row>
    <row r="1204" spans="2:4">
      <c r="B1204">
        <f>IF(TRIM(A1204&amp;"")="","",IF(RIGHT(TRIM(A1204),7)=" Equity",TRIM(A1204),TRIM(A1204)&amp;" Equity"))</f>
        <v/>
      </c>
      <c r="C1204">
        <f>IF(OR(SwitchUniverse&lt;&gt;"ON",$B1204=""),"",BDP($B1204,"NAME"))</f>
        <v/>
      </c>
      <c r="D1204">
        <f>IF(OR(SwitchUniverse&lt;&gt;"ON",$B1204=""),"",BDP($B1204,"GICS_SECTOR_NAME"))</f>
        <v/>
      </c>
    </row>
    <row r="1205" spans="2:4">
      <c r="B1205">
        <f>IF(TRIM(A1205&amp;"")="","",IF(RIGHT(TRIM(A1205),7)=" Equity",TRIM(A1205),TRIM(A1205)&amp;" Equity"))</f>
        <v/>
      </c>
      <c r="C1205">
        <f>IF(OR(SwitchUniverse&lt;&gt;"ON",$B1205=""),"",BDP($B1205,"NAME"))</f>
        <v/>
      </c>
      <c r="D1205">
        <f>IF(OR(SwitchUniverse&lt;&gt;"ON",$B1205=""),"",BDP($B1205,"GICS_SECTOR_NAME"))</f>
        <v/>
      </c>
    </row>
    <row r="1206" spans="2:4">
      <c r="B1206">
        <f>IF(TRIM(A1206&amp;"")="","",IF(RIGHT(TRIM(A1206),7)=" Equity",TRIM(A1206),TRIM(A1206)&amp;" Equity"))</f>
        <v/>
      </c>
      <c r="C1206">
        <f>IF(OR(SwitchUniverse&lt;&gt;"ON",$B1206=""),"",BDP($B1206,"NAME"))</f>
        <v/>
      </c>
      <c r="D1206">
        <f>IF(OR(SwitchUniverse&lt;&gt;"ON",$B1206=""),"",BDP($B1206,"GICS_SECTOR_NAME"))</f>
        <v/>
      </c>
    </row>
    <row r="1207" spans="2:4">
      <c r="B1207">
        <f>IF(TRIM(A1207&amp;"")="","",IF(RIGHT(TRIM(A1207),7)=" Equity",TRIM(A1207),TRIM(A1207)&amp;" Equity"))</f>
        <v/>
      </c>
      <c r="C1207">
        <f>IF(OR(SwitchUniverse&lt;&gt;"ON",$B1207=""),"",BDP($B1207,"NAME"))</f>
        <v/>
      </c>
      <c r="D1207">
        <f>IF(OR(SwitchUniverse&lt;&gt;"ON",$B1207=""),"",BDP($B1207,"GICS_SECTOR_NAME"))</f>
        <v/>
      </c>
    </row>
    <row r="1208" spans="2:4">
      <c r="B1208">
        <f>IF(TRIM(A1208&amp;"")="","",IF(RIGHT(TRIM(A1208),7)=" Equity",TRIM(A1208),TRIM(A1208)&amp;" Equity"))</f>
        <v/>
      </c>
      <c r="C1208">
        <f>IF(OR(SwitchUniverse&lt;&gt;"ON",$B1208=""),"",BDP($B1208,"NAME"))</f>
        <v/>
      </c>
      <c r="D1208">
        <f>IF(OR(SwitchUniverse&lt;&gt;"ON",$B1208=""),"",BDP($B1208,"GICS_SECTOR_NAME"))</f>
        <v/>
      </c>
    </row>
    <row r="1209" spans="2:4">
      <c r="B1209">
        <f>IF(TRIM(A1209&amp;"")="","",IF(RIGHT(TRIM(A1209),7)=" Equity",TRIM(A1209),TRIM(A1209)&amp;" Equity"))</f>
        <v/>
      </c>
      <c r="C1209">
        <f>IF(OR(SwitchUniverse&lt;&gt;"ON",$B1209=""),"",BDP($B1209,"NAME"))</f>
        <v/>
      </c>
      <c r="D1209">
        <f>IF(OR(SwitchUniverse&lt;&gt;"ON",$B1209=""),"",BDP($B1209,"GICS_SECTOR_NAME"))</f>
        <v/>
      </c>
    </row>
    <row r="1210" spans="2:4">
      <c r="B1210">
        <f>IF(TRIM(A1210&amp;"")="","",IF(RIGHT(TRIM(A1210),7)=" Equity",TRIM(A1210),TRIM(A1210)&amp;" Equity"))</f>
        <v/>
      </c>
      <c r="C1210">
        <f>IF(OR(SwitchUniverse&lt;&gt;"ON",$B1210=""),"",BDP($B1210,"NAME"))</f>
        <v/>
      </c>
      <c r="D1210">
        <f>IF(OR(SwitchUniverse&lt;&gt;"ON",$B1210=""),"",BDP($B1210,"GICS_SECTOR_NAME"))</f>
        <v/>
      </c>
    </row>
    <row r="1211" spans="2:4">
      <c r="B1211">
        <f>IF(TRIM(A1211&amp;"")="","",IF(RIGHT(TRIM(A1211),7)=" Equity",TRIM(A1211),TRIM(A1211)&amp;" Equity"))</f>
        <v/>
      </c>
      <c r="C1211">
        <f>IF(OR(SwitchUniverse&lt;&gt;"ON",$B1211=""),"",BDP($B1211,"NAME"))</f>
        <v/>
      </c>
      <c r="D1211">
        <f>IF(OR(SwitchUniverse&lt;&gt;"ON",$B1211=""),"",BDP($B1211,"GICS_SECTOR_NAME"))</f>
        <v/>
      </c>
    </row>
    <row r="1212" spans="2:4">
      <c r="B1212">
        <f>IF(TRIM(A1212&amp;"")="","",IF(RIGHT(TRIM(A1212),7)=" Equity",TRIM(A1212),TRIM(A1212)&amp;" Equity"))</f>
        <v/>
      </c>
      <c r="C1212">
        <f>IF(OR(SwitchUniverse&lt;&gt;"ON",$B1212=""),"",BDP($B1212,"NAME"))</f>
        <v/>
      </c>
      <c r="D1212">
        <f>IF(OR(SwitchUniverse&lt;&gt;"ON",$B1212=""),"",BDP($B1212,"GICS_SECTOR_NAME"))</f>
        <v/>
      </c>
    </row>
    <row r="1213" spans="2:4">
      <c r="B1213">
        <f>IF(TRIM(A1213&amp;"")="","",IF(RIGHT(TRIM(A1213),7)=" Equity",TRIM(A1213),TRIM(A1213)&amp;" Equity"))</f>
        <v/>
      </c>
      <c r="C1213">
        <f>IF(OR(SwitchUniverse&lt;&gt;"ON",$B1213=""),"",BDP($B1213,"NAME"))</f>
        <v/>
      </c>
      <c r="D1213">
        <f>IF(OR(SwitchUniverse&lt;&gt;"ON",$B1213=""),"",BDP($B1213,"GICS_SECTOR_NAME"))</f>
        <v/>
      </c>
    </row>
    <row r="1214" spans="2:4">
      <c r="B1214">
        <f>IF(TRIM(A1214&amp;"")="","",IF(RIGHT(TRIM(A1214),7)=" Equity",TRIM(A1214),TRIM(A1214)&amp;" Equity"))</f>
        <v/>
      </c>
      <c r="C1214">
        <f>IF(OR(SwitchUniverse&lt;&gt;"ON",$B1214=""),"",BDP($B1214,"NAME"))</f>
        <v/>
      </c>
      <c r="D1214">
        <f>IF(OR(SwitchUniverse&lt;&gt;"ON",$B1214=""),"",BDP($B1214,"GICS_SECTOR_NAME"))</f>
        <v/>
      </c>
    </row>
    <row r="1215" spans="2:4">
      <c r="B1215">
        <f>IF(TRIM(A1215&amp;"")="","",IF(RIGHT(TRIM(A1215),7)=" Equity",TRIM(A1215),TRIM(A1215)&amp;" Equity"))</f>
        <v/>
      </c>
      <c r="C1215">
        <f>IF(OR(SwitchUniverse&lt;&gt;"ON",$B1215=""),"",BDP($B1215,"NAME"))</f>
        <v/>
      </c>
      <c r="D1215">
        <f>IF(OR(SwitchUniverse&lt;&gt;"ON",$B1215=""),"",BDP($B1215,"GICS_SECTOR_NAME"))</f>
        <v/>
      </c>
    </row>
    <row r="1216" spans="2:4">
      <c r="B1216">
        <f>IF(TRIM(A1216&amp;"")="","",IF(RIGHT(TRIM(A1216),7)=" Equity",TRIM(A1216),TRIM(A1216)&amp;" Equity"))</f>
        <v/>
      </c>
      <c r="C1216">
        <f>IF(OR(SwitchUniverse&lt;&gt;"ON",$B1216=""),"",BDP($B1216,"NAME"))</f>
        <v/>
      </c>
      <c r="D1216">
        <f>IF(OR(SwitchUniverse&lt;&gt;"ON",$B1216=""),"",BDP($B1216,"GICS_SECTOR_NAME"))</f>
        <v/>
      </c>
    </row>
    <row r="1217" spans="2:4">
      <c r="B1217">
        <f>IF(TRIM(A1217&amp;"")="","",IF(RIGHT(TRIM(A1217),7)=" Equity",TRIM(A1217),TRIM(A1217)&amp;" Equity"))</f>
        <v/>
      </c>
      <c r="C1217">
        <f>IF(OR(SwitchUniverse&lt;&gt;"ON",$B1217=""),"",BDP($B1217,"NAME"))</f>
        <v/>
      </c>
      <c r="D1217">
        <f>IF(OR(SwitchUniverse&lt;&gt;"ON",$B1217=""),"",BDP($B1217,"GICS_SECTOR_NAME"))</f>
        <v/>
      </c>
    </row>
    <row r="1218" spans="2:4">
      <c r="B1218">
        <f>IF(TRIM(A1218&amp;"")="","",IF(RIGHT(TRIM(A1218),7)=" Equity",TRIM(A1218),TRIM(A1218)&amp;" Equity"))</f>
        <v/>
      </c>
      <c r="C1218">
        <f>IF(OR(SwitchUniverse&lt;&gt;"ON",$B1218=""),"",BDP($B1218,"NAME"))</f>
        <v/>
      </c>
      <c r="D1218">
        <f>IF(OR(SwitchUniverse&lt;&gt;"ON",$B1218=""),"",BDP($B1218,"GICS_SECTOR_NAME"))</f>
        <v/>
      </c>
    </row>
    <row r="1219" spans="2:4">
      <c r="B1219">
        <f>IF(TRIM(A1219&amp;"")="","",IF(RIGHT(TRIM(A1219),7)=" Equity",TRIM(A1219),TRIM(A1219)&amp;" Equity"))</f>
        <v/>
      </c>
      <c r="C1219">
        <f>IF(OR(SwitchUniverse&lt;&gt;"ON",$B1219=""),"",BDP($B1219,"NAME"))</f>
        <v/>
      </c>
      <c r="D1219">
        <f>IF(OR(SwitchUniverse&lt;&gt;"ON",$B1219=""),"",BDP($B1219,"GICS_SECTOR_NAME"))</f>
        <v/>
      </c>
    </row>
    <row r="1220" spans="2:4">
      <c r="B1220">
        <f>IF(TRIM(A1220&amp;"")="","",IF(RIGHT(TRIM(A1220),7)=" Equity",TRIM(A1220),TRIM(A1220)&amp;" Equity"))</f>
        <v/>
      </c>
      <c r="C1220">
        <f>IF(OR(SwitchUniverse&lt;&gt;"ON",$B1220=""),"",BDP($B1220,"NAME"))</f>
        <v/>
      </c>
      <c r="D1220">
        <f>IF(OR(SwitchUniverse&lt;&gt;"ON",$B1220=""),"",BDP($B1220,"GICS_SECTOR_NAME"))</f>
        <v/>
      </c>
    </row>
    <row r="1221" spans="2:4">
      <c r="B1221">
        <f>IF(TRIM(A1221&amp;"")="","",IF(RIGHT(TRIM(A1221),7)=" Equity",TRIM(A1221),TRIM(A1221)&amp;" Equity"))</f>
        <v/>
      </c>
      <c r="C1221">
        <f>IF(OR(SwitchUniverse&lt;&gt;"ON",$B1221=""),"",BDP($B1221,"NAME"))</f>
        <v/>
      </c>
      <c r="D1221">
        <f>IF(OR(SwitchUniverse&lt;&gt;"ON",$B1221=""),"",BDP($B1221,"GICS_SECTOR_NAME"))</f>
        <v/>
      </c>
    </row>
    <row r="1222" spans="2:4">
      <c r="B1222">
        <f>IF(TRIM(A1222&amp;"")="","",IF(RIGHT(TRIM(A1222),7)=" Equity",TRIM(A1222),TRIM(A1222)&amp;" Equity"))</f>
        <v/>
      </c>
      <c r="C1222">
        <f>IF(OR(SwitchUniverse&lt;&gt;"ON",$B1222=""),"",BDP($B1222,"NAME"))</f>
        <v/>
      </c>
      <c r="D1222">
        <f>IF(OR(SwitchUniverse&lt;&gt;"ON",$B1222=""),"",BDP($B1222,"GICS_SECTOR_NAME"))</f>
        <v/>
      </c>
    </row>
    <row r="1223" spans="2:4">
      <c r="B1223">
        <f>IF(TRIM(A1223&amp;"")="","",IF(RIGHT(TRIM(A1223),7)=" Equity",TRIM(A1223),TRIM(A1223)&amp;" Equity"))</f>
        <v/>
      </c>
      <c r="C1223">
        <f>IF(OR(SwitchUniverse&lt;&gt;"ON",$B1223=""),"",BDP($B1223,"NAME"))</f>
        <v/>
      </c>
      <c r="D1223">
        <f>IF(OR(SwitchUniverse&lt;&gt;"ON",$B1223=""),"",BDP($B1223,"GICS_SECTOR_NAME"))</f>
        <v/>
      </c>
    </row>
    <row r="1224" spans="2:4">
      <c r="B1224">
        <f>IF(TRIM(A1224&amp;"")="","",IF(RIGHT(TRIM(A1224),7)=" Equity",TRIM(A1224),TRIM(A1224)&amp;" Equity"))</f>
        <v/>
      </c>
      <c r="C1224">
        <f>IF(OR(SwitchUniverse&lt;&gt;"ON",$B1224=""),"",BDP($B1224,"NAME"))</f>
        <v/>
      </c>
      <c r="D1224">
        <f>IF(OR(SwitchUniverse&lt;&gt;"ON",$B1224=""),"",BDP($B1224,"GICS_SECTOR_NAME"))</f>
        <v/>
      </c>
    </row>
    <row r="1225" spans="2:4">
      <c r="B1225">
        <f>IF(TRIM(A1225&amp;"")="","",IF(RIGHT(TRIM(A1225),7)=" Equity",TRIM(A1225),TRIM(A1225)&amp;" Equity"))</f>
        <v/>
      </c>
      <c r="C1225">
        <f>IF(OR(SwitchUniverse&lt;&gt;"ON",$B1225=""),"",BDP($B1225,"NAME"))</f>
        <v/>
      </c>
      <c r="D1225">
        <f>IF(OR(SwitchUniverse&lt;&gt;"ON",$B1225=""),"",BDP($B1225,"GICS_SECTOR_NAME"))</f>
        <v/>
      </c>
    </row>
    <row r="1226" spans="2:4">
      <c r="B1226">
        <f>IF(TRIM(A1226&amp;"")="","",IF(RIGHT(TRIM(A1226),7)=" Equity",TRIM(A1226),TRIM(A1226)&amp;" Equity"))</f>
        <v/>
      </c>
      <c r="C1226">
        <f>IF(OR(SwitchUniverse&lt;&gt;"ON",$B1226=""),"",BDP($B1226,"NAME"))</f>
        <v/>
      </c>
      <c r="D1226">
        <f>IF(OR(SwitchUniverse&lt;&gt;"ON",$B1226=""),"",BDP($B1226,"GICS_SECTOR_NAME"))</f>
        <v/>
      </c>
    </row>
    <row r="1227" spans="2:4">
      <c r="B1227">
        <f>IF(TRIM(A1227&amp;"")="","",IF(RIGHT(TRIM(A1227),7)=" Equity",TRIM(A1227),TRIM(A1227)&amp;" Equity"))</f>
        <v/>
      </c>
      <c r="C1227">
        <f>IF(OR(SwitchUniverse&lt;&gt;"ON",$B1227=""),"",BDP($B1227,"NAME"))</f>
        <v/>
      </c>
      <c r="D1227">
        <f>IF(OR(SwitchUniverse&lt;&gt;"ON",$B1227=""),"",BDP($B1227,"GICS_SECTOR_NAME"))</f>
        <v/>
      </c>
    </row>
    <row r="1228" spans="2:4">
      <c r="B1228">
        <f>IF(TRIM(A1228&amp;"")="","",IF(RIGHT(TRIM(A1228),7)=" Equity",TRIM(A1228),TRIM(A1228)&amp;" Equity"))</f>
        <v/>
      </c>
      <c r="C1228">
        <f>IF(OR(SwitchUniverse&lt;&gt;"ON",$B1228=""),"",BDP($B1228,"NAME"))</f>
        <v/>
      </c>
      <c r="D1228">
        <f>IF(OR(SwitchUniverse&lt;&gt;"ON",$B1228=""),"",BDP($B1228,"GICS_SECTOR_NAME"))</f>
        <v/>
      </c>
    </row>
    <row r="1229" spans="2:4">
      <c r="B1229">
        <f>IF(TRIM(A1229&amp;"")="","",IF(RIGHT(TRIM(A1229),7)=" Equity",TRIM(A1229),TRIM(A1229)&amp;" Equity"))</f>
        <v/>
      </c>
      <c r="C1229">
        <f>IF(OR(SwitchUniverse&lt;&gt;"ON",$B1229=""),"",BDP($B1229,"NAME"))</f>
        <v/>
      </c>
      <c r="D1229">
        <f>IF(OR(SwitchUniverse&lt;&gt;"ON",$B1229=""),"",BDP($B1229,"GICS_SECTOR_NAME"))</f>
        <v/>
      </c>
    </row>
    <row r="1230" spans="2:4">
      <c r="B1230">
        <f>IF(TRIM(A1230&amp;"")="","",IF(RIGHT(TRIM(A1230),7)=" Equity",TRIM(A1230),TRIM(A1230)&amp;" Equity"))</f>
        <v/>
      </c>
      <c r="C1230">
        <f>IF(OR(SwitchUniverse&lt;&gt;"ON",$B1230=""),"",BDP($B1230,"NAME"))</f>
        <v/>
      </c>
      <c r="D1230">
        <f>IF(OR(SwitchUniverse&lt;&gt;"ON",$B1230=""),"",BDP($B1230,"GICS_SECTOR_NAME"))</f>
        <v/>
      </c>
    </row>
    <row r="1231" spans="2:4">
      <c r="B1231">
        <f>IF(TRIM(A1231&amp;"")="","",IF(RIGHT(TRIM(A1231),7)=" Equity",TRIM(A1231),TRIM(A1231)&amp;" Equity"))</f>
        <v/>
      </c>
      <c r="C1231">
        <f>IF(OR(SwitchUniverse&lt;&gt;"ON",$B1231=""),"",BDP($B1231,"NAME"))</f>
        <v/>
      </c>
      <c r="D1231">
        <f>IF(OR(SwitchUniverse&lt;&gt;"ON",$B1231=""),"",BDP($B1231,"GICS_SECTOR_NAME"))</f>
        <v/>
      </c>
    </row>
    <row r="1232" spans="2:4">
      <c r="B1232">
        <f>IF(TRIM(A1232&amp;"")="","",IF(RIGHT(TRIM(A1232),7)=" Equity",TRIM(A1232),TRIM(A1232)&amp;" Equity"))</f>
        <v/>
      </c>
      <c r="C1232">
        <f>IF(OR(SwitchUniverse&lt;&gt;"ON",$B1232=""),"",BDP($B1232,"NAME"))</f>
        <v/>
      </c>
      <c r="D1232">
        <f>IF(OR(SwitchUniverse&lt;&gt;"ON",$B1232=""),"",BDP($B1232,"GICS_SECTOR_NAME"))</f>
        <v/>
      </c>
    </row>
    <row r="1233" spans="2:4">
      <c r="B1233">
        <f>IF(TRIM(A1233&amp;"")="","",IF(RIGHT(TRIM(A1233),7)=" Equity",TRIM(A1233),TRIM(A1233)&amp;" Equity"))</f>
        <v/>
      </c>
      <c r="C1233">
        <f>IF(OR(SwitchUniverse&lt;&gt;"ON",$B1233=""),"",BDP($B1233,"NAME"))</f>
        <v/>
      </c>
      <c r="D1233">
        <f>IF(OR(SwitchUniverse&lt;&gt;"ON",$B1233=""),"",BDP($B1233,"GICS_SECTOR_NAME"))</f>
        <v/>
      </c>
    </row>
    <row r="1234" spans="2:4">
      <c r="B1234">
        <f>IF(TRIM(A1234&amp;"")="","",IF(RIGHT(TRIM(A1234),7)=" Equity",TRIM(A1234),TRIM(A1234)&amp;" Equity"))</f>
        <v/>
      </c>
      <c r="C1234">
        <f>IF(OR(SwitchUniverse&lt;&gt;"ON",$B1234=""),"",BDP($B1234,"NAME"))</f>
        <v/>
      </c>
      <c r="D1234">
        <f>IF(OR(SwitchUniverse&lt;&gt;"ON",$B1234=""),"",BDP($B1234,"GICS_SECTOR_NAME"))</f>
        <v/>
      </c>
    </row>
    <row r="1235" spans="2:4">
      <c r="B1235">
        <f>IF(TRIM(A1235&amp;"")="","",IF(RIGHT(TRIM(A1235),7)=" Equity",TRIM(A1235),TRIM(A1235)&amp;" Equity"))</f>
        <v/>
      </c>
      <c r="C1235">
        <f>IF(OR(SwitchUniverse&lt;&gt;"ON",$B1235=""),"",BDP($B1235,"NAME"))</f>
        <v/>
      </c>
      <c r="D1235">
        <f>IF(OR(SwitchUniverse&lt;&gt;"ON",$B1235=""),"",BDP($B1235,"GICS_SECTOR_NAME"))</f>
        <v/>
      </c>
    </row>
    <row r="1236" spans="2:4">
      <c r="B1236">
        <f>IF(TRIM(A1236&amp;"")="","",IF(RIGHT(TRIM(A1236),7)=" Equity",TRIM(A1236),TRIM(A1236)&amp;" Equity"))</f>
        <v/>
      </c>
      <c r="C1236">
        <f>IF(OR(SwitchUniverse&lt;&gt;"ON",$B1236=""),"",BDP($B1236,"NAME"))</f>
        <v/>
      </c>
      <c r="D1236">
        <f>IF(OR(SwitchUniverse&lt;&gt;"ON",$B1236=""),"",BDP($B1236,"GICS_SECTOR_NAME"))</f>
        <v/>
      </c>
    </row>
    <row r="1237" spans="2:4">
      <c r="B1237">
        <f>IF(TRIM(A1237&amp;"")="","",IF(RIGHT(TRIM(A1237),7)=" Equity",TRIM(A1237),TRIM(A1237)&amp;" Equity"))</f>
        <v/>
      </c>
      <c r="C1237">
        <f>IF(OR(SwitchUniverse&lt;&gt;"ON",$B1237=""),"",BDP($B1237,"NAME"))</f>
        <v/>
      </c>
      <c r="D1237">
        <f>IF(OR(SwitchUniverse&lt;&gt;"ON",$B1237=""),"",BDP($B1237,"GICS_SECTOR_NAME"))</f>
        <v/>
      </c>
    </row>
    <row r="1238" spans="2:4">
      <c r="B1238">
        <f>IF(TRIM(A1238&amp;"")="","",IF(RIGHT(TRIM(A1238),7)=" Equity",TRIM(A1238),TRIM(A1238)&amp;" Equity"))</f>
        <v/>
      </c>
      <c r="C1238">
        <f>IF(OR(SwitchUniverse&lt;&gt;"ON",$B1238=""),"",BDP($B1238,"NAME"))</f>
        <v/>
      </c>
      <c r="D1238">
        <f>IF(OR(SwitchUniverse&lt;&gt;"ON",$B1238=""),"",BDP($B1238,"GICS_SECTOR_NAME"))</f>
        <v/>
      </c>
    </row>
    <row r="1239" spans="2:4">
      <c r="B1239">
        <f>IF(TRIM(A1239&amp;"")="","",IF(RIGHT(TRIM(A1239),7)=" Equity",TRIM(A1239),TRIM(A1239)&amp;" Equity"))</f>
        <v/>
      </c>
      <c r="C1239">
        <f>IF(OR(SwitchUniverse&lt;&gt;"ON",$B1239=""),"",BDP($B1239,"NAME"))</f>
        <v/>
      </c>
      <c r="D1239">
        <f>IF(OR(SwitchUniverse&lt;&gt;"ON",$B1239=""),"",BDP($B1239,"GICS_SECTOR_NAME"))</f>
        <v/>
      </c>
    </row>
    <row r="1240" spans="2:4">
      <c r="B1240">
        <f>IF(TRIM(A1240&amp;"")="","",IF(RIGHT(TRIM(A1240),7)=" Equity",TRIM(A1240),TRIM(A1240)&amp;" Equity"))</f>
        <v/>
      </c>
      <c r="C1240">
        <f>IF(OR(SwitchUniverse&lt;&gt;"ON",$B1240=""),"",BDP($B1240,"NAME"))</f>
        <v/>
      </c>
      <c r="D1240">
        <f>IF(OR(SwitchUniverse&lt;&gt;"ON",$B1240=""),"",BDP($B1240,"GICS_SECTOR_NAME"))</f>
        <v/>
      </c>
    </row>
    <row r="1241" spans="2:4">
      <c r="B1241">
        <f>IF(TRIM(A1241&amp;"")="","",IF(RIGHT(TRIM(A1241),7)=" Equity",TRIM(A1241),TRIM(A1241)&amp;" Equity"))</f>
        <v/>
      </c>
      <c r="C1241">
        <f>IF(OR(SwitchUniverse&lt;&gt;"ON",$B1241=""),"",BDP($B1241,"NAME"))</f>
        <v/>
      </c>
      <c r="D1241">
        <f>IF(OR(SwitchUniverse&lt;&gt;"ON",$B1241=""),"",BDP($B1241,"GICS_SECTOR_NAME"))</f>
        <v/>
      </c>
    </row>
    <row r="1242" spans="2:4">
      <c r="B1242">
        <f>IF(TRIM(A1242&amp;"")="","",IF(RIGHT(TRIM(A1242),7)=" Equity",TRIM(A1242),TRIM(A1242)&amp;" Equity"))</f>
        <v/>
      </c>
      <c r="C1242">
        <f>IF(OR(SwitchUniverse&lt;&gt;"ON",$B1242=""),"",BDP($B1242,"NAME"))</f>
        <v/>
      </c>
      <c r="D1242">
        <f>IF(OR(SwitchUniverse&lt;&gt;"ON",$B1242=""),"",BDP($B1242,"GICS_SECTOR_NAME"))</f>
        <v/>
      </c>
    </row>
    <row r="1243" spans="2:4">
      <c r="B1243">
        <f>IF(TRIM(A1243&amp;"")="","",IF(RIGHT(TRIM(A1243),7)=" Equity",TRIM(A1243),TRIM(A1243)&amp;" Equity"))</f>
        <v/>
      </c>
      <c r="C1243">
        <f>IF(OR(SwitchUniverse&lt;&gt;"ON",$B1243=""),"",BDP($B1243,"NAME"))</f>
        <v/>
      </c>
      <c r="D1243">
        <f>IF(OR(SwitchUniverse&lt;&gt;"ON",$B1243=""),"",BDP($B1243,"GICS_SECTOR_NAME"))</f>
        <v/>
      </c>
    </row>
    <row r="1244" spans="2:4">
      <c r="B1244">
        <f>IF(TRIM(A1244&amp;"")="","",IF(RIGHT(TRIM(A1244),7)=" Equity",TRIM(A1244),TRIM(A1244)&amp;" Equity"))</f>
        <v/>
      </c>
      <c r="C1244">
        <f>IF(OR(SwitchUniverse&lt;&gt;"ON",$B1244=""),"",BDP($B1244,"NAME"))</f>
        <v/>
      </c>
      <c r="D1244">
        <f>IF(OR(SwitchUniverse&lt;&gt;"ON",$B1244=""),"",BDP($B1244,"GICS_SECTOR_NAME"))</f>
        <v/>
      </c>
    </row>
    <row r="1245" spans="2:4">
      <c r="B1245">
        <f>IF(TRIM(A1245&amp;"")="","",IF(RIGHT(TRIM(A1245),7)=" Equity",TRIM(A1245),TRIM(A1245)&amp;" Equity"))</f>
        <v/>
      </c>
      <c r="C1245">
        <f>IF(OR(SwitchUniverse&lt;&gt;"ON",$B1245=""),"",BDP($B1245,"NAME"))</f>
        <v/>
      </c>
      <c r="D1245">
        <f>IF(OR(SwitchUniverse&lt;&gt;"ON",$B1245=""),"",BDP($B1245,"GICS_SECTOR_NAME"))</f>
        <v/>
      </c>
    </row>
    <row r="1246" spans="2:4">
      <c r="B1246">
        <f>IF(TRIM(A1246&amp;"")="","",IF(RIGHT(TRIM(A1246),7)=" Equity",TRIM(A1246),TRIM(A1246)&amp;" Equity"))</f>
        <v/>
      </c>
      <c r="C1246">
        <f>IF(OR(SwitchUniverse&lt;&gt;"ON",$B1246=""),"",BDP($B1246,"NAME"))</f>
        <v/>
      </c>
      <c r="D1246">
        <f>IF(OR(SwitchUniverse&lt;&gt;"ON",$B1246=""),"",BDP($B1246,"GICS_SECTOR_NAME"))</f>
        <v/>
      </c>
    </row>
    <row r="1247" spans="2:4">
      <c r="B1247">
        <f>IF(TRIM(A1247&amp;"")="","",IF(RIGHT(TRIM(A1247),7)=" Equity",TRIM(A1247),TRIM(A1247)&amp;" Equity"))</f>
        <v/>
      </c>
      <c r="C1247">
        <f>IF(OR(SwitchUniverse&lt;&gt;"ON",$B1247=""),"",BDP($B1247,"NAME"))</f>
        <v/>
      </c>
      <c r="D1247">
        <f>IF(OR(SwitchUniverse&lt;&gt;"ON",$B1247=""),"",BDP($B1247,"GICS_SECTOR_NAME"))</f>
        <v/>
      </c>
    </row>
    <row r="1248" spans="2:4">
      <c r="B1248">
        <f>IF(TRIM(A1248&amp;"")="","",IF(RIGHT(TRIM(A1248),7)=" Equity",TRIM(A1248),TRIM(A1248)&amp;" Equity"))</f>
        <v/>
      </c>
      <c r="C1248">
        <f>IF(OR(SwitchUniverse&lt;&gt;"ON",$B1248=""),"",BDP($B1248,"NAME"))</f>
        <v/>
      </c>
      <c r="D1248">
        <f>IF(OR(SwitchUniverse&lt;&gt;"ON",$B1248=""),"",BDP($B1248,"GICS_SECTOR_NAME"))</f>
        <v/>
      </c>
    </row>
    <row r="1249" spans="2:4">
      <c r="B1249">
        <f>IF(TRIM(A1249&amp;"")="","",IF(RIGHT(TRIM(A1249),7)=" Equity",TRIM(A1249),TRIM(A1249)&amp;" Equity"))</f>
        <v/>
      </c>
      <c r="C1249">
        <f>IF(OR(SwitchUniverse&lt;&gt;"ON",$B1249=""),"",BDP($B1249,"NAME"))</f>
        <v/>
      </c>
      <c r="D1249">
        <f>IF(OR(SwitchUniverse&lt;&gt;"ON",$B1249=""),"",BDP($B1249,"GICS_SECTOR_NAME"))</f>
        <v/>
      </c>
    </row>
    <row r="1250" spans="2:4">
      <c r="B1250">
        <f>IF(TRIM(A1250&amp;"")="","",IF(RIGHT(TRIM(A1250),7)=" Equity",TRIM(A1250),TRIM(A1250)&amp;" Equity"))</f>
        <v/>
      </c>
      <c r="C1250">
        <f>IF(OR(SwitchUniverse&lt;&gt;"ON",$B1250=""),"",BDP($B1250,"NAME"))</f>
        <v/>
      </c>
      <c r="D1250">
        <f>IF(OR(SwitchUniverse&lt;&gt;"ON",$B1250=""),"",BDP($B1250,"GICS_SECTOR_NAME"))</f>
        <v/>
      </c>
    </row>
    <row r="1251" spans="2:4">
      <c r="B1251">
        <f>IF(TRIM(A1251&amp;"")="","",IF(RIGHT(TRIM(A1251),7)=" Equity",TRIM(A1251),TRIM(A1251)&amp;" Equity"))</f>
        <v/>
      </c>
      <c r="C1251">
        <f>IF(OR(SwitchUniverse&lt;&gt;"ON",$B1251=""),"",BDP($B1251,"NAME"))</f>
        <v/>
      </c>
      <c r="D1251">
        <f>IF(OR(SwitchUniverse&lt;&gt;"ON",$B1251=""),"",BDP($B1251,"GICS_SECTOR_NAME"))</f>
        <v/>
      </c>
    </row>
    <row r="1252" spans="2:4">
      <c r="B1252">
        <f>IF(TRIM(A1252&amp;"")="","",IF(RIGHT(TRIM(A1252),7)=" Equity",TRIM(A1252),TRIM(A1252)&amp;" Equity"))</f>
        <v/>
      </c>
      <c r="C1252">
        <f>IF(OR(SwitchUniverse&lt;&gt;"ON",$B1252=""),"",BDP($B1252,"NAME"))</f>
        <v/>
      </c>
      <c r="D1252">
        <f>IF(OR(SwitchUniverse&lt;&gt;"ON",$B1252=""),"",BDP($B1252,"GICS_SECTOR_NAME"))</f>
        <v/>
      </c>
    </row>
    <row r="1253" spans="2:4">
      <c r="B1253">
        <f>IF(TRIM(A1253&amp;"")="","",IF(RIGHT(TRIM(A1253),7)=" Equity",TRIM(A1253),TRIM(A1253)&amp;" Equity"))</f>
        <v/>
      </c>
      <c r="C1253">
        <f>IF(OR(SwitchUniverse&lt;&gt;"ON",$B1253=""),"",BDP($B1253,"NAME"))</f>
        <v/>
      </c>
      <c r="D1253">
        <f>IF(OR(SwitchUniverse&lt;&gt;"ON",$B1253=""),"",BDP($B1253,"GICS_SECTOR_NAME"))</f>
        <v/>
      </c>
    </row>
    <row r="1254" spans="2:4">
      <c r="B1254">
        <f>IF(TRIM(A1254&amp;"")="","",IF(RIGHT(TRIM(A1254),7)=" Equity",TRIM(A1254),TRIM(A1254)&amp;" Equity"))</f>
        <v/>
      </c>
      <c r="C1254">
        <f>IF(OR(SwitchUniverse&lt;&gt;"ON",$B1254=""),"",BDP($B1254,"NAME"))</f>
        <v/>
      </c>
      <c r="D1254">
        <f>IF(OR(SwitchUniverse&lt;&gt;"ON",$B1254=""),"",BDP($B1254,"GICS_SECTOR_NAME"))</f>
        <v/>
      </c>
    </row>
    <row r="1255" spans="2:4">
      <c r="B1255">
        <f>IF(TRIM(A1255&amp;"")="","",IF(RIGHT(TRIM(A1255),7)=" Equity",TRIM(A1255),TRIM(A1255)&amp;" Equity"))</f>
        <v/>
      </c>
      <c r="C1255">
        <f>IF(OR(SwitchUniverse&lt;&gt;"ON",$B1255=""),"",BDP($B1255,"NAME"))</f>
        <v/>
      </c>
      <c r="D1255">
        <f>IF(OR(SwitchUniverse&lt;&gt;"ON",$B1255=""),"",BDP($B1255,"GICS_SECTOR_NAME"))</f>
        <v/>
      </c>
    </row>
    <row r="1256" spans="2:4">
      <c r="B1256">
        <f>IF(TRIM(A1256&amp;"")="","",IF(RIGHT(TRIM(A1256),7)=" Equity",TRIM(A1256),TRIM(A1256)&amp;" Equity"))</f>
        <v/>
      </c>
      <c r="C1256">
        <f>IF(OR(SwitchUniverse&lt;&gt;"ON",$B1256=""),"",BDP($B1256,"NAME"))</f>
        <v/>
      </c>
      <c r="D1256">
        <f>IF(OR(SwitchUniverse&lt;&gt;"ON",$B1256=""),"",BDP($B1256,"GICS_SECTOR_NAME"))</f>
        <v/>
      </c>
    </row>
    <row r="1257" spans="2:4">
      <c r="B1257">
        <f>IF(TRIM(A1257&amp;"")="","",IF(RIGHT(TRIM(A1257),7)=" Equity",TRIM(A1257),TRIM(A1257)&amp;" Equity"))</f>
        <v/>
      </c>
      <c r="C1257">
        <f>IF(OR(SwitchUniverse&lt;&gt;"ON",$B1257=""),"",BDP($B1257,"NAME"))</f>
        <v/>
      </c>
      <c r="D1257">
        <f>IF(OR(SwitchUniverse&lt;&gt;"ON",$B1257=""),"",BDP($B1257,"GICS_SECTOR_NAME"))</f>
        <v/>
      </c>
    </row>
    <row r="1258" spans="2:4">
      <c r="B1258">
        <f>IF(TRIM(A1258&amp;"")="","",IF(RIGHT(TRIM(A1258),7)=" Equity",TRIM(A1258),TRIM(A1258)&amp;" Equity"))</f>
        <v/>
      </c>
      <c r="C1258">
        <f>IF(OR(SwitchUniverse&lt;&gt;"ON",$B1258=""),"",BDP($B1258,"NAME"))</f>
        <v/>
      </c>
      <c r="D1258">
        <f>IF(OR(SwitchUniverse&lt;&gt;"ON",$B1258=""),"",BDP($B1258,"GICS_SECTOR_NAME"))</f>
        <v/>
      </c>
    </row>
    <row r="1259" spans="2:4">
      <c r="B1259">
        <f>IF(TRIM(A1259&amp;"")="","",IF(RIGHT(TRIM(A1259),7)=" Equity",TRIM(A1259),TRIM(A1259)&amp;" Equity"))</f>
        <v/>
      </c>
      <c r="C1259">
        <f>IF(OR(SwitchUniverse&lt;&gt;"ON",$B1259=""),"",BDP($B1259,"NAME"))</f>
        <v/>
      </c>
      <c r="D1259">
        <f>IF(OR(SwitchUniverse&lt;&gt;"ON",$B1259=""),"",BDP($B1259,"GICS_SECTOR_NAME"))</f>
        <v/>
      </c>
    </row>
    <row r="1260" spans="2:4">
      <c r="B1260">
        <f>IF(TRIM(A1260&amp;"")="","",IF(RIGHT(TRIM(A1260),7)=" Equity",TRIM(A1260),TRIM(A1260)&amp;" Equity"))</f>
        <v/>
      </c>
      <c r="C1260">
        <f>IF(OR(SwitchUniverse&lt;&gt;"ON",$B1260=""),"",BDP($B1260,"NAME"))</f>
        <v/>
      </c>
      <c r="D1260">
        <f>IF(OR(SwitchUniverse&lt;&gt;"ON",$B1260=""),"",BDP($B1260,"GICS_SECTOR_NAME"))</f>
        <v/>
      </c>
    </row>
    <row r="1261" spans="2:4">
      <c r="B1261">
        <f>IF(TRIM(A1261&amp;"")="","",IF(RIGHT(TRIM(A1261),7)=" Equity",TRIM(A1261),TRIM(A1261)&amp;" Equity"))</f>
        <v/>
      </c>
      <c r="C1261">
        <f>IF(OR(SwitchUniverse&lt;&gt;"ON",$B1261=""),"",BDP($B1261,"NAME"))</f>
        <v/>
      </c>
      <c r="D1261">
        <f>IF(OR(SwitchUniverse&lt;&gt;"ON",$B1261=""),"",BDP($B1261,"GICS_SECTOR_NAME"))</f>
        <v/>
      </c>
    </row>
    <row r="1262" spans="2:4">
      <c r="B1262">
        <f>IF(TRIM(A1262&amp;"")="","",IF(RIGHT(TRIM(A1262),7)=" Equity",TRIM(A1262),TRIM(A1262)&amp;" Equity"))</f>
        <v/>
      </c>
      <c r="C1262">
        <f>IF(OR(SwitchUniverse&lt;&gt;"ON",$B1262=""),"",BDP($B1262,"NAME"))</f>
        <v/>
      </c>
      <c r="D1262">
        <f>IF(OR(SwitchUniverse&lt;&gt;"ON",$B1262=""),"",BDP($B1262,"GICS_SECTOR_NAME"))</f>
        <v/>
      </c>
    </row>
    <row r="1263" spans="2:4">
      <c r="B1263">
        <f>IF(TRIM(A1263&amp;"")="","",IF(RIGHT(TRIM(A1263),7)=" Equity",TRIM(A1263),TRIM(A1263)&amp;" Equity"))</f>
        <v/>
      </c>
      <c r="C1263">
        <f>IF(OR(SwitchUniverse&lt;&gt;"ON",$B1263=""),"",BDP($B1263,"NAME"))</f>
        <v/>
      </c>
      <c r="D1263">
        <f>IF(OR(SwitchUniverse&lt;&gt;"ON",$B1263=""),"",BDP($B1263,"GICS_SECTOR_NAME"))</f>
        <v/>
      </c>
    </row>
    <row r="1264" spans="2:4">
      <c r="B1264">
        <f>IF(TRIM(A1264&amp;"")="","",IF(RIGHT(TRIM(A1264),7)=" Equity",TRIM(A1264),TRIM(A1264)&amp;" Equity"))</f>
        <v/>
      </c>
      <c r="C1264">
        <f>IF(OR(SwitchUniverse&lt;&gt;"ON",$B1264=""),"",BDP($B1264,"NAME"))</f>
        <v/>
      </c>
      <c r="D1264">
        <f>IF(OR(SwitchUniverse&lt;&gt;"ON",$B1264=""),"",BDP($B1264,"GICS_SECTOR_NAME"))</f>
        <v/>
      </c>
    </row>
    <row r="1265" spans="2:4">
      <c r="B1265">
        <f>IF(TRIM(A1265&amp;"")="","",IF(RIGHT(TRIM(A1265),7)=" Equity",TRIM(A1265),TRIM(A1265)&amp;" Equity"))</f>
        <v/>
      </c>
      <c r="C1265">
        <f>IF(OR(SwitchUniverse&lt;&gt;"ON",$B1265=""),"",BDP($B1265,"NAME"))</f>
        <v/>
      </c>
      <c r="D1265">
        <f>IF(OR(SwitchUniverse&lt;&gt;"ON",$B1265=""),"",BDP($B1265,"GICS_SECTOR_NAME"))</f>
        <v/>
      </c>
    </row>
    <row r="1266" spans="2:4">
      <c r="B1266">
        <f>IF(TRIM(A1266&amp;"")="","",IF(RIGHT(TRIM(A1266),7)=" Equity",TRIM(A1266),TRIM(A1266)&amp;" Equity"))</f>
        <v/>
      </c>
      <c r="C1266">
        <f>IF(OR(SwitchUniverse&lt;&gt;"ON",$B1266=""),"",BDP($B1266,"NAME"))</f>
        <v/>
      </c>
      <c r="D1266">
        <f>IF(OR(SwitchUniverse&lt;&gt;"ON",$B1266=""),"",BDP($B1266,"GICS_SECTOR_NAME"))</f>
        <v/>
      </c>
    </row>
    <row r="1267" spans="2:4">
      <c r="B1267">
        <f>IF(TRIM(A1267&amp;"")="","",IF(RIGHT(TRIM(A1267),7)=" Equity",TRIM(A1267),TRIM(A1267)&amp;" Equity"))</f>
        <v/>
      </c>
      <c r="C1267">
        <f>IF(OR(SwitchUniverse&lt;&gt;"ON",$B1267=""),"",BDP($B1267,"NAME"))</f>
        <v/>
      </c>
      <c r="D1267">
        <f>IF(OR(SwitchUniverse&lt;&gt;"ON",$B1267=""),"",BDP($B1267,"GICS_SECTOR_NAME"))</f>
        <v/>
      </c>
    </row>
    <row r="1268" spans="2:4">
      <c r="B1268">
        <f>IF(TRIM(A1268&amp;"")="","",IF(RIGHT(TRIM(A1268),7)=" Equity",TRIM(A1268),TRIM(A1268)&amp;" Equity"))</f>
        <v/>
      </c>
      <c r="C1268">
        <f>IF(OR(SwitchUniverse&lt;&gt;"ON",$B1268=""),"",BDP($B1268,"NAME"))</f>
        <v/>
      </c>
      <c r="D1268">
        <f>IF(OR(SwitchUniverse&lt;&gt;"ON",$B1268=""),"",BDP($B1268,"GICS_SECTOR_NAME"))</f>
        <v/>
      </c>
    </row>
    <row r="1269" spans="2:4">
      <c r="B1269">
        <f>IF(TRIM(A1269&amp;"")="","",IF(RIGHT(TRIM(A1269),7)=" Equity",TRIM(A1269),TRIM(A1269)&amp;" Equity"))</f>
        <v/>
      </c>
      <c r="C1269">
        <f>IF(OR(SwitchUniverse&lt;&gt;"ON",$B1269=""),"",BDP($B1269,"NAME"))</f>
        <v/>
      </c>
      <c r="D1269">
        <f>IF(OR(SwitchUniverse&lt;&gt;"ON",$B1269=""),"",BDP($B1269,"GICS_SECTOR_NAME"))</f>
        <v/>
      </c>
    </row>
    <row r="1270" spans="2:4">
      <c r="B1270">
        <f>IF(TRIM(A1270&amp;"")="","",IF(RIGHT(TRIM(A1270),7)=" Equity",TRIM(A1270),TRIM(A1270)&amp;" Equity"))</f>
        <v/>
      </c>
      <c r="C1270">
        <f>IF(OR(SwitchUniverse&lt;&gt;"ON",$B1270=""),"",BDP($B1270,"NAME"))</f>
        <v/>
      </c>
      <c r="D1270">
        <f>IF(OR(SwitchUniverse&lt;&gt;"ON",$B1270=""),"",BDP($B1270,"GICS_SECTOR_NAME"))</f>
        <v/>
      </c>
    </row>
    <row r="1271" spans="2:4">
      <c r="B1271">
        <f>IF(TRIM(A1271&amp;"")="","",IF(RIGHT(TRIM(A1271),7)=" Equity",TRIM(A1271),TRIM(A1271)&amp;" Equity"))</f>
        <v/>
      </c>
      <c r="C1271">
        <f>IF(OR(SwitchUniverse&lt;&gt;"ON",$B1271=""),"",BDP($B1271,"NAME"))</f>
        <v/>
      </c>
      <c r="D1271">
        <f>IF(OR(SwitchUniverse&lt;&gt;"ON",$B1271=""),"",BDP($B1271,"GICS_SECTOR_NAME"))</f>
        <v/>
      </c>
    </row>
    <row r="1272" spans="2:4">
      <c r="B1272">
        <f>IF(TRIM(A1272&amp;"")="","",IF(RIGHT(TRIM(A1272),7)=" Equity",TRIM(A1272),TRIM(A1272)&amp;" Equity"))</f>
        <v/>
      </c>
      <c r="C1272">
        <f>IF(OR(SwitchUniverse&lt;&gt;"ON",$B1272=""),"",BDP($B1272,"NAME"))</f>
        <v/>
      </c>
      <c r="D1272">
        <f>IF(OR(SwitchUniverse&lt;&gt;"ON",$B1272=""),"",BDP($B1272,"GICS_SECTOR_NAME"))</f>
        <v/>
      </c>
    </row>
    <row r="1273" spans="2:4">
      <c r="B1273">
        <f>IF(TRIM(A1273&amp;"")="","",IF(RIGHT(TRIM(A1273),7)=" Equity",TRIM(A1273),TRIM(A1273)&amp;" Equity"))</f>
        <v/>
      </c>
      <c r="C1273">
        <f>IF(OR(SwitchUniverse&lt;&gt;"ON",$B1273=""),"",BDP($B1273,"NAME"))</f>
        <v/>
      </c>
      <c r="D1273">
        <f>IF(OR(SwitchUniverse&lt;&gt;"ON",$B1273=""),"",BDP($B1273,"GICS_SECTOR_NAME"))</f>
        <v/>
      </c>
    </row>
    <row r="1274" spans="2:4">
      <c r="B1274">
        <f>IF(TRIM(A1274&amp;"")="","",IF(RIGHT(TRIM(A1274),7)=" Equity",TRIM(A1274),TRIM(A1274)&amp;" Equity"))</f>
        <v/>
      </c>
      <c r="C1274">
        <f>IF(OR(SwitchUniverse&lt;&gt;"ON",$B1274=""),"",BDP($B1274,"NAME"))</f>
        <v/>
      </c>
      <c r="D1274">
        <f>IF(OR(SwitchUniverse&lt;&gt;"ON",$B1274=""),"",BDP($B1274,"GICS_SECTOR_NAME"))</f>
        <v/>
      </c>
    </row>
    <row r="1275" spans="2:4">
      <c r="B1275">
        <f>IF(TRIM(A1275&amp;"")="","",IF(RIGHT(TRIM(A1275),7)=" Equity",TRIM(A1275),TRIM(A1275)&amp;" Equity"))</f>
        <v/>
      </c>
      <c r="C1275">
        <f>IF(OR(SwitchUniverse&lt;&gt;"ON",$B1275=""),"",BDP($B1275,"NAME"))</f>
        <v/>
      </c>
      <c r="D1275">
        <f>IF(OR(SwitchUniverse&lt;&gt;"ON",$B1275=""),"",BDP($B1275,"GICS_SECTOR_NAME"))</f>
        <v/>
      </c>
    </row>
    <row r="1276" spans="2:4">
      <c r="B1276">
        <f>IF(TRIM(A1276&amp;"")="","",IF(RIGHT(TRIM(A1276),7)=" Equity",TRIM(A1276),TRIM(A1276)&amp;" Equity"))</f>
        <v/>
      </c>
      <c r="C1276">
        <f>IF(OR(SwitchUniverse&lt;&gt;"ON",$B1276=""),"",BDP($B1276,"NAME"))</f>
        <v/>
      </c>
      <c r="D1276">
        <f>IF(OR(SwitchUniverse&lt;&gt;"ON",$B1276=""),"",BDP($B1276,"GICS_SECTOR_NAME"))</f>
        <v/>
      </c>
    </row>
    <row r="1277" spans="2:4">
      <c r="B1277">
        <f>IF(TRIM(A1277&amp;"")="","",IF(RIGHT(TRIM(A1277),7)=" Equity",TRIM(A1277),TRIM(A1277)&amp;" Equity"))</f>
        <v/>
      </c>
      <c r="C1277">
        <f>IF(OR(SwitchUniverse&lt;&gt;"ON",$B1277=""),"",BDP($B1277,"NAME"))</f>
        <v/>
      </c>
      <c r="D1277">
        <f>IF(OR(SwitchUniverse&lt;&gt;"ON",$B1277=""),"",BDP($B1277,"GICS_SECTOR_NAME"))</f>
        <v/>
      </c>
    </row>
    <row r="1278" spans="2:4">
      <c r="B1278">
        <f>IF(TRIM(A1278&amp;"")="","",IF(RIGHT(TRIM(A1278),7)=" Equity",TRIM(A1278),TRIM(A1278)&amp;" Equity"))</f>
        <v/>
      </c>
      <c r="C1278">
        <f>IF(OR(SwitchUniverse&lt;&gt;"ON",$B1278=""),"",BDP($B1278,"NAME"))</f>
        <v/>
      </c>
      <c r="D1278">
        <f>IF(OR(SwitchUniverse&lt;&gt;"ON",$B1278=""),"",BDP($B1278,"GICS_SECTOR_NAME"))</f>
        <v/>
      </c>
    </row>
    <row r="1279" spans="2:4">
      <c r="B1279">
        <f>IF(TRIM(A1279&amp;"")="","",IF(RIGHT(TRIM(A1279),7)=" Equity",TRIM(A1279),TRIM(A1279)&amp;" Equity"))</f>
        <v/>
      </c>
      <c r="C1279">
        <f>IF(OR(SwitchUniverse&lt;&gt;"ON",$B1279=""),"",BDP($B1279,"NAME"))</f>
        <v/>
      </c>
      <c r="D1279">
        <f>IF(OR(SwitchUniverse&lt;&gt;"ON",$B1279=""),"",BDP($B1279,"GICS_SECTOR_NAME"))</f>
        <v/>
      </c>
    </row>
    <row r="1280" spans="2:4">
      <c r="B1280">
        <f>IF(TRIM(A1280&amp;"")="","",IF(RIGHT(TRIM(A1280),7)=" Equity",TRIM(A1280),TRIM(A1280)&amp;" Equity"))</f>
        <v/>
      </c>
      <c r="C1280">
        <f>IF(OR(SwitchUniverse&lt;&gt;"ON",$B1280=""),"",BDP($B1280,"NAME"))</f>
        <v/>
      </c>
      <c r="D1280">
        <f>IF(OR(SwitchUniverse&lt;&gt;"ON",$B1280=""),"",BDP($B1280,"GICS_SECTOR_NAME"))</f>
        <v/>
      </c>
    </row>
    <row r="1281" spans="2:4">
      <c r="B1281">
        <f>IF(TRIM(A1281&amp;"")="","",IF(RIGHT(TRIM(A1281),7)=" Equity",TRIM(A1281),TRIM(A1281)&amp;" Equity"))</f>
        <v/>
      </c>
      <c r="C1281">
        <f>IF(OR(SwitchUniverse&lt;&gt;"ON",$B1281=""),"",BDP($B1281,"NAME"))</f>
        <v/>
      </c>
      <c r="D1281">
        <f>IF(OR(SwitchUniverse&lt;&gt;"ON",$B1281=""),"",BDP($B1281,"GICS_SECTOR_NAME"))</f>
        <v/>
      </c>
    </row>
    <row r="1282" spans="2:4">
      <c r="B1282">
        <f>IF(TRIM(A1282&amp;"")="","",IF(RIGHT(TRIM(A1282),7)=" Equity",TRIM(A1282),TRIM(A1282)&amp;" Equity"))</f>
        <v/>
      </c>
      <c r="C1282">
        <f>IF(OR(SwitchUniverse&lt;&gt;"ON",$B1282=""),"",BDP($B1282,"NAME"))</f>
        <v/>
      </c>
      <c r="D1282">
        <f>IF(OR(SwitchUniverse&lt;&gt;"ON",$B1282=""),"",BDP($B1282,"GICS_SECTOR_NAME"))</f>
        <v/>
      </c>
    </row>
    <row r="1283" spans="2:4">
      <c r="B1283">
        <f>IF(TRIM(A1283&amp;"")="","",IF(RIGHT(TRIM(A1283),7)=" Equity",TRIM(A1283),TRIM(A1283)&amp;" Equity"))</f>
        <v/>
      </c>
      <c r="C1283">
        <f>IF(OR(SwitchUniverse&lt;&gt;"ON",$B1283=""),"",BDP($B1283,"NAME"))</f>
        <v/>
      </c>
      <c r="D1283">
        <f>IF(OR(SwitchUniverse&lt;&gt;"ON",$B1283=""),"",BDP($B1283,"GICS_SECTOR_NAME"))</f>
        <v/>
      </c>
    </row>
    <row r="1284" spans="2:4">
      <c r="B1284">
        <f>IF(TRIM(A1284&amp;"")="","",IF(RIGHT(TRIM(A1284),7)=" Equity",TRIM(A1284),TRIM(A1284)&amp;" Equity"))</f>
        <v/>
      </c>
      <c r="C1284">
        <f>IF(OR(SwitchUniverse&lt;&gt;"ON",$B1284=""),"",BDP($B1284,"NAME"))</f>
        <v/>
      </c>
      <c r="D1284">
        <f>IF(OR(SwitchUniverse&lt;&gt;"ON",$B1284=""),"",BDP($B1284,"GICS_SECTOR_NAME"))</f>
        <v/>
      </c>
    </row>
    <row r="1285" spans="2:4">
      <c r="B1285">
        <f>IF(TRIM(A1285&amp;"")="","",IF(RIGHT(TRIM(A1285),7)=" Equity",TRIM(A1285),TRIM(A1285)&amp;" Equity"))</f>
        <v/>
      </c>
      <c r="C1285">
        <f>IF(OR(SwitchUniverse&lt;&gt;"ON",$B1285=""),"",BDP($B1285,"NAME"))</f>
        <v/>
      </c>
      <c r="D1285">
        <f>IF(OR(SwitchUniverse&lt;&gt;"ON",$B1285=""),"",BDP($B1285,"GICS_SECTOR_NAME"))</f>
        <v/>
      </c>
    </row>
    <row r="1286" spans="2:4">
      <c r="B1286">
        <f>IF(TRIM(A1286&amp;"")="","",IF(RIGHT(TRIM(A1286),7)=" Equity",TRIM(A1286),TRIM(A1286)&amp;" Equity"))</f>
        <v/>
      </c>
      <c r="C1286">
        <f>IF(OR(SwitchUniverse&lt;&gt;"ON",$B1286=""),"",BDP($B1286,"NAME"))</f>
        <v/>
      </c>
      <c r="D1286">
        <f>IF(OR(SwitchUniverse&lt;&gt;"ON",$B1286=""),"",BDP($B1286,"GICS_SECTOR_NAME"))</f>
        <v/>
      </c>
    </row>
    <row r="1287" spans="2:4">
      <c r="B1287">
        <f>IF(TRIM(A1287&amp;"")="","",IF(RIGHT(TRIM(A1287),7)=" Equity",TRIM(A1287),TRIM(A1287)&amp;" Equity"))</f>
        <v/>
      </c>
      <c r="C1287">
        <f>IF(OR(SwitchUniverse&lt;&gt;"ON",$B1287=""),"",BDP($B1287,"NAME"))</f>
        <v/>
      </c>
      <c r="D1287">
        <f>IF(OR(SwitchUniverse&lt;&gt;"ON",$B1287=""),"",BDP($B1287,"GICS_SECTOR_NAME"))</f>
        <v/>
      </c>
    </row>
    <row r="1288" spans="2:4">
      <c r="B1288">
        <f>IF(TRIM(A1288&amp;"")="","",IF(RIGHT(TRIM(A1288),7)=" Equity",TRIM(A1288),TRIM(A1288)&amp;" Equity"))</f>
        <v/>
      </c>
      <c r="C1288">
        <f>IF(OR(SwitchUniverse&lt;&gt;"ON",$B1288=""),"",BDP($B1288,"NAME"))</f>
        <v/>
      </c>
      <c r="D1288">
        <f>IF(OR(SwitchUniverse&lt;&gt;"ON",$B1288=""),"",BDP($B1288,"GICS_SECTOR_NAME"))</f>
        <v/>
      </c>
    </row>
    <row r="1289" spans="2:4">
      <c r="B1289">
        <f>IF(TRIM(A1289&amp;"")="","",IF(RIGHT(TRIM(A1289),7)=" Equity",TRIM(A1289),TRIM(A1289)&amp;" Equity"))</f>
        <v/>
      </c>
      <c r="C1289">
        <f>IF(OR(SwitchUniverse&lt;&gt;"ON",$B1289=""),"",BDP($B1289,"NAME"))</f>
        <v/>
      </c>
      <c r="D1289">
        <f>IF(OR(SwitchUniverse&lt;&gt;"ON",$B1289=""),"",BDP($B1289,"GICS_SECTOR_NAME"))</f>
        <v/>
      </c>
    </row>
    <row r="1290" spans="2:4">
      <c r="B1290">
        <f>IF(TRIM(A1290&amp;"")="","",IF(RIGHT(TRIM(A1290),7)=" Equity",TRIM(A1290),TRIM(A1290)&amp;" Equity"))</f>
        <v/>
      </c>
      <c r="C1290">
        <f>IF(OR(SwitchUniverse&lt;&gt;"ON",$B1290=""),"",BDP($B1290,"NAME"))</f>
        <v/>
      </c>
      <c r="D1290">
        <f>IF(OR(SwitchUniverse&lt;&gt;"ON",$B1290=""),"",BDP($B1290,"GICS_SECTOR_NAME"))</f>
        <v/>
      </c>
    </row>
    <row r="1291" spans="2:4">
      <c r="B1291">
        <f>IF(TRIM(A1291&amp;"")="","",IF(RIGHT(TRIM(A1291),7)=" Equity",TRIM(A1291),TRIM(A1291)&amp;" Equity"))</f>
        <v/>
      </c>
      <c r="C1291">
        <f>IF(OR(SwitchUniverse&lt;&gt;"ON",$B1291=""),"",BDP($B1291,"NAME"))</f>
        <v/>
      </c>
      <c r="D1291">
        <f>IF(OR(SwitchUniverse&lt;&gt;"ON",$B1291=""),"",BDP($B1291,"GICS_SECTOR_NAME"))</f>
        <v/>
      </c>
    </row>
    <row r="1292" spans="2:4">
      <c r="B1292">
        <f>IF(TRIM(A1292&amp;"")="","",IF(RIGHT(TRIM(A1292),7)=" Equity",TRIM(A1292),TRIM(A1292)&amp;" Equity"))</f>
        <v/>
      </c>
      <c r="C1292">
        <f>IF(OR(SwitchUniverse&lt;&gt;"ON",$B1292=""),"",BDP($B1292,"NAME"))</f>
        <v/>
      </c>
      <c r="D1292">
        <f>IF(OR(SwitchUniverse&lt;&gt;"ON",$B1292=""),"",BDP($B1292,"GICS_SECTOR_NAME"))</f>
        <v/>
      </c>
    </row>
    <row r="1293" spans="2:4">
      <c r="B1293">
        <f>IF(TRIM(A1293&amp;"")="","",IF(RIGHT(TRIM(A1293),7)=" Equity",TRIM(A1293),TRIM(A1293)&amp;" Equity"))</f>
        <v/>
      </c>
      <c r="C1293">
        <f>IF(OR(SwitchUniverse&lt;&gt;"ON",$B1293=""),"",BDP($B1293,"NAME"))</f>
        <v/>
      </c>
      <c r="D1293">
        <f>IF(OR(SwitchUniverse&lt;&gt;"ON",$B1293=""),"",BDP($B1293,"GICS_SECTOR_NAME"))</f>
        <v/>
      </c>
    </row>
    <row r="1294" spans="2:4">
      <c r="B1294">
        <f>IF(TRIM(A1294&amp;"")="","",IF(RIGHT(TRIM(A1294),7)=" Equity",TRIM(A1294),TRIM(A1294)&amp;" Equity"))</f>
        <v/>
      </c>
      <c r="C1294">
        <f>IF(OR(SwitchUniverse&lt;&gt;"ON",$B1294=""),"",BDP($B1294,"NAME"))</f>
        <v/>
      </c>
      <c r="D1294">
        <f>IF(OR(SwitchUniverse&lt;&gt;"ON",$B1294=""),"",BDP($B1294,"GICS_SECTOR_NAME"))</f>
        <v/>
      </c>
    </row>
    <row r="1295" spans="2:4">
      <c r="B1295">
        <f>IF(TRIM(A1295&amp;"")="","",IF(RIGHT(TRIM(A1295),7)=" Equity",TRIM(A1295),TRIM(A1295)&amp;" Equity"))</f>
        <v/>
      </c>
      <c r="C1295">
        <f>IF(OR(SwitchUniverse&lt;&gt;"ON",$B1295=""),"",BDP($B1295,"NAME"))</f>
        <v/>
      </c>
      <c r="D1295">
        <f>IF(OR(SwitchUniverse&lt;&gt;"ON",$B1295=""),"",BDP($B1295,"GICS_SECTOR_NAME"))</f>
        <v/>
      </c>
    </row>
    <row r="1296" spans="2:4">
      <c r="B1296">
        <f>IF(TRIM(A1296&amp;"")="","",IF(RIGHT(TRIM(A1296),7)=" Equity",TRIM(A1296),TRIM(A1296)&amp;" Equity"))</f>
        <v/>
      </c>
      <c r="C1296">
        <f>IF(OR(SwitchUniverse&lt;&gt;"ON",$B1296=""),"",BDP($B1296,"NAME"))</f>
        <v/>
      </c>
      <c r="D1296">
        <f>IF(OR(SwitchUniverse&lt;&gt;"ON",$B1296=""),"",BDP($B1296,"GICS_SECTOR_NAME"))</f>
        <v/>
      </c>
    </row>
    <row r="1297" spans="2:4">
      <c r="B1297">
        <f>IF(TRIM(A1297&amp;"")="","",IF(RIGHT(TRIM(A1297),7)=" Equity",TRIM(A1297),TRIM(A1297)&amp;" Equity"))</f>
        <v/>
      </c>
      <c r="C1297">
        <f>IF(OR(SwitchUniverse&lt;&gt;"ON",$B1297=""),"",BDP($B1297,"NAME"))</f>
        <v/>
      </c>
      <c r="D1297">
        <f>IF(OR(SwitchUniverse&lt;&gt;"ON",$B1297=""),"",BDP($B1297,"GICS_SECTOR_NAME"))</f>
        <v/>
      </c>
    </row>
    <row r="1298" spans="2:4">
      <c r="B1298">
        <f>IF(TRIM(A1298&amp;"")="","",IF(RIGHT(TRIM(A1298),7)=" Equity",TRIM(A1298),TRIM(A1298)&amp;" Equity"))</f>
        <v/>
      </c>
      <c r="C1298">
        <f>IF(OR(SwitchUniverse&lt;&gt;"ON",$B1298=""),"",BDP($B1298,"NAME"))</f>
        <v/>
      </c>
      <c r="D1298">
        <f>IF(OR(SwitchUniverse&lt;&gt;"ON",$B1298=""),"",BDP($B1298,"GICS_SECTOR_NAME"))</f>
        <v/>
      </c>
    </row>
    <row r="1299" spans="2:4">
      <c r="B1299">
        <f>IF(TRIM(A1299&amp;"")="","",IF(RIGHT(TRIM(A1299),7)=" Equity",TRIM(A1299),TRIM(A1299)&amp;" Equity"))</f>
        <v/>
      </c>
      <c r="C1299">
        <f>IF(OR(SwitchUniverse&lt;&gt;"ON",$B1299=""),"",BDP($B1299,"NAME"))</f>
        <v/>
      </c>
      <c r="D1299">
        <f>IF(OR(SwitchUniverse&lt;&gt;"ON",$B1299=""),"",BDP($B1299,"GICS_SECTOR_NAME"))</f>
        <v/>
      </c>
    </row>
    <row r="1300" spans="2:4">
      <c r="B1300">
        <f>IF(TRIM(A1300&amp;"")="","",IF(RIGHT(TRIM(A1300),7)=" Equity",TRIM(A1300),TRIM(A1300)&amp;" Equity"))</f>
        <v/>
      </c>
      <c r="C1300">
        <f>IF(OR(SwitchUniverse&lt;&gt;"ON",$B1300=""),"",BDP($B1300,"NAME"))</f>
        <v/>
      </c>
      <c r="D1300">
        <f>IF(OR(SwitchUniverse&lt;&gt;"ON",$B1300=""),"",BDP($B1300,"GICS_SECTOR_NAME"))</f>
        <v/>
      </c>
    </row>
    <row r="1301" spans="2:4">
      <c r="B1301">
        <f>IF(TRIM(A1301&amp;"")="","",IF(RIGHT(TRIM(A1301),7)=" Equity",TRIM(A1301),TRIM(A1301)&amp;" Equity"))</f>
        <v/>
      </c>
      <c r="C1301">
        <f>IF(OR(SwitchUniverse&lt;&gt;"ON",$B1301=""),"",BDP($B1301,"NAME"))</f>
        <v/>
      </c>
      <c r="D1301">
        <f>IF(OR(SwitchUniverse&lt;&gt;"ON",$B1301=""),"",BDP($B1301,"GICS_SECTOR_NAME"))</f>
        <v/>
      </c>
    </row>
    <row r="1302" spans="2:4">
      <c r="B1302">
        <f>IF(TRIM(A1302&amp;"")="","",IF(RIGHT(TRIM(A1302),7)=" Equity",TRIM(A1302),TRIM(A1302)&amp;" Equity"))</f>
        <v/>
      </c>
      <c r="C1302">
        <f>IF(OR(SwitchUniverse&lt;&gt;"ON",$B1302=""),"",BDP($B1302,"NAME"))</f>
        <v/>
      </c>
      <c r="D1302">
        <f>IF(OR(SwitchUniverse&lt;&gt;"ON",$B1302=""),"",BDP($B1302,"GICS_SECTOR_NAME"))</f>
        <v/>
      </c>
    </row>
    <row r="1303" spans="2:4">
      <c r="B1303">
        <f>IF(TRIM(A1303&amp;"")="","",IF(RIGHT(TRIM(A1303),7)=" Equity",TRIM(A1303),TRIM(A1303)&amp;" Equity"))</f>
        <v/>
      </c>
      <c r="C1303">
        <f>IF(OR(SwitchUniverse&lt;&gt;"ON",$B1303=""),"",BDP($B1303,"NAME"))</f>
        <v/>
      </c>
      <c r="D1303">
        <f>IF(OR(SwitchUniverse&lt;&gt;"ON",$B1303=""),"",BDP($B1303,"GICS_SECTOR_NAME"))</f>
        <v/>
      </c>
    </row>
    <row r="1304" spans="2:4">
      <c r="B1304">
        <f>IF(TRIM(A1304&amp;"")="","",IF(RIGHT(TRIM(A1304),7)=" Equity",TRIM(A1304),TRIM(A1304)&amp;" Equity"))</f>
        <v/>
      </c>
      <c r="C1304">
        <f>IF(OR(SwitchUniverse&lt;&gt;"ON",$B1304=""),"",BDP($B1304,"NAME"))</f>
        <v/>
      </c>
      <c r="D1304">
        <f>IF(OR(SwitchUniverse&lt;&gt;"ON",$B1304=""),"",BDP($B1304,"GICS_SECTOR_NAME"))</f>
        <v/>
      </c>
    </row>
    <row r="1305" spans="2:4">
      <c r="B1305">
        <f>IF(TRIM(A1305&amp;"")="","",IF(RIGHT(TRIM(A1305),7)=" Equity",TRIM(A1305),TRIM(A1305)&amp;" Equity"))</f>
        <v/>
      </c>
      <c r="C1305">
        <f>IF(OR(SwitchUniverse&lt;&gt;"ON",$B1305=""),"",BDP($B1305,"NAME"))</f>
        <v/>
      </c>
      <c r="D1305">
        <f>IF(OR(SwitchUniverse&lt;&gt;"ON",$B1305=""),"",BDP($B1305,"GICS_SECTOR_NAME"))</f>
        <v/>
      </c>
    </row>
    <row r="1306" spans="2:4">
      <c r="B1306">
        <f>IF(TRIM(A1306&amp;"")="","",IF(RIGHT(TRIM(A1306),7)=" Equity",TRIM(A1306),TRIM(A1306)&amp;" Equity"))</f>
        <v/>
      </c>
      <c r="C1306">
        <f>IF(OR(SwitchUniverse&lt;&gt;"ON",$B1306=""),"",BDP($B1306,"NAME"))</f>
        <v/>
      </c>
      <c r="D1306">
        <f>IF(OR(SwitchUniverse&lt;&gt;"ON",$B1306=""),"",BDP($B1306,"GICS_SECTOR_NAME"))</f>
        <v/>
      </c>
    </row>
    <row r="1307" spans="2:4">
      <c r="B1307">
        <f>IF(TRIM(A1307&amp;"")="","",IF(RIGHT(TRIM(A1307),7)=" Equity",TRIM(A1307),TRIM(A1307)&amp;" Equity"))</f>
        <v/>
      </c>
      <c r="C1307">
        <f>IF(OR(SwitchUniverse&lt;&gt;"ON",$B1307=""),"",BDP($B1307,"NAME"))</f>
        <v/>
      </c>
      <c r="D1307">
        <f>IF(OR(SwitchUniverse&lt;&gt;"ON",$B1307=""),"",BDP($B1307,"GICS_SECTOR_NAME"))</f>
        <v/>
      </c>
    </row>
    <row r="1308" spans="2:4">
      <c r="B1308">
        <f>IF(TRIM(A1308&amp;"")="","",IF(RIGHT(TRIM(A1308),7)=" Equity",TRIM(A1308),TRIM(A1308)&amp;" Equity"))</f>
        <v/>
      </c>
      <c r="C1308">
        <f>IF(OR(SwitchUniverse&lt;&gt;"ON",$B1308=""),"",BDP($B1308,"NAME"))</f>
        <v/>
      </c>
      <c r="D1308">
        <f>IF(OR(SwitchUniverse&lt;&gt;"ON",$B1308=""),"",BDP($B1308,"GICS_SECTOR_NAME"))</f>
        <v/>
      </c>
    </row>
    <row r="1309" spans="2:4">
      <c r="B1309">
        <f>IF(TRIM(A1309&amp;"")="","",IF(RIGHT(TRIM(A1309),7)=" Equity",TRIM(A1309),TRIM(A1309)&amp;" Equity"))</f>
        <v/>
      </c>
      <c r="C1309">
        <f>IF(OR(SwitchUniverse&lt;&gt;"ON",$B1309=""),"",BDP($B1309,"NAME"))</f>
        <v/>
      </c>
      <c r="D1309">
        <f>IF(OR(SwitchUniverse&lt;&gt;"ON",$B1309=""),"",BDP($B1309,"GICS_SECTOR_NAME"))</f>
        <v/>
      </c>
    </row>
    <row r="1310" spans="2:4">
      <c r="B1310">
        <f>IF(TRIM(A1310&amp;"")="","",IF(RIGHT(TRIM(A1310),7)=" Equity",TRIM(A1310),TRIM(A1310)&amp;" Equity"))</f>
        <v/>
      </c>
      <c r="C1310">
        <f>IF(OR(SwitchUniverse&lt;&gt;"ON",$B1310=""),"",BDP($B1310,"NAME"))</f>
        <v/>
      </c>
      <c r="D1310">
        <f>IF(OR(SwitchUniverse&lt;&gt;"ON",$B1310=""),"",BDP($B1310,"GICS_SECTOR_NAME"))</f>
        <v/>
      </c>
    </row>
    <row r="1311" spans="2:4">
      <c r="B1311">
        <f>IF(TRIM(A1311&amp;"")="","",IF(RIGHT(TRIM(A1311),7)=" Equity",TRIM(A1311),TRIM(A1311)&amp;" Equity"))</f>
        <v/>
      </c>
      <c r="C1311">
        <f>IF(OR(SwitchUniverse&lt;&gt;"ON",$B1311=""),"",BDP($B1311,"NAME"))</f>
        <v/>
      </c>
      <c r="D1311">
        <f>IF(OR(SwitchUniverse&lt;&gt;"ON",$B1311=""),"",BDP($B1311,"GICS_SECTOR_NAME"))</f>
        <v/>
      </c>
    </row>
    <row r="1312" spans="2:4">
      <c r="B1312">
        <f>IF(TRIM(A1312&amp;"")="","",IF(RIGHT(TRIM(A1312),7)=" Equity",TRIM(A1312),TRIM(A1312)&amp;" Equity"))</f>
        <v/>
      </c>
      <c r="C1312">
        <f>IF(OR(SwitchUniverse&lt;&gt;"ON",$B1312=""),"",BDP($B1312,"NAME"))</f>
        <v/>
      </c>
      <c r="D1312">
        <f>IF(OR(SwitchUniverse&lt;&gt;"ON",$B1312=""),"",BDP($B1312,"GICS_SECTOR_NAME"))</f>
        <v/>
      </c>
    </row>
    <row r="1313" spans="2:4">
      <c r="B1313">
        <f>IF(TRIM(A1313&amp;"")="","",IF(RIGHT(TRIM(A1313),7)=" Equity",TRIM(A1313),TRIM(A1313)&amp;" Equity"))</f>
        <v/>
      </c>
      <c r="C1313">
        <f>IF(OR(SwitchUniverse&lt;&gt;"ON",$B1313=""),"",BDP($B1313,"NAME"))</f>
        <v/>
      </c>
      <c r="D1313">
        <f>IF(OR(SwitchUniverse&lt;&gt;"ON",$B1313=""),"",BDP($B1313,"GICS_SECTOR_NAME"))</f>
        <v/>
      </c>
    </row>
    <row r="1314" spans="2:4">
      <c r="B1314">
        <f>IF(TRIM(A1314&amp;"")="","",IF(RIGHT(TRIM(A1314),7)=" Equity",TRIM(A1314),TRIM(A1314)&amp;" Equity"))</f>
        <v/>
      </c>
      <c r="C1314">
        <f>IF(OR(SwitchUniverse&lt;&gt;"ON",$B1314=""),"",BDP($B1314,"NAME"))</f>
        <v/>
      </c>
      <c r="D1314">
        <f>IF(OR(SwitchUniverse&lt;&gt;"ON",$B1314=""),"",BDP($B1314,"GICS_SECTOR_NAME"))</f>
        <v/>
      </c>
    </row>
    <row r="1315" spans="2:4">
      <c r="B1315">
        <f>IF(TRIM(A1315&amp;"")="","",IF(RIGHT(TRIM(A1315),7)=" Equity",TRIM(A1315),TRIM(A1315)&amp;" Equity"))</f>
        <v/>
      </c>
      <c r="C1315">
        <f>IF(OR(SwitchUniverse&lt;&gt;"ON",$B1315=""),"",BDP($B1315,"NAME"))</f>
        <v/>
      </c>
      <c r="D1315">
        <f>IF(OR(SwitchUniverse&lt;&gt;"ON",$B1315=""),"",BDP($B1315,"GICS_SECTOR_NAME"))</f>
        <v/>
      </c>
    </row>
    <row r="1316" spans="2:4">
      <c r="B1316">
        <f>IF(TRIM(A1316&amp;"")="","",IF(RIGHT(TRIM(A1316),7)=" Equity",TRIM(A1316),TRIM(A1316)&amp;" Equity"))</f>
        <v/>
      </c>
      <c r="C1316">
        <f>IF(OR(SwitchUniverse&lt;&gt;"ON",$B1316=""),"",BDP($B1316,"NAME"))</f>
        <v/>
      </c>
      <c r="D1316">
        <f>IF(OR(SwitchUniverse&lt;&gt;"ON",$B1316=""),"",BDP($B1316,"GICS_SECTOR_NAME"))</f>
        <v/>
      </c>
    </row>
    <row r="1317" spans="2:4">
      <c r="B1317">
        <f>IF(TRIM(A1317&amp;"")="","",IF(RIGHT(TRIM(A1317),7)=" Equity",TRIM(A1317),TRIM(A1317)&amp;" Equity"))</f>
        <v/>
      </c>
      <c r="C1317">
        <f>IF(OR(SwitchUniverse&lt;&gt;"ON",$B1317=""),"",BDP($B1317,"NAME"))</f>
        <v/>
      </c>
      <c r="D1317">
        <f>IF(OR(SwitchUniverse&lt;&gt;"ON",$B1317=""),"",BDP($B1317,"GICS_SECTOR_NAME"))</f>
        <v/>
      </c>
    </row>
    <row r="1318" spans="2:4">
      <c r="B1318">
        <f>IF(TRIM(A1318&amp;"")="","",IF(RIGHT(TRIM(A1318),7)=" Equity",TRIM(A1318),TRIM(A1318)&amp;" Equity"))</f>
        <v/>
      </c>
      <c r="C1318">
        <f>IF(OR(SwitchUniverse&lt;&gt;"ON",$B1318=""),"",BDP($B1318,"NAME"))</f>
        <v/>
      </c>
      <c r="D1318">
        <f>IF(OR(SwitchUniverse&lt;&gt;"ON",$B1318=""),"",BDP($B1318,"GICS_SECTOR_NAME"))</f>
        <v/>
      </c>
    </row>
    <row r="1319" spans="2:4">
      <c r="B1319">
        <f>IF(TRIM(A1319&amp;"")="","",IF(RIGHT(TRIM(A1319),7)=" Equity",TRIM(A1319),TRIM(A1319)&amp;" Equity"))</f>
        <v/>
      </c>
      <c r="C1319">
        <f>IF(OR(SwitchUniverse&lt;&gt;"ON",$B1319=""),"",BDP($B1319,"NAME"))</f>
        <v/>
      </c>
      <c r="D1319">
        <f>IF(OR(SwitchUniverse&lt;&gt;"ON",$B1319=""),"",BDP($B1319,"GICS_SECTOR_NAME"))</f>
        <v/>
      </c>
    </row>
    <row r="1320" spans="2:4">
      <c r="B1320">
        <f>IF(TRIM(A1320&amp;"")="","",IF(RIGHT(TRIM(A1320),7)=" Equity",TRIM(A1320),TRIM(A1320)&amp;" Equity"))</f>
        <v/>
      </c>
      <c r="C1320">
        <f>IF(OR(SwitchUniverse&lt;&gt;"ON",$B1320=""),"",BDP($B1320,"NAME"))</f>
        <v/>
      </c>
      <c r="D1320">
        <f>IF(OR(SwitchUniverse&lt;&gt;"ON",$B1320=""),"",BDP($B1320,"GICS_SECTOR_NAME"))</f>
        <v/>
      </c>
    </row>
    <row r="1321" spans="2:4">
      <c r="B1321">
        <f>IF(TRIM(A1321&amp;"")="","",IF(RIGHT(TRIM(A1321),7)=" Equity",TRIM(A1321),TRIM(A1321)&amp;" Equity"))</f>
        <v/>
      </c>
      <c r="C1321">
        <f>IF(OR(SwitchUniverse&lt;&gt;"ON",$B1321=""),"",BDP($B1321,"NAME"))</f>
        <v/>
      </c>
      <c r="D1321">
        <f>IF(OR(SwitchUniverse&lt;&gt;"ON",$B1321=""),"",BDP($B1321,"GICS_SECTOR_NAME"))</f>
        <v/>
      </c>
    </row>
    <row r="1322" spans="2:4">
      <c r="B1322">
        <f>IF(TRIM(A1322&amp;"")="","",IF(RIGHT(TRIM(A1322),7)=" Equity",TRIM(A1322),TRIM(A1322)&amp;" Equity"))</f>
        <v/>
      </c>
      <c r="C1322">
        <f>IF(OR(SwitchUniverse&lt;&gt;"ON",$B1322=""),"",BDP($B1322,"NAME"))</f>
        <v/>
      </c>
      <c r="D1322">
        <f>IF(OR(SwitchUniverse&lt;&gt;"ON",$B1322=""),"",BDP($B1322,"GICS_SECTOR_NAME"))</f>
        <v/>
      </c>
    </row>
    <row r="1323" spans="2:4">
      <c r="B1323">
        <f>IF(TRIM(A1323&amp;"")="","",IF(RIGHT(TRIM(A1323),7)=" Equity",TRIM(A1323),TRIM(A1323)&amp;" Equity"))</f>
        <v/>
      </c>
      <c r="C1323">
        <f>IF(OR(SwitchUniverse&lt;&gt;"ON",$B1323=""),"",BDP($B1323,"NAME"))</f>
        <v/>
      </c>
      <c r="D1323">
        <f>IF(OR(SwitchUniverse&lt;&gt;"ON",$B1323=""),"",BDP($B1323,"GICS_SECTOR_NAME"))</f>
        <v/>
      </c>
    </row>
    <row r="1324" spans="2:4">
      <c r="B1324">
        <f>IF(TRIM(A1324&amp;"")="","",IF(RIGHT(TRIM(A1324),7)=" Equity",TRIM(A1324),TRIM(A1324)&amp;" Equity"))</f>
        <v/>
      </c>
      <c r="C1324">
        <f>IF(OR(SwitchUniverse&lt;&gt;"ON",$B1324=""),"",BDP($B1324,"NAME"))</f>
        <v/>
      </c>
      <c r="D1324">
        <f>IF(OR(SwitchUniverse&lt;&gt;"ON",$B1324=""),"",BDP($B1324,"GICS_SECTOR_NAME"))</f>
        <v/>
      </c>
    </row>
    <row r="1325" spans="2:4">
      <c r="B1325">
        <f>IF(TRIM(A1325&amp;"")="","",IF(RIGHT(TRIM(A1325),7)=" Equity",TRIM(A1325),TRIM(A1325)&amp;" Equity"))</f>
        <v/>
      </c>
      <c r="C1325">
        <f>IF(OR(SwitchUniverse&lt;&gt;"ON",$B1325=""),"",BDP($B1325,"NAME"))</f>
        <v/>
      </c>
      <c r="D1325">
        <f>IF(OR(SwitchUniverse&lt;&gt;"ON",$B1325=""),"",BDP($B1325,"GICS_SECTOR_NAME"))</f>
        <v/>
      </c>
    </row>
    <row r="1326" spans="2:4">
      <c r="B1326">
        <f>IF(TRIM(A1326&amp;"")="","",IF(RIGHT(TRIM(A1326),7)=" Equity",TRIM(A1326),TRIM(A1326)&amp;" Equity"))</f>
        <v/>
      </c>
      <c r="C1326">
        <f>IF(OR(SwitchUniverse&lt;&gt;"ON",$B1326=""),"",BDP($B1326,"NAME"))</f>
        <v/>
      </c>
      <c r="D1326">
        <f>IF(OR(SwitchUniverse&lt;&gt;"ON",$B1326=""),"",BDP($B1326,"GICS_SECTOR_NAME"))</f>
        <v/>
      </c>
    </row>
    <row r="1327" spans="2:4">
      <c r="B1327">
        <f>IF(TRIM(A1327&amp;"")="","",IF(RIGHT(TRIM(A1327),7)=" Equity",TRIM(A1327),TRIM(A1327)&amp;" Equity"))</f>
        <v/>
      </c>
      <c r="C1327">
        <f>IF(OR(SwitchUniverse&lt;&gt;"ON",$B1327=""),"",BDP($B1327,"NAME"))</f>
        <v/>
      </c>
      <c r="D1327">
        <f>IF(OR(SwitchUniverse&lt;&gt;"ON",$B1327=""),"",BDP($B1327,"GICS_SECTOR_NAME"))</f>
        <v/>
      </c>
    </row>
    <row r="1328" spans="2:4">
      <c r="B1328">
        <f>IF(TRIM(A1328&amp;"")="","",IF(RIGHT(TRIM(A1328),7)=" Equity",TRIM(A1328),TRIM(A1328)&amp;" Equity"))</f>
        <v/>
      </c>
      <c r="C1328">
        <f>IF(OR(SwitchUniverse&lt;&gt;"ON",$B1328=""),"",BDP($B1328,"NAME"))</f>
        <v/>
      </c>
      <c r="D1328">
        <f>IF(OR(SwitchUniverse&lt;&gt;"ON",$B1328=""),"",BDP($B1328,"GICS_SECTOR_NAME"))</f>
        <v/>
      </c>
    </row>
    <row r="1329" spans="2:4">
      <c r="B1329">
        <f>IF(TRIM(A1329&amp;"")="","",IF(RIGHT(TRIM(A1329),7)=" Equity",TRIM(A1329),TRIM(A1329)&amp;" Equity"))</f>
        <v/>
      </c>
      <c r="C1329">
        <f>IF(OR(SwitchUniverse&lt;&gt;"ON",$B1329=""),"",BDP($B1329,"NAME"))</f>
        <v/>
      </c>
      <c r="D1329">
        <f>IF(OR(SwitchUniverse&lt;&gt;"ON",$B1329=""),"",BDP($B1329,"GICS_SECTOR_NAME"))</f>
        <v/>
      </c>
    </row>
    <row r="1330" spans="2:4">
      <c r="B1330">
        <f>IF(TRIM(A1330&amp;"")="","",IF(RIGHT(TRIM(A1330),7)=" Equity",TRIM(A1330),TRIM(A1330)&amp;" Equity"))</f>
        <v/>
      </c>
      <c r="C1330">
        <f>IF(OR(SwitchUniverse&lt;&gt;"ON",$B1330=""),"",BDP($B1330,"NAME"))</f>
        <v/>
      </c>
      <c r="D1330">
        <f>IF(OR(SwitchUniverse&lt;&gt;"ON",$B1330=""),"",BDP($B1330,"GICS_SECTOR_NAME"))</f>
        <v/>
      </c>
    </row>
    <row r="1331" spans="2:4">
      <c r="B1331">
        <f>IF(TRIM(A1331&amp;"")="","",IF(RIGHT(TRIM(A1331),7)=" Equity",TRIM(A1331),TRIM(A1331)&amp;" Equity"))</f>
        <v/>
      </c>
      <c r="C1331">
        <f>IF(OR(SwitchUniverse&lt;&gt;"ON",$B1331=""),"",BDP($B1331,"NAME"))</f>
        <v/>
      </c>
      <c r="D1331">
        <f>IF(OR(SwitchUniverse&lt;&gt;"ON",$B1331=""),"",BDP($B1331,"GICS_SECTOR_NAME"))</f>
        <v/>
      </c>
    </row>
    <row r="1332" spans="2:4">
      <c r="B1332">
        <f>IF(TRIM(A1332&amp;"")="","",IF(RIGHT(TRIM(A1332),7)=" Equity",TRIM(A1332),TRIM(A1332)&amp;" Equity"))</f>
        <v/>
      </c>
      <c r="C1332">
        <f>IF(OR(SwitchUniverse&lt;&gt;"ON",$B1332=""),"",BDP($B1332,"NAME"))</f>
        <v/>
      </c>
      <c r="D1332">
        <f>IF(OR(SwitchUniverse&lt;&gt;"ON",$B1332=""),"",BDP($B1332,"GICS_SECTOR_NAME"))</f>
        <v/>
      </c>
    </row>
    <row r="1333" spans="2:4">
      <c r="B1333">
        <f>IF(TRIM(A1333&amp;"")="","",IF(RIGHT(TRIM(A1333),7)=" Equity",TRIM(A1333),TRIM(A1333)&amp;" Equity"))</f>
        <v/>
      </c>
      <c r="C1333">
        <f>IF(OR(SwitchUniverse&lt;&gt;"ON",$B1333=""),"",BDP($B1333,"NAME"))</f>
        <v/>
      </c>
      <c r="D1333">
        <f>IF(OR(SwitchUniverse&lt;&gt;"ON",$B1333=""),"",BDP($B1333,"GICS_SECTOR_NAME"))</f>
        <v/>
      </c>
    </row>
    <row r="1334" spans="2:4">
      <c r="B1334">
        <f>IF(TRIM(A1334&amp;"")="","",IF(RIGHT(TRIM(A1334),7)=" Equity",TRIM(A1334),TRIM(A1334)&amp;" Equity"))</f>
        <v/>
      </c>
      <c r="C1334">
        <f>IF(OR(SwitchUniverse&lt;&gt;"ON",$B1334=""),"",BDP($B1334,"NAME"))</f>
        <v/>
      </c>
      <c r="D1334">
        <f>IF(OR(SwitchUniverse&lt;&gt;"ON",$B1334=""),"",BDP($B1334,"GICS_SECTOR_NAME"))</f>
        <v/>
      </c>
    </row>
    <row r="1335" spans="2:4">
      <c r="B1335">
        <f>IF(TRIM(A1335&amp;"")="","",IF(RIGHT(TRIM(A1335),7)=" Equity",TRIM(A1335),TRIM(A1335)&amp;" Equity"))</f>
        <v/>
      </c>
      <c r="C1335">
        <f>IF(OR(SwitchUniverse&lt;&gt;"ON",$B1335=""),"",BDP($B1335,"NAME"))</f>
        <v/>
      </c>
      <c r="D1335">
        <f>IF(OR(SwitchUniverse&lt;&gt;"ON",$B1335=""),"",BDP($B1335,"GICS_SECTOR_NAME"))</f>
        <v/>
      </c>
    </row>
    <row r="1336" spans="2:4">
      <c r="B1336">
        <f>IF(TRIM(A1336&amp;"")="","",IF(RIGHT(TRIM(A1336),7)=" Equity",TRIM(A1336),TRIM(A1336)&amp;" Equity"))</f>
        <v/>
      </c>
      <c r="C1336">
        <f>IF(OR(SwitchUniverse&lt;&gt;"ON",$B1336=""),"",BDP($B1336,"NAME"))</f>
        <v/>
      </c>
      <c r="D1336">
        <f>IF(OR(SwitchUniverse&lt;&gt;"ON",$B1336=""),"",BDP($B1336,"GICS_SECTOR_NAME"))</f>
        <v/>
      </c>
    </row>
    <row r="1337" spans="2:4">
      <c r="B1337">
        <f>IF(TRIM(A1337&amp;"")="","",IF(RIGHT(TRIM(A1337),7)=" Equity",TRIM(A1337),TRIM(A1337)&amp;" Equity"))</f>
        <v/>
      </c>
      <c r="C1337">
        <f>IF(OR(SwitchUniverse&lt;&gt;"ON",$B1337=""),"",BDP($B1337,"NAME"))</f>
        <v/>
      </c>
      <c r="D1337">
        <f>IF(OR(SwitchUniverse&lt;&gt;"ON",$B1337=""),"",BDP($B1337,"GICS_SECTOR_NAME"))</f>
        <v/>
      </c>
    </row>
    <row r="1338" spans="2:4">
      <c r="B1338">
        <f>IF(TRIM(A1338&amp;"")="","",IF(RIGHT(TRIM(A1338),7)=" Equity",TRIM(A1338),TRIM(A1338)&amp;" Equity"))</f>
        <v/>
      </c>
      <c r="C1338">
        <f>IF(OR(SwitchUniverse&lt;&gt;"ON",$B1338=""),"",BDP($B1338,"NAME"))</f>
        <v/>
      </c>
      <c r="D1338">
        <f>IF(OR(SwitchUniverse&lt;&gt;"ON",$B1338=""),"",BDP($B1338,"GICS_SECTOR_NAME"))</f>
        <v/>
      </c>
    </row>
    <row r="1339" spans="2:4">
      <c r="B1339">
        <f>IF(TRIM(A1339&amp;"")="","",IF(RIGHT(TRIM(A1339),7)=" Equity",TRIM(A1339),TRIM(A1339)&amp;" Equity"))</f>
        <v/>
      </c>
      <c r="C1339">
        <f>IF(OR(SwitchUniverse&lt;&gt;"ON",$B1339=""),"",BDP($B1339,"NAME"))</f>
        <v/>
      </c>
      <c r="D1339">
        <f>IF(OR(SwitchUniverse&lt;&gt;"ON",$B1339=""),"",BDP($B1339,"GICS_SECTOR_NAME"))</f>
        <v/>
      </c>
    </row>
    <row r="1340" spans="2:4">
      <c r="B1340">
        <f>IF(TRIM(A1340&amp;"")="","",IF(RIGHT(TRIM(A1340),7)=" Equity",TRIM(A1340),TRIM(A1340)&amp;" Equity"))</f>
        <v/>
      </c>
      <c r="C1340">
        <f>IF(OR(SwitchUniverse&lt;&gt;"ON",$B1340=""),"",BDP($B1340,"NAME"))</f>
        <v/>
      </c>
      <c r="D1340">
        <f>IF(OR(SwitchUniverse&lt;&gt;"ON",$B1340=""),"",BDP($B1340,"GICS_SECTOR_NAME"))</f>
        <v/>
      </c>
    </row>
    <row r="1341" spans="2:4">
      <c r="B1341">
        <f>IF(TRIM(A1341&amp;"")="","",IF(RIGHT(TRIM(A1341),7)=" Equity",TRIM(A1341),TRIM(A1341)&amp;" Equity"))</f>
        <v/>
      </c>
      <c r="C1341">
        <f>IF(OR(SwitchUniverse&lt;&gt;"ON",$B1341=""),"",BDP($B1341,"NAME"))</f>
        <v/>
      </c>
      <c r="D1341">
        <f>IF(OR(SwitchUniverse&lt;&gt;"ON",$B1341=""),"",BDP($B1341,"GICS_SECTOR_NAME"))</f>
        <v/>
      </c>
    </row>
    <row r="1342" spans="2:4">
      <c r="B1342">
        <f>IF(TRIM(A1342&amp;"")="","",IF(RIGHT(TRIM(A1342),7)=" Equity",TRIM(A1342),TRIM(A1342)&amp;" Equity"))</f>
        <v/>
      </c>
      <c r="C1342">
        <f>IF(OR(SwitchUniverse&lt;&gt;"ON",$B1342=""),"",BDP($B1342,"NAME"))</f>
        <v/>
      </c>
      <c r="D1342">
        <f>IF(OR(SwitchUniverse&lt;&gt;"ON",$B1342=""),"",BDP($B1342,"GICS_SECTOR_NAME"))</f>
        <v/>
      </c>
    </row>
    <row r="1343" spans="2:4">
      <c r="B1343">
        <f>IF(TRIM(A1343&amp;"")="","",IF(RIGHT(TRIM(A1343),7)=" Equity",TRIM(A1343),TRIM(A1343)&amp;" Equity"))</f>
        <v/>
      </c>
      <c r="C1343">
        <f>IF(OR(SwitchUniverse&lt;&gt;"ON",$B1343=""),"",BDP($B1343,"NAME"))</f>
        <v/>
      </c>
      <c r="D1343">
        <f>IF(OR(SwitchUniverse&lt;&gt;"ON",$B1343=""),"",BDP($B1343,"GICS_SECTOR_NAME"))</f>
        <v/>
      </c>
    </row>
    <row r="1344" spans="2:4">
      <c r="B1344">
        <f>IF(TRIM(A1344&amp;"")="","",IF(RIGHT(TRIM(A1344),7)=" Equity",TRIM(A1344),TRIM(A1344)&amp;" Equity"))</f>
        <v/>
      </c>
      <c r="C1344">
        <f>IF(OR(SwitchUniverse&lt;&gt;"ON",$B1344=""),"",BDP($B1344,"NAME"))</f>
        <v/>
      </c>
      <c r="D1344">
        <f>IF(OR(SwitchUniverse&lt;&gt;"ON",$B1344=""),"",BDP($B1344,"GICS_SECTOR_NAME"))</f>
        <v/>
      </c>
    </row>
    <row r="1345" spans="2:4">
      <c r="B1345">
        <f>IF(TRIM(A1345&amp;"")="","",IF(RIGHT(TRIM(A1345),7)=" Equity",TRIM(A1345),TRIM(A1345)&amp;" Equity"))</f>
        <v/>
      </c>
      <c r="C1345">
        <f>IF(OR(SwitchUniverse&lt;&gt;"ON",$B1345=""),"",BDP($B1345,"NAME"))</f>
        <v/>
      </c>
      <c r="D1345">
        <f>IF(OR(SwitchUniverse&lt;&gt;"ON",$B1345=""),"",BDP($B1345,"GICS_SECTOR_NAME"))</f>
        <v/>
      </c>
    </row>
    <row r="1346" spans="2:4">
      <c r="B1346">
        <f>IF(TRIM(A1346&amp;"")="","",IF(RIGHT(TRIM(A1346),7)=" Equity",TRIM(A1346),TRIM(A1346)&amp;" Equity"))</f>
        <v/>
      </c>
      <c r="C1346">
        <f>IF(OR(SwitchUniverse&lt;&gt;"ON",$B1346=""),"",BDP($B1346,"NAME"))</f>
        <v/>
      </c>
      <c r="D1346">
        <f>IF(OR(SwitchUniverse&lt;&gt;"ON",$B1346=""),"",BDP($B1346,"GICS_SECTOR_NAME"))</f>
        <v/>
      </c>
    </row>
    <row r="1347" spans="2:4">
      <c r="B1347">
        <f>IF(TRIM(A1347&amp;"")="","",IF(RIGHT(TRIM(A1347),7)=" Equity",TRIM(A1347),TRIM(A1347)&amp;" Equity"))</f>
        <v/>
      </c>
      <c r="C1347">
        <f>IF(OR(SwitchUniverse&lt;&gt;"ON",$B1347=""),"",BDP($B1347,"NAME"))</f>
        <v/>
      </c>
      <c r="D1347">
        <f>IF(OR(SwitchUniverse&lt;&gt;"ON",$B1347=""),"",BDP($B1347,"GICS_SECTOR_NAME"))</f>
        <v/>
      </c>
    </row>
    <row r="1348" spans="2:4">
      <c r="B1348">
        <f>IF(TRIM(A1348&amp;"")="","",IF(RIGHT(TRIM(A1348),7)=" Equity",TRIM(A1348),TRIM(A1348)&amp;" Equity"))</f>
        <v/>
      </c>
      <c r="C1348">
        <f>IF(OR(SwitchUniverse&lt;&gt;"ON",$B1348=""),"",BDP($B1348,"NAME"))</f>
        <v/>
      </c>
      <c r="D1348">
        <f>IF(OR(SwitchUniverse&lt;&gt;"ON",$B1348=""),"",BDP($B1348,"GICS_SECTOR_NAME"))</f>
        <v/>
      </c>
    </row>
    <row r="1349" spans="2:4">
      <c r="B1349">
        <f>IF(TRIM(A1349&amp;"")="","",IF(RIGHT(TRIM(A1349),7)=" Equity",TRIM(A1349),TRIM(A1349)&amp;" Equity"))</f>
        <v/>
      </c>
      <c r="C1349">
        <f>IF(OR(SwitchUniverse&lt;&gt;"ON",$B1349=""),"",BDP($B1349,"NAME"))</f>
        <v/>
      </c>
      <c r="D1349">
        <f>IF(OR(SwitchUniverse&lt;&gt;"ON",$B1349=""),"",BDP($B1349,"GICS_SECTOR_NAME"))</f>
        <v/>
      </c>
    </row>
    <row r="1350" spans="2:4">
      <c r="B1350">
        <f>IF(TRIM(A1350&amp;"")="","",IF(RIGHT(TRIM(A1350),7)=" Equity",TRIM(A1350),TRIM(A1350)&amp;" Equity"))</f>
        <v/>
      </c>
      <c r="C1350">
        <f>IF(OR(SwitchUniverse&lt;&gt;"ON",$B1350=""),"",BDP($B1350,"NAME"))</f>
        <v/>
      </c>
      <c r="D1350">
        <f>IF(OR(SwitchUniverse&lt;&gt;"ON",$B1350=""),"",BDP($B1350,"GICS_SECTOR_NAME"))</f>
        <v/>
      </c>
    </row>
    <row r="1351" spans="2:4">
      <c r="B1351">
        <f>IF(TRIM(A1351&amp;"")="","",IF(RIGHT(TRIM(A1351),7)=" Equity",TRIM(A1351),TRIM(A1351)&amp;" Equity"))</f>
        <v/>
      </c>
      <c r="C1351">
        <f>IF(OR(SwitchUniverse&lt;&gt;"ON",$B1351=""),"",BDP($B1351,"NAME"))</f>
        <v/>
      </c>
      <c r="D1351">
        <f>IF(OR(SwitchUniverse&lt;&gt;"ON",$B1351=""),"",BDP($B1351,"GICS_SECTOR_NAME"))</f>
        <v/>
      </c>
    </row>
    <row r="1352" spans="2:4">
      <c r="B1352">
        <f>IF(TRIM(A1352&amp;"")="","",IF(RIGHT(TRIM(A1352),7)=" Equity",TRIM(A1352),TRIM(A1352)&amp;" Equity"))</f>
        <v/>
      </c>
      <c r="C1352">
        <f>IF(OR(SwitchUniverse&lt;&gt;"ON",$B1352=""),"",BDP($B1352,"NAME"))</f>
        <v/>
      </c>
      <c r="D1352">
        <f>IF(OR(SwitchUniverse&lt;&gt;"ON",$B1352=""),"",BDP($B1352,"GICS_SECTOR_NAME"))</f>
        <v/>
      </c>
    </row>
    <row r="1353" spans="2:4">
      <c r="B1353">
        <f>IF(TRIM(A1353&amp;"")="","",IF(RIGHT(TRIM(A1353),7)=" Equity",TRIM(A1353),TRIM(A1353)&amp;" Equity"))</f>
        <v/>
      </c>
      <c r="C1353">
        <f>IF(OR(SwitchUniverse&lt;&gt;"ON",$B1353=""),"",BDP($B1353,"NAME"))</f>
        <v/>
      </c>
      <c r="D1353">
        <f>IF(OR(SwitchUniverse&lt;&gt;"ON",$B1353=""),"",BDP($B1353,"GICS_SECTOR_NAME"))</f>
        <v/>
      </c>
    </row>
    <row r="1354" spans="2:4">
      <c r="B1354">
        <f>IF(TRIM(A1354&amp;"")="","",IF(RIGHT(TRIM(A1354),7)=" Equity",TRIM(A1354),TRIM(A1354)&amp;" Equity"))</f>
        <v/>
      </c>
      <c r="C1354">
        <f>IF(OR(SwitchUniverse&lt;&gt;"ON",$B1354=""),"",BDP($B1354,"NAME"))</f>
        <v/>
      </c>
      <c r="D1354">
        <f>IF(OR(SwitchUniverse&lt;&gt;"ON",$B1354=""),"",BDP($B1354,"GICS_SECTOR_NAME"))</f>
        <v/>
      </c>
    </row>
    <row r="1355" spans="2:4">
      <c r="B1355">
        <f>IF(TRIM(A1355&amp;"")="","",IF(RIGHT(TRIM(A1355),7)=" Equity",TRIM(A1355),TRIM(A1355)&amp;" Equity"))</f>
        <v/>
      </c>
      <c r="C1355">
        <f>IF(OR(SwitchUniverse&lt;&gt;"ON",$B1355=""),"",BDP($B1355,"NAME"))</f>
        <v/>
      </c>
      <c r="D1355">
        <f>IF(OR(SwitchUniverse&lt;&gt;"ON",$B1355=""),"",BDP($B1355,"GICS_SECTOR_NAME"))</f>
        <v/>
      </c>
    </row>
    <row r="1356" spans="2:4">
      <c r="B1356">
        <f>IF(TRIM(A1356&amp;"")="","",IF(RIGHT(TRIM(A1356),7)=" Equity",TRIM(A1356),TRIM(A1356)&amp;" Equity"))</f>
        <v/>
      </c>
      <c r="C1356">
        <f>IF(OR(SwitchUniverse&lt;&gt;"ON",$B1356=""),"",BDP($B1356,"NAME"))</f>
        <v/>
      </c>
      <c r="D1356">
        <f>IF(OR(SwitchUniverse&lt;&gt;"ON",$B1356=""),"",BDP($B1356,"GICS_SECTOR_NAME"))</f>
        <v/>
      </c>
    </row>
    <row r="1357" spans="2:4">
      <c r="B1357">
        <f>IF(TRIM(A1357&amp;"")="","",IF(RIGHT(TRIM(A1357),7)=" Equity",TRIM(A1357),TRIM(A1357)&amp;" Equity"))</f>
        <v/>
      </c>
      <c r="C1357">
        <f>IF(OR(SwitchUniverse&lt;&gt;"ON",$B1357=""),"",BDP($B1357,"NAME"))</f>
        <v/>
      </c>
      <c r="D1357">
        <f>IF(OR(SwitchUniverse&lt;&gt;"ON",$B1357=""),"",BDP($B1357,"GICS_SECTOR_NAME"))</f>
        <v/>
      </c>
    </row>
    <row r="1358" spans="2:4">
      <c r="B1358">
        <f>IF(TRIM(A1358&amp;"")="","",IF(RIGHT(TRIM(A1358),7)=" Equity",TRIM(A1358),TRIM(A1358)&amp;" Equity"))</f>
        <v/>
      </c>
      <c r="C1358">
        <f>IF(OR(SwitchUniverse&lt;&gt;"ON",$B1358=""),"",BDP($B1358,"NAME"))</f>
        <v/>
      </c>
      <c r="D1358">
        <f>IF(OR(SwitchUniverse&lt;&gt;"ON",$B1358=""),"",BDP($B1358,"GICS_SECTOR_NAME"))</f>
        <v/>
      </c>
    </row>
    <row r="1359" spans="2:4">
      <c r="B1359">
        <f>IF(TRIM(A1359&amp;"")="","",IF(RIGHT(TRIM(A1359),7)=" Equity",TRIM(A1359),TRIM(A1359)&amp;" Equity"))</f>
        <v/>
      </c>
      <c r="C1359">
        <f>IF(OR(SwitchUniverse&lt;&gt;"ON",$B1359=""),"",BDP($B1359,"NAME"))</f>
        <v/>
      </c>
      <c r="D1359">
        <f>IF(OR(SwitchUniverse&lt;&gt;"ON",$B1359=""),"",BDP($B1359,"GICS_SECTOR_NAME"))</f>
        <v/>
      </c>
    </row>
    <row r="1360" spans="2:4">
      <c r="B1360">
        <f>IF(TRIM(A1360&amp;"")="","",IF(RIGHT(TRIM(A1360),7)=" Equity",TRIM(A1360),TRIM(A1360)&amp;" Equity"))</f>
        <v/>
      </c>
      <c r="C1360">
        <f>IF(OR(SwitchUniverse&lt;&gt;"ON",$B1360=""),"",BDP($B1360,"NAME"))</f>
        <v/>
      </c>
      <c r="D1360">
        <f>IF(OR(SwitchUniverse&lt;&gt;"ON",$B1360=""),"",BDP($B1360,"GICS_SECTOR_NAME"))</f>
        <v/>
      </c>
    </row>
    <row r="1361" spans="2:4">
      <c r="B1361">
        <f>IF(TRIM(A1361&amp;"")="","",IF(RIGHT(TRIM(A1361),7)=" Equity",TRIM(A1361),TRIM(A1361)&amp;" Equity"))</f>
        <v/>
      </c>
      <c r="C1361">
        <f>IF(OR(SwitchUniverse&lt;&gt;"ON",$B1361=""),"",BDP($B1361,"NAME"))</f>
        <v/>
      </c>
      <c r="D1361">
        <f>IF(OR(SwitchUniverse&lt;&gt;"ON",$B1361=""),"",BDP($B1361,"GICS_SECTOR_NAME"))</f>
        <v/>
      </c>
    </row>
    <row r="1362" spans="2:4">
      <c r="B1362">
        <f>IF(TRIM(A1362&amp;"")="","",IF(RIGHT(TRIM(A1362),7)=" Equity",TRIM(A1362),TRIM(A1362)&amp;" Equity"))</f>
        <v/>
      </c>
      <c r="C1362">
        <f>IF(OR(SwitchUniverse&lt;&gt;"ON",$B1362=""),"",BDP($B1362,"NAME"))</f>
        <v/>
      </c>
      <c r="D1362">
        <f>IF(OR(SwitchUniverse&lt;&gt;"ON",$B1362=""),"",BDP($B1362,"GICS_SECTOR_NAME"))</f>
        <v/>
      </c>
    </row>
    <row r="1363" spans="2:4">
      <c r="B1363">
        <f>IF(TRIM(A1363&amp;"")="","",IF(RIGHT(TRIM(A1363),7)=" Equity",TRIM(A1363),TRIM(A1363)&amp;" Equity"))</f>
        <v/>
      </c>
      <c r="C1363">
        <f>IF(OR(SwitchUniverse&lt;&gt;"ON",$B1363=""),"",BDP($B1363,"NAME"))</f>
        <v/>
      </c>
      <c r="D1363">
        <f>IF(OR(SwitchUniverse&lt;&gt;"ON",$B1363=""),"",BDP($B1363,"GICS_SECTOR_NAME"))</f>
        <v/>
      </c>
    </row>
    <row r="1364" spans="2:4">
      <c r="B1364">
        <f>IF(TRIM(A1364&amp;"")="","",IF(RIGHT(TRIM(A1364),7)=" Equity",TRIM(A1364),TRIM(A1364)&amp;" Equity"))</f>
        <v/>
      </c>
      <c r="C1364">
        <f>IF(OR(SwitchUniverse&lt;&gt;"ON",$B1364=""),"",BDP($B1364,"NAME"))</f>
        <v/>
      </c>
      <c r="D1364">
        <f>IF(OR(SwitchUniverse&lt;&gt;"ON",$B1364=""),"",BDP($B1364,"GICS_SECTOR_NAME"))</f>
        <v/>
      </c>
    </row>
    <row r="1365" spans="2:4">
      <c r="B1365">
        <f>IF(TRIM(A1365&amp;"")="","",IF(RIGHT(TRIM(A1365),7)=" Equity",TRIM(A1365),TRIM(A1365)&amp;" Equity"))</f>
        <v/>
      </c>
      <c r="C1365">
        <f>IF(OR(SwitchUniverse&lt;&gt;"ON",$B1365=""),"",BDP($B1365,"NAME"))</f>
        <v/>
      </c>
      <c r="D1365">
        <f>IF(OR(SwitchUniverse&lt;&gt;"ON",$B1365=""),"",BDP($B1365,"GICS_SECTOR_NAME"))</f>
        <v/>
      </c>
    </row>
    <row r="1366" spans="2:4">
      <c r="B1366">
        <f>IF(TRIM(A1366&amp;"")="","",IF(RIGHT(TRIM(A1366),7)=" Equity",TRIM(A1366),TRIM(A1366)&amp;" Equity"))</f>
        <v/>
      </c>
      <c r="C1366">
        <f>IF(OR(SwitchUniverse&lt;&gt;"ON",$B1366=""),"",BDP($B1366,"NAME"))</f>
        <v/>
      </c>
      <c r="D1366">
        <f>IF(OR(SwitchUniverse&lt;&gt;"ON",$B1366=""),"",BDP($B1366,"GICS_SECTOR_NAME"))</f>
        <v/>
      </c>
    </row>
    <row r="1367" spans="2:4">
      <c r="B1367">
        <f>IF(TRIM(A1367&amp;"")="","",IF(RIGHT(TRIM(A1367),7)=" Equity",TRIM(A1367),TRIM(A1367)&amp;" Equity"))</f>
        <v/>
      </c>
      <c r="C1367">
        <f>IF(OR(SwitchUniverse&lt;&gt;"ON",$B1367=""),"",BDP($B1367,"NAME"))</f>
        <v/>
      </c>
      <c r="D1367">
        <f>IF(OR(SwitchUniverse&lt;&gt;"ON",$B1367=""),"",BDP($B1367,"GICS_SECTOR_NAME"))</f>
        <v/>
      </c>
    </row>
    <row r="1368" spans="2:4">
      <c r="B1368">
        <f>IF(TRIM(A1368&amp;"")="","",IF(RIGHT(TRIM(A1368),7)=" Equity",TRIM(A1368),TRIM(A1368)&amp;" Equity"))</f>
        <v/>
      </c>
      <c r="C1368">
        <f>IF(OR(SwitchUniverse&lt;&gt;"ON",$B1368=""),"",BDP($B1368,"NAME"))</f>
        <v/>
      </c>
      <c r="D1368">
        <f>IF(OR(SwitchUniverse&lt;&gt;"ON",$B1368=""),"",BDP($B1368,"GICS_SECTOR_NAME"))</f>
        <v/>
      </c>
    </row>
    <row r="1369" spans="2:4">
      <c r="B1369">
        <f>IF(TRIM(A1369&amp;"")="","",IF(RIGHT(TRIM(A1369),7)=" Equity",TRIM(A1369),TRIM(A1369)&amp;" Equity"))</f>
        <v/>
      </c>
      <c r="C1369">
        <f>IF(OR(SwitchUniverse&lt;&gt;"ON",$B1369=""),"",BDP($B1369,"NAME"))</f>
        <v/>
      </c>
      <c r="D1369">
        <f>IF(OR(SwitchUniverse&lt;&gt;"ON",$B1369=""),"",BDP($B1369,"GICS_SECTOR_NAME"))</f>
        <v/>
      </c>
    </row>
    <row r="1370" spans="2:4">
      <c r="B1370">
        <f>IF(TRIM(A1370&amp;"")="","",IF(RIGHT(TRIM(A1370),7)=" Equity",TRIM(A1370),TRIM(A1370)&amp;" Equity"))</f>
        <v/>
      </c>
      <c r="C1370">
        <f>IF(OR(SwitchUniverse&lt;&gt;"ON",$B1370=""),"",BDP($B1370,"NAME"))</f>
        <v/>
      </c>
      <c r="D1370">
        <f>IF(OR(SwitchUniverse&lt;&gt;"ON",$B1370=""),"",BDP($B1370,"GICS_SECTOR_NAME"))</f>
        <v/>
      </c>
    </row>
    <row r="1371" spans="2:4">
      <c r="B1371">
        <f>IF(TRIM(A1371&amp;"")="","",IF(RIGHT(TRIM(A1371),7)=" Equity",TRIM(A1371),TRIM(A1371)&amp;" Equity"))</f>
        <v/>
      </c>
      <c r="C1371">
        <f>IF(OR(SwitchUniverse&lt;&gt;"ON",$B1371=""),"",BDP($B1371,"NAME"))</f>
        <v/>
      </c>
      <c r="D1371">
        <f>IF(OR(SwitchUniverse&lt;&gt;"ON",$B1371=""),"",BDP($B1371,"GICS_SECTOR_NAME"))</f>
        <v/>
      </c>
    </row>
    <row r="1372" spans="2:4">
      <c r="B1372">
        <f>IF(TRIM(A1372&amp;"")="","",IF(RIGHT(TRIM(A1372),7)=" Equity",TRIM(A1372),TRIM(A1372)&amp;" Equity"))</f>
        <v/>
      </c>
      <c r="C1372">
        <f>IF(OR(SwitchUniverse&lt;&gt;"ON",$B1372=""),"",BDP($B1372,"NAME"))</f>
        <v/>
      </c>
      <c r="D1372">
        <f>IF(OR(SwitchUniverse&lt;&gt;"ON",$B1372=""),"",BDP($B1372,"GICS_SECTOR_NAME"))</f>
        <v/>
      </c>
    </row>
    <row r="1373" spans="2:4">
      <c r="B1373">
        <f>IF(TRIM(A1373&amp;"")="","",IF(RIGHT(TRIM(A1373),7)=" Equity",TRIM(A1373),TRIM(A1373)&amp;" Equity"))</f>
        <v/>
      </c>
      <c r="C1373">
        <f>IF(OR(SwitchUniverse&lt;&gt;"ON",$B1373=""),"",BDP($B1373,"NAME"))</f>
        <v/>
      </c>
      <c r="D1373">
        <f>IF(OR(SwitchUniverse&lt;&gt;"ON",$B1373=""),"",BDP($B1373,"GICS_SECTOR_NAME"))</f>
        <v/>
      </c>
    </row>
    <row r="1374" spans="2:4">
      <c r="B1374">
        <f>IF(TRIM(A1374&amp;"")="","",IF(RIGHT(TRIM(A1374),7)=" Equity",TRIM(A1374),TRIM(A1374)&amp;" Equity"))</f>
        <v/>
      </c>
      <c r="C1374">
        <f>IF(OR(SwitchUniverse&lt;&gt;"ON",$B1374=""),"",BDP($B1374,"NAME"))</f>
        <v/>
      </c>
      <c r="D1374">
        <f>IF(OR(SwitchUniverse&lt;&gt;"ON",$B1374=""),"",BDP($B1374,"GICS_SECTOR_NAME"))</f>
        <v/>
      </c>
    </row>
    <row r="1375" spans="2:4">
      <c r="B1375">
        <f>IF(TRIM(A1375&amp;"")="","",IF(RIGHT(TRIM(A1375),7)=" Equity",TRIM(A1375),TRIM(A1375)&amp;" Equity"))</f>
        <v/>
      </c>
      <c r="C1375">
        <f>IF(OR(SwitchUniverse&lt;&gt;"ON",$B1375=""),"",BDP($B1375,"NAME"))</f>
        <v/>
      </c>
      <c r="D1375">
        <f>IF(OR(SwitchUniverse&lt;&gt;"ON",$B1375=""),"",BDP($B1375,"GICS_SECTOR_NAME"))</f>
        <v/>
      </c>
    </row>
    <row r="1376" spans="2:4">
      <c r="B1376">
        <f>IF(TRIM(A1376&amp;"")="","",IF(RIGHT(TRIM(A1376),7)=" Equity",TRIM(A1376),TRIM(A1376)&amp;" Equity"))</f>
        <v/>
      </c>
      <c r="C1376">
        <f>IF(OR(SwitchUniverse&lt;&gt;"ON",$B1376=""),"",BDP($B1376,"NAME"))</f>
        <v/>
      </c>
      <c r="D1376">
        <f>IF(OR(SwitchUniverse&lt;&gt;"ON",$B1376=""),"",BDP($B1376,"GICS_SECTOR_NAME"))</f>
        <v/>
      </c>
    </row>
    <row r="1377" spans="2:4">
      <c r="B1377">
        <f>IF(TRIM(A1377&amp;"")="","",IF(RIGHT(TRIM(A1377),7)=" Equity",TRIM(A1377),TRIM(A1377)&amp;" Equity"))</f>
        <v/>
      </c>
      <c r="C1377">
        <f>IF(OR(SwitchUniverse&lt;&gt;"ON",$B1377=""),"",BDP($B1377,"NAME"))</f>
        <v/>
      </c>
      <c r="D1377">
        <f>IF(OR(SwitchUniverse&lt;&gt;"ON",$B1377=""),"",BDP($B1377,"GICS_SECTOR_NAME"))</f>
        <v/>
      </c>
    </row>
    <row r="1378" spans="2:4">
      <c r="B1378">
        <f>IF(TRIM(A1378&amp;"")="","",IF(RIGHT(TRIM(A1378),7)=" Equity",TRIM(A1378),TRIM(A1378)&amp;" Equity"))</f>
        <v/>
      </c>
      <c r="C1378">
        <f>IF(OR(SwitchUniverse&lt;&gt;"ON",$B1378=""),"",BDP($B1378,"NAME"))</f>
        <v/>
      </c>
      <c r="D1378">
        <f>IF(OR(SwitchUniverse&lt;&gt;"ON",$B1378=""),"",BDP($B1378,"GICS_SECTOR_NAME"))</f>
        <v/>
      </c>
    </row>
    <row r="1379" spans="2:4">
      <c r="B1379">
        <f>IF(TRIM(A1379&amp;"")="","",IF(RIGHT(TRIM(A1379),7)=" Equity",TRIM(A1379),TRIM(A1379)&amp;" Equity"))</f>
        <v/>
      </c>
      <c r="C1379">
        <f>IF(OR(SwitchUniverse&lt;&gt;"ON",$B1379=""),"",BDP($B1379,"NAME"))</f>
        <v/>
      </c>
      <c r="D1379">
        <f>IF(OR(SwitchUniverse&lt;&gt;"ON",$B1379=""),"",BDP($B1379,"GICS_SECTOR_NAME"))</f>
        <v/>
      </c>
    </row>
    <row r="1380" spans="2:4">
      <c r="B1380">
        <f>IF(TRIM(A1380&amp;"")="","",IF(RIGHT(TRIM(A1380),7)=" Equity",TRIM(A1380),TRIM(A1380)&amp;" Equity"))</f>
        <v/>
      </c>
      <c r="C1380">
        <f>IF(OR(SwitchUniverse&lt;&gt;"ON",$B1380=""),"",BDP($B1380,"NAME"))</f>
        <v/>
      </c>
      <c r="D1380">
        <f>IF(OR(SwitchUniverse&lt;&gt;"ON",$B1380=""),"",BDP($B1380,"GICS_SECTOR_NAME"))</f>
        <v/>
      </c>
    </row>
    <row r="1381" spans="2:4">
      <c r="B1381">
        <f>IF(TRIM(A1381&amp;"")="","",IF(RIGHT(TRIM(A1381),7)=" Equity",TRIM(A1381),TRIM(A1381)&amp;" Equity"))</f>
        <v/>
      </c>
      <c r="C1381">
        <f>IF(OR(SwitchUniverse&lt;&gt;"ON",$B1381=""),"",BDP($B1381,"NAME"))</f>
        <v/>
      </c>
      <c r="D1381">
        <f>IF(OR(SwitchUniverse&lt;&gt;"ON",$B1381=""),"",BDP($B1381,"GICS_SECTOR_NAME"))</f>
        <v/>
      </c>
    </row>
    <row r="1382" spans="2:4">
      <c r="B1382">
        <f>IF(TRIM(A1382&amp;"")="","",IF(RIGHT(TRIM(A1382),7)=" Equity",TRIM(A1382),TRIM(A1382)&amp;" Equity"))</f>
        <v/>
      </c>
      <c r="C1382">
        <f>IF(OR(SwitchUniverse&lt;&gt;"ON",$B1382=""),"",BDP($B1382,"NAME"))</f>
        <v/>
      </c>
      <c r="D1382">
        <f>IF(OR(SwitchUniverse&lt;&gt;"ON",$B1382=""),"",BDP($B1382,"GICS_SECTOR_NAME"))</f>
        <v/>
      </c>
    </row>
    <row r="1383" spans="2:4">
      <c r="B1383">
        <f>IF(TRIM(A1383&amp;"")="","",IF(RIGHT(TRIM(A1383),7)=" Equity",TRIM(A1383),TRIM(A1383)&amp;" Equity"))</f>
        <v/>
      </c>
      <c r="C1383">
        <f>IF(OR(SwitchUniverse&lt;&gt;"ON",$B1383=""),"",BDP($B1383,"NAME"))</f>
        <v/>
      </c>
      <c r="D1383">
        <f>IF(OR(SwitchUniverse&lt;&gt;"ON",$B1383=""),"",BDP($B1383,"GICS_SECTOR_NAME"))</f>
        <v/>
      </c>
    </row>
    <row r="1384" spans="2:4">
      <c r="B1384">
        <f>IF(TRIM(A1384&amp;"")="","",IF(RIGHT(TRIM(A1384),7)=" Equity",TRIM(A1384),TRIM(A1384)&amp;" Equity"))</f>
        <v/>
      </c>
      <c r="C1384">
        <f>IF(OR(SwitchUniverse&lt;&gt;"ON",$B1384=""),"",BDP($B1384,"NAME"))</f>
        <v/>
      </c>
      <c r="D1384">
        <f>IF(OR(SwitchUniverse&lt;&gt;"ON",$B1384=""),"",BDP($B1384,"GICS_SECTOR_NAME"))</f>
        <v/>
      </c>
    </row>
    <row r="1385" spans="2:4">
      <c r="B1385">
        <f>IF(TRIM(A1385&amp;"")="","",IF(RIGHT(TRIM(A1385),7)=" Equity",TRIM(A1385),TRIM(A1385)&amp;" Equity"))</f>
        <v/>
      </c>
      <c r="C1385">
        <f>IF(OR(SwitchUniverse&lt;&gt;"ON",$B1385=""),"",BDP($B1385,"NAME"))</f>
        <v/>
      </c>
      <c r="D1385">
        <f>IF(OR(SwitchUniverse&lt;&gt;"ON",$B1385=""),"",BDP($B1385,"GICS_SECTOR_NAME"))</f>
        <v/>
      </c>
    </row>
    <row r="1386" spans="2:4">
      <c r="B1386">
        <f>IF(TRIM(A1386&amp;"")="","",IF(RIGHT(TRIM(A1386),7)=" Equity",TRIM(A1386),TRIM(A1386)&amp;" Equity"))</f>
        <v/>
      </c>
      <c r="C1386">
        <f>IF(OR(SwitchUniverse&lt;&gt;"ON",$B1386=""),"",BDP($B1386,"NAME"))</f>
        <v/>
      </c>
      <c r="D1386">
        <f>IF(OR(SwitchUniverse&lt;&gt;"ON",$B1386=""),"",BDP($B1386,"GICS_SECTOR_NAME"))</f>
        <v/>
      </c>
    </row>
    <row r="1387" spans="2:4">
      <c r="B1387">
        <f>IF(TRIM(A1387&amp;"")="","",IF(RIGHT(TRIM(A1387),7)=" Equity",TRIM(A1387),TRIM(A1387)&amp;" Equity"))</f>
        <v/>
      </c>
      <c r="C1387">
        <f>IF(OR(SwitchUniverse&lt;&gt;"ON",$B1387=""),"",BDP($B1387,"NAME"))</f>
        <v/>
      </c>
      <c r="D1387">
        <f>IF(OR(SwitchUniverse&lt;&gt;"ON",$B1387=""),"",BDP($B1387,"GICS_SECTOR_NAME"))</f>
        <v/>
      </c>
    </row>
    <row r="1388" spans="2:4">
      <c r="B1388">
        <f>IF(TRIM(A1388&amp;"")="","",IF(RIGHT(TRIM(A1388),7)=" Equity",TRIM(A1388),TRIM(A1388)&amp;" Equity"))</f>
        <v/>
      </c>
      <c r="C1388">
        <f>IF(OR(SwitchUniverse&lt;&gt;"ON",$B1388=""),"",BDP($B1388,"NAME"))</f>
        <v/>
      </c>
      <c r="D1388">
        <f>IF(OR(SwitchUniverse&lt;&gt;"ON",$B1388=""),"",BDP($B1388,"GICS_SECTOR_NAME"))</f>
        <v/>
      </c>
    </row>
    <row r="1389" spans="2:4">
      <c r="B1389">
        <f>IF(TRIM(A1389&amp;"")="","",IF(RIGHT(TRIM(A1389),7)=" Equity",TRIM(A1389),TRIM(A1389)&amp;" Equity"))</f>
        <v/>
      </c>
      <c r="C1389">
        <f>IF(OR(SwitchUniverse&lt;&gt;"ON",$B1389=""),"",BDP($B1389,"NAME"))</f>
        <v/>
      </c>
      <c r="D1389">
        <f>IF(OR(SwitchUniverse&lt;&gt;"ON",$B1389=""),"",BDP($B1389,"GICS_SECTOR_NAME"))</f>
        <v/>
      </c>
    </row>
    <row r="1390" spans="2:4">
      <c r="B1390">
        <f>IF(TRIM(A1390&amp;"")="","",IF(RIGHT(TRIM(A1390),7)=" Equity",TRIM(A1390),TRIM(A1390)&amp;" Equity"))</f>
        <v/>
      </c>
      <c r="C1390">
        <f>IF(OR(SwitchUniverse&lt;&gt;"ON",$B1390=""),"",BDP($B1390,"NAME"))</f>
        <v/>
      </c>
      <c r="D1390">
        <f>IF(OR(SwitchUniverse&lt;&gt;"ON",$B1390=""),"",BDP($B1390,"GICS_SECTOR_NAME"))</f>
        <v/>
      </c>
    </row>
    <row r="1391" spans="2:4">
      <c r="B1391">
        <f>IF(TRIM(A1391&amp;"")="","",IF(RIGHT(TRIM(A1391),7)=" Equity",TRIM(A1391),TRIM(A1391)&amp;" Equity"))</f>
        <v/>
      </c>
      <c r="C1391">
        <f>IF(OR(SwitchUniverse&lt;&gt;"ON",$B1391=""),"",BDP($B1391,"NAME"))</f>
        <v/>
      </c>
      <c r="D1391">
        <f>IF(OR(SwitchUniverse&lt;&gt;"ON",$B1391=""),"",BDP($B1391,"GICS_SECTOR_NAME"))</f>
        <v/>
      </c>
    </row>
    <row r="1392" spans="2:4">
      <c r="B1392">
        <f>IF(TRIM(A1392&amp;"")="","",IF(RIGHT(TRIM(A1392),7)=" Equity",TRIM(A1392),TRIM(A1392)&amp;" Equity"))</f>
        <v/>
      </c>
      <c r="C1392">
        <f>IF(OR(SwitchUniverse&lt;&gt;"ON",$B1392=""),"",BDP($B1392,"NAME"))</f>
        <v/>
      </c>
      <c r="D1392">
        <f>IF(OR(SwitchUniverse&lt;&gt;"ON",$B1392=""),"",BDP($B1392,"GICS_SECTOR_NAME"))</f>
        <v/>
      </c>
    </row>
    <row r="1393" spans="2:4">
      <c r="B1393">
        <f>IF(TRIM(A1393&amp;"")="","",IF(RIGHT(TRIM(A1393),7)=" Equity",TRIM(A1393),TRIM(A1393)&amp;" Equity"))</f>
        <v/>
      </c>
      <c r="C1393">
        <f>IF(OR(SwitchUniverse&lt;&gt;"ON",$B1393=""),"",BDP($B1393,"NAME"))</f>
        <v/>
      </c>
      <c r="D1393">
        <f>IF(OR(SwitchUniverse&lt;&gt;"ON",$B1393=""),"",BDP($B1393,"GICS_SECTOR_NAME"))</f>
        <v/>
      </c>
    </row>
    <row r="1394" spans="2:4">
      <c r="B1394">
        <f>IF(TRIM(A1394&amp;"")="","",IF(RIGHT(TRIM(A1394),7)=" Equity",TRIM(A1394),TRIM(A1394)&amp;" Equity"))</f>
        <v/>
      </c>
      <c r="C1394">
        <f>IF(OR(SwitchUniverse&lt;&gt;"ON",$B1394=""),"",BDP($B1394,"NAME"))</f>
        <v/>
      </c>
      <c r="D1394">
        <f>IF(OR(SwitchUniverse&lt;&gt;"ON",$B1394=""),"",BDP($B1394,"GICS_SECTOR_NAME"))</f>
        <v/>
      </c>
    </row>
    <row r="1395" spans="2:4">
      <c r="B1395">
        <f>IF(TRIM(A1395&amp;"")="","",IF(RIGHT(TRIM(A1395),7)=" Equity",TRIM(A1395),TRIM(A1395)&amp;" Equity"))</f>
        <v/>
      </c>
      <c r="C1395">
        <f>IF(OR(SwitchUniverse&lt;&gt;"ON",$B1395=""),"",BDP($B1395,"NAME"))</f>
        <v/>
      </c>
      <c r="D1395">
        <f>IF(OR(SwitchUniverse&lt;&gt;"ON",$B1395=""),"",BDP($B1395,"GICS_SECTOR_NAME"))</f>
        <v/>
      </c>
    </row>
    <row r="1396" spans="2:4">
      <c r="B1396">
        <f>IF(TRIM(A1396&amp;"")="","",IF(RIGHT(TRIM(A1396),7)=" Equity",TRIM(A1396),TRIM(A1396)&amp;" Equity"))</f>
        <v/>
      </c>
      <c r="C1396">
        <f>IF(OR(SwitchUniverse&lt;&gt;"ON",$B1396=""),"",BDP($B1396,"NAME"))</f>
        <v/>
      </c>
      <c r="D1396">
        <f>IF(OR(SwitchUniverse&lt;&gt;"ON",$B1396=""),"",BDP($B1396,"GICS_SECTOR_NAME"))</f>
        <v/>
      </c>
    </row>
    <row r="1397" spans="2:4">
      <c r="B1397">
        <f>IF(TRIM(A1397&amp;"")="","",IF(RIGHT(TRIM(A1397),7)=" Equity",TRIM(A1397),TRIM(A1397)&amp;" Equity"))</f>
        <v/>
      </c>
      <c r="C1397">
        <f>IF(OR(SwitchUniverse&lt;&gt;"ON",$B1397=""),"",BDP($B1397,"NAME"))</f>
        <v/>
      </c>
      <c r="D1397">
        <f>IF(OR(SwitchUniverse&lt;&gt;"ON",$B1397=""),"",BDP($B1397,"GICS_SECTOR_NAME"))</f>
        <v/>
      </c>
    </row>
    <row r="1398" spans="2:4">
      <c r="B1398">
        <f>IF(TRIM(A1398&amp;"")="","",IF(RIGHT(TRIM(A1398),7)=" Equity",TRIM(A1398),TRIM(A1398)&amp;" Equity"))</f>
        <v/>
      </c>
      <c r="C1398">
        <f>IF(OR(SwitchUniverse&lt;&gt;"ON",$B1398=""),"",BDP($B1398,"NAME"))</f>
        <v/>
      </c>
      <c r="D1398">
        <f>IF(OR(SwitchUniverse&lt;&gt;"ON",$B1398=""),"",BDP($B1398,"GICS_SECTOR_NAME"))</f>
        <v/>
      </c>
    </row>
    <row r="1399" spans="2:4">
      <c r="B1399">
        <f>IF(TRIM(A1399&amp;"")="","",IF(RIGHT(TRIM(A1399),7)=" Equity",TRIM(A1399),TRIM(A1399)&amp;" Equity"))</f>
        <v/>
      </c>
      <c r="C1399">
        <f>IF(OR(SwitchUniverse&lt;&gt;"ON",$B1399=""),"",BDP($B1399,"NAME"))</f>
        <v/>
      </c>
      <c r="D1399">
        <f>IF(OR(SwitchUniverse&lt;&gt;"ON",$B1399=""),"",BDP($B1399,"GICS_SECTOR_NAME"))</f>
        <v/>
      </c>
    </row>
    <row r="1400" spans="2:4">
      <c r="B1400">
        <f>IF(TRIM(A1400&amp;"")="","",IF(RIGHT(TRIM(A1400),7)=" Equity",TRIM(A1400),TRIM(A1400)&amp;" Equity"))</f>
        <v/>
      </c>
      <c r="C1400">
        <f>IF(OR(SwitchUniverse&lt;&gt;"ON",$B1400=""),"",BDP($B1400,"NAME"))</f>
        <v/>
      </c>
      <c r="D1400">
        <f>IF(OR(SwitchUniverse&lt;&gt;"ON",$B1400=""),"",BDP($B1400,"GICS_SECTOR_NAME"))</f>
        <v/>
      </c>
    </row>
    <row r="1401" spans="2:4">
      <c r="B1401">
        <f>IF(TRIM(A1401&amp;"")="","",IF(RIGHT(TRIM(A1401),7)=" Equity",TRIM(A1401),TRIM(A1401)&amp;" Equity"))</f>
        <v/>
      </c>
      <c r="C1401">
        <f>IF(OR(SwitchUniverse&lt;&gt;"ON",$B1401=""),"",BDP($B1401,"NAME"))</f>
        <v/>
      </c>
      <c r="D1401">
        <f>IF(OR(SwitchUniverse&lt;&gt;"ON",$B1401=""),"",BDP($B1401,"GICS_SECTOR_NAME"))</f>
        <v/>
      </c>
    </row>
    <row r="1402" spans="2:4">
      <c r="B1402">
        <f>IF(TRIM(A1402&amp;"")="","",IF(RIGHT(TRIM(A1402),7)=" Equity",TRIM(A1402),TRIM(A1402)&amp;" Equity"))</f>
        <v/>
      </c>
      <c r="C1402">
        <f>IF(OR(SwitchUniverse&lt;&gt;"ON",$B1402=""),"",BDP($B1402,"NAME"))</f>
        <v/>
      </c>
      <c r="D1402">
        <f>IF(OR(SwitchUniverse&lt;&gt;"ON",$B1402=""),"",BDP($B1402,"GICS_SECTOR_NAME"))</f>
        <v/>
      </c>
    </row>
    <row r="1403" spans="2:4">
      <c r="B1403">
        <f>IF(TRIM(A1403&amp;"")="","",IF(RIGHT(TRIM(A1403),7)=" Equity",TRIM(A1403),TRIM(A1403)&amp;" Equity"))</f>
        <v/>
      </c>
      <c r="C1403">
        <f>IF(OR(SwitchUniverse&lt;&gt;"ON",$B1403=""),"",BDP($B1403,"NAME"))</f>
        <v/>
      </c>
      <c r="D1403">
        <f>IF(OR(SwitchUniverse&lt;&gt;"ON",$B1403=""),"",BDP($B1403,"GICS_SECTOR_NAME"))</f>
        <v/>
      </c>
    </row>
    <row r="1404" spans="2:4">
      <c r="B1404">
        <f>IF(TRIM(A1404&amp;"")="","",IF(RIGHT(TRIM(A1404),7)=" Equity",TRIM(A1404),TRIM(A1404)&amp;" Equity"))</f>
        <v/>
      </c>
      <c r="C1404">
        <f>IF(OR(SwitchUniverse&lt;&gt;"ON",$B1404=""),"",BDP($B1404,"NAME"))</f>
        <v/>
      </c>
      <c r="D1404">
        <f>IF(OR(SwitchUniverse&lt;&gt;"ON",$B1404=""),"",BDP($B1404,"GICS_SECTOR_NAME"))</f>
        <v/>
      </c>
    </row>
    <row r="1405" spans="2:4">
      <c r="B1405">
        <f>IF(TRIM(A1405&amp;"")="","",IF(RIGHT(TRIM(A1405),7)=" Equity",TRIM(A1405),TRIM(A1405)&amp;" Equity"))</f>
        <v/>
      </c>
      <c r="C1405">
        <f>IF(OR(SwitchUniverse&lt;&gt;"ON",$B1405=""),"",BDP($B1405,"NAME"))</f>
        <v/>
      </c>
      <c r="D1405">
        <f>IF(OR(SwitchUniverse&lt;&gt;"ON",$B1405=""),"",BDP($B1405,"GICS_SECTOR_NAME"))</f>
        <v/>
      </c>
    </row>
    <row r="1406" spans="2:4">
      <c r="B1406">
        <f>IF(TRIM(A1406&amp;"")="","",IF(RIGHT(TRIM(A1406),7)=" Equity",TRIM(A1406),TRIM(A1406)&amp;" Equity"))</f>
        <v/>
      </c>
      <c r="C1406">
        <f>IF(OR(SwitchUniverse&lt;&gt;"ON",$B1406=""),"",BDP($B1406,"NAME"))</f>
        <v/>
      </c>
      <c r="D1406">
        <f>IF(OR(SwitchUniverse&lt;&gt;"ON",$B1406=""),"",BDP($B1406,"GICS_SECTOR_NAME"))</f>
        <v/>
      </c>
    </row>
    <row r="1407" spans="2:4">
      <c r="B1407">
        <f>IF(TRIM(A1407&amp;"")="","",IF(RIGHT(TRIM(A1407),7)=" Equity",TRIM(A1407),TRIM(A1407)&amp;" Equity"))</f>
        <v/>
      </c>
      <c r="C1407">
        <f>IF(OR(SwitchUniverse&lt;&gt;"ON",$B1407=""),"",BDP($B1407,"NAME"))</f>
        <v/>
      </c>
      <c r="D1407">
        <f>IF(OR(SwitchUniverse&lt;&gt;"ON",$B1407=""),"",BDP($B1407,"GICS_SECTOR_NAME"))</f>
        <v/>
      </c>
    </row>
    <row r="1408" spans="2:4">
      <c r="B1408">
        <f>IF(TRIM(A1408&amp;"")="","",IF(RIGHT(TRIM(A1408),7)=" Equity",TRIM(A1408),TRIM(A1408)&amp;" Equity"))</f>
        <v/>
      </c>
      <c r="C1408">
        <f>IF(OR(SwitchUniverse&lt;&gt;"ON",$B1408=""),"",BDP($B1408,"NAME"))</f>
        <v/>
      </c>
      <c r="D1408">
        <f>IF(OR(SwitchUniverse&lt;&gt;"ON",$B1408=""),"",BDP($B1408,"GICS_SECTOR_NAME"))</f>
        <v/>
      </c>
    </row>
    <row r="1409" spans="2:4">
      <c r="B1409">
        <f>IF(TRIM(A1409&amp;"")="","",IF(RIGHT(TRIM(A1409),7)=" Equity",TRIM(A1409),TRIM(A1409)&amp;" Equity"))</f>
        <v/>
      </c>
      <c r="C1409">
        <f>IF(OR(SwitchUniverse&lt;&gt;"ON",$B1409=""),"",BDP($B1409,"NAME"))</f>
        <v/>
      </c>
      <c r="D1409">
        <f>IF(OR(SwitchUniverse&lt;&gt;"ON",$B1409=""),"",BDP($B1409,"GICS_SECTOR_NAME"))</f>
        <v/>
      </c>
    </row>
    <row r="1410" spans="2:4">
      <c r="B1410">
        <f>IF(TRIM(A1410&amp;"")="","",IF(RIGHT(TRIM(A1410),7)=" Equity",TRIM(A1410),TRIM(A1410)&amp;" Equity"))</f>
        <v/>
      </c>
      <c r="C1410">
        <f>IF(OR(SwitchUniverse&lt;&gt;"ON",$B1410=""),"",BDP($B1410,"NAME"))</f>
        <v/>
      </c>
      <c r="D1410">
        <f>IF(OR(SwitchUniverse&lt;&gt;"ON",$B1410=""),"",BDP($B1410,"GICS_SECTOR_NAME"))</f>
        <v/>
      </c>
    </row>
    <row r="1411" spans="2:4">
      <c r="B1411">
        <f>IF(TRIM(A1411&amp;"")="","",IF(RIGHT(TRIM(A1411),7)=" Equity",TRIM(A1411),TRIM(A1411)&amp;" Equity"))</f>
        <v/>
      </c>
      <c r="C1411">
        <f>IF(OR(SwitchUniverse&lt;&gt;"ON",$B1411=""),"",BDP($B1411,"NAME"))</f>
        <v/>
      </c>
      <c r="D1411">
        <f>IF(OR(SwitchUniverse&lt;&gt;"ON",$B1411=""),"",BDP($B1411,"GICS_SECTOR_NAME"))</f>
        <v/>
      </c>
    </row>
    <row r="1412" spans="2:4">
      <c r="B1412">
        <f>IF(TRIM(A1412&amp;"")="","",IF(RIGHT(TRIM(A1412),7)=" Equity",TRIM(A1412),TRIM(A1412)&amp;" Equity"))</f>
        <v/>
      </c>
      <c r="C1412">
        <f>IF(OR(SwitchUniverse&lt;&gt;"ON",$B1412=""),"",BDP($B1412,"NAME"))</f>
        <v/>
      </c>
      <c r="D1412">
        <f>IF(OR(SwitchUniverse&lt;&gt;"ON",$B1412=""),"",BDP($B1412,"GICS_SECTOR_NAME"))</f>
        <v/>
      </c>
    </row>
    <row r="1413" spans="2:4">
      <c r="B1413">
        <f>IF(TRIM(A1413&amp;"")="","",IF(RIGHT(TRIM(A1413),7)=" Equity",TRIM(A1413),TRIM(A1413)&amp;" Equity"))</f>
        <v/>
      </c>
      <c r="C1413">
        <f>IF(OR(SwitchUniverse&lt;&gt;"ON",$B1413=""),"",BDP($B1413,"NAME"))</f>
        <v/>
      </c>
      <c r="D1413">
        <f>IF(OR(SwitchUniverse&lt;&gt;"ON",$B1413=""),"",BDP($B1413,"GICS_SECTOR_NAME"))</f>
        <v/>
      </c>
    </row>
    <row r="1414" spans="2:4">
      <c r="B1414">
        <f>IF(TRIM(A1414&amp;"")="","",IF(RIGHT(TRIM(A1414),7)=" Equity",TRIM(A1414),TRIM(A1414)&amp;" Equity"))</f>
        <v/>
      </c>
      <c r="C1414">
        <f>IF(OR(SwitchUniverse&lt;&gt;"ON",$B1414=""),"",BDP($B1414,"NAME"))</f>
        <v/>
      </c>
      <c r="D1414">
        <f>IF(OR(SwitchUniverse&lt;&gt;"ON",$B1414=""),"",BDP($B1414,"GICS_SECTOR_NAME"))</f>
        <v/>
      </c>
    </row>
    <row r="1415" spans="2:4">
      <c r="B1415">
        <f>IF(TRIM(A1415&amp;"")="","",IF(RIGHT(TRIM(A1415),7)=" Equity",TRIM(A1415),TRIM(A1415)&amp;" Equity"))</f>
        <v/>
      </c>
      <c r="C1415">
        <f>IF(OR(SwitchUniverse&lt;&gt;"ON",$B1415=""),"",BDP($B1415,"NAME"))</f>
        <v/>
      </c>
      <c r="D1415">
        <f>IF(OR(SwitchUniverse&lt;&gt;"ON",$B1415=""),"",BDP($B1415,"GICS_SECTOR_NAME"))</f>
        <v/>
      </c>
    </row>
    <row r="1416" spans="2:4">
      <c r="B1416">
        <f>IF(TRIM(A1416&amp;"")="","",IF(RIGHT(TRIM(A1416),7)=" Equity",TRIM(A1416),TRIM(A1416)&amp;" Equity"))</f>
        <v/>
      </c>
      <c r="C1416">
        <f>IF(OR(SwitchUniverse&lt;&gt;"ON",$B1416=""),"",BDP($B1416,"NAME"))</f>
        <v/>
      </c>
      <c r="D1416">
        <f>IF(OR(SwitchUniverse&lt;&gt;"ON",$B1416=""),"",BDP($B1416,"GICS_SECTOR_NAME"))</f>
        <v/>
      </c>
    </row>
    <row r="1417" spans="2:4">
      <c r="B1417">
        <f>IF(TRIM(A1417&amp;"")="","",IF(RIGHT(TRIM(A1417),7)=" Equity",TRIM(A1417),TRIM(A1417)&amp;" Equity"))</f>
        <v/>
      </c>
      <c r="C1417">
        <f>IF(OR(SwitchUniverse&lt;&gt;"ON",$B1417=""),"",BDP($B1417,"NAME"))</f>
        <v/>
      </c>
      <c r="D1417">
        <f>IF(OR(SwitchUniverse&lt;&gt;"ON",$B1417=""),"",BDP($B1417,"GICS_SECTOR_NAME"))</f>
        <v/>
      </c>
    </row>
    <row r="1418" spans="2:4">
      <c r="B1418">
        <f>IF(TRIM(A1418&amp;"")="","",IF(RIGHT(TRIM(A1418),7)=" Equity",TRIM(A1418),TRIM(A1418)&amp;" Equity"))</f>
        <v/>
      </c>
      <c r="C1418">
        <f>IF(OR(SwitchUniverse&lt;&gt;"ON",$B1418=""),"",BDP($B1418,"NAME"))</f>
        <v/>
      </c>
      <c r="D1418">
        <f>IF(OR(SwitchUniverse&lt;&gt;"ON",$B1418=""),"",BDP($B1418,"GICS_SECTOR_NAME"))</f>
        <v/>
      </c>
    </row>
    <row r="1419" spans="2:4">
      <c r="B1419">
        <f>IF(TRIM(A1419&amp;"")="","",IF(RIGHT(TRIM(A1419),7)=" Equity",TRIM(A1419),TRIM(A1419)&amp;" Equity"))</f>
        <v/>
      </c>
      <c r="C1419">
        <f>IF(OR(SwitchUniverse&lt;&gt;"ON",$B1419=""),"",BDP($B1419,"NAME"))</f>
        <v/>
      </c>
      <c r="D1419">
        <f>IF(OR(SwitchUniverse&lt;&gt;"ON",$B1419=""),"",BDP($B1419,"GICS_SECTOR_NAME"))</f>
        <v/>
      </c>
    </row>
    <row r="1420" spans="2:4">
      <c r="B1420">
        <f>IF(TRIM(A1420&amp;"")="","",IF(RIGHT(TRIM(A1420),7)=" Equity",TRIM(A1420),TRIM(A1420)&amp;" Equity"))</f>
        <v/>
      </c>
      <c r="C1420">
        <f>IF(OR(SwitchUniverse&lt;&gt;"ON",$B1420=""),"",BDP($B1420,"NAME"))</f>
        <v/>
      </c>
      <c r="D1420">
        <f>IF(OR(SwitchUniverse&lt;&gt;"ON",$B1420=""),"",BDP($B1420,"GICS_SECTOR_NAME"))</f>
        <v/>
      </c>
    </row>
    <row r="1421" spans="2:4">
      <c r="B1421">
        <f>IF(TRIM(A1421&amp;"")="","",IF(RIGHT(TRIM(A1421),7)=" Equity",TRIM(A1421),TRIM(A1421)&amp;" Equity"))</f>
        <v/>
      </c>
      <c r="C1421">
        <f>IF(OR(SwitchUniverse&lt;&gt;"ON",$B1421=""),"",BDP($B1421,"NAME"))</f>
        <v/>
      </c>
      <c r="D1421">
        <f>IF(OR(SwitchUniverse&lt;&gt;"ON",$B1421=""),"",BDP($B1421,"GICS_SECTOR_NAME"))</f>
        <v/>
      </c>
    </row>
    <row r="1422" spans="2:4">
      <c r="B1422">
        <f>IF(TRIM(A1422&amp;"")="","",IF(RIGHT(TRIM(A1422),7)=" Equity",TRIM(A1422),TRIM(A1422)&amp;" Equity"))</f>
        <v/>
      </c>
      <c r="C1422">
        <f>IF(OR(SwitchUniverse&lt;&gt;"ON",$B1422=""),"",BDP($B1422,"NAME"))</f>
        <v/>
      </c>
      <c r="D1422">
        <f>IF(OR(SwitchUniverse&lt;&gt;"ON",$B1422=""),"",BDP($B1422,"GICS_SECTOR_NAME"))</f>
        <v/>
      </c>
    </row>
    <row r="1423" spans="2:4">
      <c r="B1423">
        <f>IF(TRIM(A1423&amp;"")="","",IF(RIGHT(TRIM(A1423),7)=" Equity",TRIM(A1423),TRIM(A1423)&amp;" Equity"))</f>
        <v/>
      </c>
      <c r="C1423">
        <f>IF(OR(SwitchUniverse&lt;&gt;"ON",$B1423=""),"",BDP($B1423,"NAME"))</f>
        <v/>
      </c>
      <c r="D1423">
        <f>IF(OR(SwitchUniverse&lt;&gt;"ON",$B1423=""),"",BDP($B1423,"GICS_SECTOR_NAME"))</f>
        <v/>
      </c>
    </row>
    <row r="1424" spans="2:4">
      <c r="B1424">
        <f>IF(TRIM(A1424&amp;"")="","",IF(RIGHT(TRIM(A1424),7)=" Equity",TRIM(A1424),TRIM(A1424)&amp;" Equity"))</f>
        <v/>
      </c>
      <c r="C1424">
        <f>IF(OR(SwitchUniverse&lt;&gt;"ON",$B1424=""),"",BDP($B1424,"NAME"))</f>
        <v/>
      </c>
      <c r="D1424">
        <f>IF(OR(SwitchUniverse&lt;&gt;"ON",$B1424=""),"",BDP($B1424,"GICS_SECTOR_NAME"))</f>
        <v/>
      </c>
    </row>
    <row r="1425" spans="2:4">
      <c r="B1425">
        <f>IF(TRIM(A1425&amp;"")="","",IF(RIGHT(TRIM(A1425),7)=" Equity",TRIM(A1425),TRIM(A1425)&amp;" Equity"))</f>
        <v/>
      </c>
      <c r="C1425">
        <f>IF(OR(SwitchUniverse&lt;&gt;"ON",$B1425=""),"",BDP($B1425,"NAME"))</f>
        <v/>
      </c>
      <c r="D1425">
        <f>IF(OR(SwitchUniverse&lt;&gt;"ON",$B1425=""),"",BDP($B1425,"GICS_SECTOR_NAME"))</f>
        <v/>
      </c>
    </row>
    <row r="1426" spans="2:4">
      <c r="B1426">
        <f>IF(TRIM(A1426&amp;"")="","",IF(RIGHT(TRIM(A1426),7)=" Equity",TRIM(A1426),TRIM(A1426)&amp;" Equity"))</f>
        <v/>
      </c>
      <c r="C1426">
        <f>IF(OR(SwitchUniverse&lt;&gt;"ON",$B1426=""),"",BDP($B1426,"NAME"))</f>
        <v/>
      </c>
      <c r="D1426">
        <f>IF(OR(SwitchUniverse&lt;&gt;"ON",$B1426=""),"",BDP($B1426,"GICS_SECTOR_NAME"))</f>
        <v/>
      </c>
    </row>
    <row r="1427" spans="2:4">
      <c r="B1427">
        <f>IF(TRIM(A1427&amp;"")="","",IF(RIGHT(TRIM(A1427),7)=" Equity",TRIM(A1427),TRIM(A1427)&amp;" Equity"))</f>
        <v/>
      </c>
      <c r="C1427">
        <f>IF(OR(SwitchUniverse&lt;&gt;"ON",$B1427=""),"",BDP($B1427,"NAME"))</f>
        <v/>
      </c>
      <c r="D1427">
        <f>IF(OR(SwitchUniverse&lt;&gt;"ON",$B1427=""),"",BDP($B1427,"GICS_SECTOR_NAME"))</f>
        <v/>
      </c>
    </row>
    <row r="1428" spans="2:4">
      <c r="B1428">
        <f>IF(TRIM(A1428&amp;"")="","",IF(RIGHT(TRIM(A1428),7)=" Equity",TRIM(A1428),TRIM(A1428)&amp;" Equity"))</f>
        <v/>
      </c>
      <c r="C1428">
        <f>IF(OR(SwitchUniverse&lt;&gt;"ON",$B1428=""),"",BDP($B1428,"NAME"))</f>
        <v/>
      </c>
      <c r="D1428">
        <f>IF(OR(SwitchUniverse&lt;&gt;"ON",$B1428=""),"",BDP($B1428,"GICS_SECTOR_NAME"))</f>
        <v/>
      </c>
    </row>
    <row r="1429" spans="2:4">
      <c r="B1429">
        <f>IF(TRIM(A1429&amp;"")="","",IF(RIGHT(TRIM(A1429),7)=" Equity",TRIM(A1429),TRIM(A1429)&amp;" Equity"))</f>
        <v/>
      </c>
      <c r="C1429">
        <f>IF(OR(SwitchUniverse&lt;&gt;"ON",$B1429=""),"",BDP($B1429,"NAME"))</f>
        <v/>
      </c>
      <c r="D1429">
        <f>IF(OR(SwitchUniverse&lt;&gt;"ON",$B1429=""),"",BDP($B1429,"GICS_SECTOR_NAME"))</f>
        <v/>
      </c>
    </row>
    <row r="1430" spans="2:4">
      <c r="B1430">
        <f>IF(TRIM(A1430&amp;"")="","",IF(RIGHT(TRIM(A1430),7)=" Equity",TRIM(A1430),TRIM(A1430)&amp;" Equity"))</f>
        <v/>
      </c>
      <c r="C1430">
        <f>IF(OR(SwitchUniverse&lt;&gt;"ON",$B1430=""),"",BDP($B1430,"NAME"))</f>
        <v/>
      </c>
      <c r="D1430">
        <f>IF(OR(SwitchUniverse&lt;&gt;"ON",$B1430=""),"",BDP($B1430,"GICS_SECTOR_NAME"))</f>
        <v/>
      </c>
    </row>
    <row r="1431" spans="2:4">
      <c r="B1431">
        <f>IF(TRIM(A1431&amp;"")="","",IF(RIGHT(TRIM(A1431),7)=" Equity",TRIM(A1431),TRIM(A1431)&amp;" Equity"))</f>
        <v/>
      </c>
      <c r="C1431">
        <f>IF(OR(SwitchUniverse&lt;&gt;"ON",$B1431=""),"",BDP($B1431,"NAME"))</f>
        <v/>
      </c>
      <c r="D1431">
        <f>IF(OR(SwitchUniverse&lt;&gt;"ON",$B1431=""),"",BDP($B1431,"GICS_SECTOR_NAME"))</f>
        <v/>
      </c>
    </row>
    <row r="1432" spans="2:4">
      <c r="B1432">
        <f>IF(TRIM(A1432&amp;"")="","",IF(RIGHT(TRIM(A1432),7)=" Equity",TRIM(A1432),TRIM(A1432)&amp;" Equity"))</f>
        <v/>
      </c>
      <c r="C1432">
        <f>IF(OR(SwitchUniverse&lt;&gt;"ON",$B1432=""),"",BDP($B1432,"NAME"))</f>
        <v/>
      </c>
      <c r="D1432">
        <f>IF(OR(SwitchUniverse&lt;&gt;"ON",$B1432=""),"",BDP($B1432,"GICS_SECTOR_NAME"))</f>
        <v/>
      </c>
    </row>
    <row r="1433" spans="2:4">
      <c r="B1433">
        <f>IF(TRIM(A1433&amp;"")="","",IF(RIGHT(TRIM(A1433),7)=" Equity",TRIM(A1433),TRIM(A1433)&amp;" Equity"))</f>
        <v/>
      </c>
      <c r="C1433">
        <f>IF(OR(SwitchUniverse&lt;&gt;"ON",$B1433=""),"",BDP($B1433,"NAME"))</f>
        <v/>
      </c>
      <c r="D1433">
        <f>IF(OR(SwitchUniverse&lt;&gt;"ON",$B1433=""),"",BDP($B1433,"GICS_SECTOR_NAME"))</f>
        <v/>
      </c>
    </row>
    <row r="1434" spans="2:4">
      <c r="B1434">
        <f>IF(TRIM(A1434&amp;"")="","",IF(RIGHT(TRIM(A1434),7)=" Equity",TRIM(A1434),TRIM(A1434)&amp;" Equity"))</f>
        <v/>
      </c>
      <c r="C1434">
        <f>IF(OR(SwitchUniverse&lt;&gt;"ON",$B1434=""),"",BDP($B1434,"NAME"))</f>
        <v/>
      </c>
      <c r="D1434">
        <f>IF(OR(SwitchUniverse&lt;&gt;"ON",$B1434=""),"",BDP($B1434,"GICS_SECTOR_NAME"))</f>
        <v/>
      </c>
    </row>
    <row r="1435" spans="2:4">
      <c r="B1435">
        <f>IF(TRIM(A1435&amp;"")="","",IF(RIGHT(TRIM(A1435),7)=" Equity",TRIM(A1435),TRIM(A1435)&amp;" Equity"))</f>
        <v/>
      </c>
      <c r="C1435">
        <f>IF(OR(SwitchUniverse&lt;&gt;"ON",$B1435=""),"",BDP($B1435,"NAME"))</f>
        <v/>
      </c>
      <c r="D1435">
        <f>IF(OR(SwitchUniverse&lt;&gt;"ON",$B1435=""),"",BDP($B1435,"GICS_SECTOR_NAME"))</f>
        <v/>
      </c>
    </row>
    <row r="1436" spans="2:4">
      <c r="B1436">
        <f>IF(TRIM(A1436&amp;"")="","",IF(RIGHT(TRIM(A1436),7)=" Equity",TRIM(A1436),TRIM(A1436)&amp;" Equity"))</f>
        <v/>
      </c>
      <c r="C1436">
        <f>IF(OR(SwitchUniverse&lt;&gt;"ON",$B1436=""),"",BDP($B1436,"NAME"))</f>
        <v/>
      </c>
      <c r="D1436">
        <f>IF(OR(SwitchUniverse&lt;&gt;"ON",$B1436=""),"",BDP($B1436,"GICS_SECTOR_NAME"))</f>
        <v/>
      </c>
    </row>
    <row r="1437" spans="2:4">
      <c r="B1437">
        <f>IF(TRIM(A1437&amp;"")="","",IF(RIGHT(TRIM(A1437),7)=" Equity",TRIM(A1437),TRIM(A1437)&amp;" Equity"))</f>
        <v/>
      </c>
      <c r="C1437">
        <f>IF(OR(SwitchUniverse&lt;&gt;"ON",$B1437=""),"",BDP($B1437,"NAME"))</f>
        <v/>
      </c>
      <c r="D1437">
        <f>IF(OR(SwitchUniverse&lt;&gt;"ON",$B1437=""),"",BDP($B1437,"GICS_SECTOR_NAME"))</f>
        <v/>
      </c>
    </row>
    <row r="1438" spans="2:4">
      <c r="B1438">
        <f>IF(TRIM(A1438&amp;"")="","",IF(RIGHT(TRIM(A1438),7)=" Equity",TRIM(A1438),TRIM(A1438)&amp;" Equity"))</f>
        <v/>
      </c>
      <c r="C1438">
        <f>IF(OR(SwitchUniverse&lt;&gt;"ON",$B1438=""),"",BDP($B1438,"NAME"))</f>
        <v/>
      </c>
      <c r="D1438">
        <f>IF(OR(SwitchUniverse&lt;&gt;"ON",$B1438=""),"",BDP($B1438,"GICS_SECTOR_NAME"))</f>
        <v/>
      </c>
    </row>
    <row r="1439" spans="2:4">
      <c r="B1439">
        <f>IF(TRIM(A1439&amp;"")="","",IF(RIGHT(TRIM(A1439),7)=" Equity",TRIM(A1439),TRIM(A1439)&amp;" Equity"))</f>
        <v/>
      </c>
      <c r="C1439">
        <f>IF(OR(SwitchUniverse&lt;&gt;"ON",$B1439=""),"",BDP($B1439,"NAME"))</f>
        <v/>
      </c>
      <c r="D1439">
        <f>IF(OR(SwitchUniverse&lt;&gt;"ON",$B1439=""),"",BDP($B1439,"GICS_SECTOR_NAME"))</f>
        <v/>
      </c>
    </row>
    <row r="1440" spans="2:4">
      <c r="B1440">
        <f>IF(TRIM(A1440&amp;"")="","",IF(RIGHT(TRIM(A1440),7)=" Equity",TRIM(A1440),TRIM(A1440)&amp;" Equity"))</f>
        <v/>
      </c>
      <c r="C1440">
        <f>IF(OR(SwitchUniverse&lt;&gt;"ON",$B1440=""),"",BDP($B1440,"NAME"))</f>
        <v/>
      </c>
      <c r="D1440">
        <f>IF(OR(SwitchUniverse&lt;&gt;"ON",$B1440=""),"",BDP($B1440,"GICS_SECTOR_NAME"))</f>
        <v/>
      </c>
    </row>
    <row r="1441" spans="2:4">
      <c r="B1441">
        <f>IF(TRIM(A1441&amp;"")="","",IF(RIGHT(TRIM(A1441),7)=" Equity",TRIM(A1441),TRIM(A1441)&amp;" Equity"))</f>
        <v/>
      </c>
      <c r="C1441">
        <f>IF(OR(SwitchUniverse&lt;&gt;"ON",$B1441=""),"",BDP($B1441,"NAME"))</f>
        <v/>
      </c>
      <c r="D1441">
        <f>IF(OR(SwitchUniverse&lt;&gt;"ON",$B1441=""),"",BDP($B1441,"GICS_SECTOR_NAME"))</f>
        <v/>
      </c>
    </row>
    <row r="1442" spans="2:4">
      <c r="B1442">
        <f>IF(TRIM(A1442&amp;"")="","",IF(RIGHT(TRIM(A1442),7)=" Equity",TRIM(A1442),TRIM(A1442)&amp;" Equity"))</f>
        <v/>
      </c>
      <c r="C1442">
        <f>IF(OR(SwitchUniverse&lt;&gt;"ON",$B1442=""),"",BDP($B1442,"NAME"))</f>
        <v/>
      </c>
      <c r="D1442">
        <f>IF(OR(SwitchUniverse&lt;&gt;"ON",$B1442=""),"",BDP($B1442,"GICS_SECTOR_NAME"))</f>
        <v/>
      </c>
    </row>
    <row r="1443" spans="2:4">
      <c r="B1443">
        <f>IF(TRIM(A1443&amp;"")="","",IF(RIGHT(TRIM(A1443),7)=" Equity",TRIM(A1443),TRIM(A1443)&amp;" Equity"))</f>
        <v/>
      </c>
      <c r="C1443">
        <f>IF(OR(SwitchUniverse&lt;&gt;"ON",$B1443=""),"",BDP($B1443,"NAME"))</f>
        <v/>
      </c>
      <c r="D1443">
        <f>IF(OR(SwitchUniverse&lt;&gt;"ON",$B1443=""),"",BDP($B1443,"GICS_SECTOR_NAME"))</f>
        <v/>
      </c>
    </row>
    <row r="1444" spans="2:4">
      <c r="B1444">
        <f>IF(TRIM(A1444&amp;"")="","",IF(RIGHT(TRIM(A1444),7)=" Equity",TRIM(A1444),TRIM(A1444)&amp;" Equity"))</f>
        <v/>
      </c>
      <c r="C1444">
        <f>IF(OR(SwitchUniverse&lt;&gt;"ON",$B1444=""),"",BDP($B1444,"NAME"))</f>
        <v/>
      </c>
      <c r="D1444">
        <f>IF(OR(SwitchUniverse&lt;&gt;"ON",$B1444=""),"",BDP($B1444,"GICS_SECTOR_NAME"))</f>
        <v/>
      </c>
    </row>
    <row r="1445" spans="2:4">
      <c r="B1445">
        <f>IF(TRIM(A1445&amp;"")="","",IF(RIGHT(TRIM(A1445),7)=" Equity",TRIM(A1445),TRIM(A1445)&amp;" Equity"))</f>
        <v/>
      </c>
      <c r="C1445">
        <f>IF(OR(SwitchUniverse&lt;&gt;"ON",$B1445=""),"",BDP($B1445,"NAME"))</f>
        <v/>
      </c>
      <c r="D1445">
        <f>IF(OR(SwitchUniverse&lt;&gt;"ON",$B1445=""),"",BDP($B1445,"GICS_SECTOR_NAME"))</f>
        <v/>
      </c>
    </row>
    <row r="1446" spans="2:4">
      <c r="B1446">
        <f>IF(TRIM(A1446&amp;"")="","",IF(RIGHT(TRIM(A1446),7)=" Equity",TRIM(A1446),TRIM(A1446)&amp;" Equity"))</f>
        <v/>
      </c>
      <c r="C1446">
        <f>IF(OR(SwitchUniverse&lt;&gt;"ON",$B1446=""),"",BDP($B1446,"NAME"))</f>
        <v/>
      </c>
      <c r="D1446">
        <f>IF(OR(SwitchUniverse&lt;&gt;"ON",$B1446=""),"",BDP($B1446,"GICS_SECTOR_NAME"))</f>
        <v/>
      </c>
    </row>
    <row r="1447" spans="2:4">
      <c r="B1447">
        <f>IF(TRIM(A1447&amp;"")="","",IF(RIGHT(TRIM(A1447),7)=" Equity",TRIM(A1447),TRIM(A1447)&amp;" Equity"))</f>
        <v/>
      </c>
      <c r="C1447">
        <f>IF(OR(SwitchUniverse&lt;&gt;"ON",$B1447=""),"",BDP($B1447,"NAME"))</f>
        <v/>
      </c>
      <c r="D1447">
        <f>IF(OR(SwitchUniverse&lt;&gt;"ON",$B1447=""),"",BDP($B1447,"GICS_SECTOR_NAME"))</f>
        <v/>
      </c>
    </row>
    <row r="1448" spans="2:4">
      <c r="B1448">
        <f>IF(TRIM(A1448&amp;"")="","",IF(RIGHT(TRIM(A1448),7)=" Equity",TRIM(A1448),TRIM(A1448)&amp;" Equity"))</f>
        <v/>
      </c>
      <c r="C1448">
        <f>IF(OR(SwitchUniverse&lt;&gt;"ON",$B1448=""),"",BDP($B1448,"NAME"))</f>
        <v/>
      </c>
      <c r="D1448">
        <f>IF(OR(SwitchUniverse&lt;&gt;"ON",$B1448=""),"",BDP($B1448,"GICS_SECTOR_NAME"))</f>
        <v/>
      </c>
    </row>
    <row r="1449" spans="2:4">
      <c r="B1449">
        <f>IF(TRIM(A1449&amp;"")="","",IF(RIGHT(TRIM(A1449),7)=" Equity",TRIM(A1449),TRIM(A1449)&amp;" Equity"))</f>
        <v/>
      </c>
      <c r="C1449">
        <f>IF(OR(SwitchUniverse&lt;&gt;"ON",$B1449=""),"",BDP($B1449,"NAME"))</f>
        <v/>
      </c>
      <c r="D1449">
        <f>IF(OR(SwitchUniverse&lt;&gt;"ON",$B1449=""),"",BDP($B1449,"GICS_SECTOR_NAME"))</f>
        <v/>
      </c>
    </row>
    <row r="1450" spans="2:4">
      <c r="B1450">
        <f>IF(TRIM(A1450&amp;"")="","",IF(RIGHT(TRIM(A1450),7)=" Equity",TRIM(A1450),TRIM(A1450)&amp;" Equity"))</f>
        <v/>
      </c>
      <c r="C1450">
        <f>IF(OR(SwitchUniverse&lt;&gt;"ON",$B1450=""),"",BDP($B1450,"NAME"))</f>
        <v/>
      </c>
      <c r="D1450">
        <f>IF(OR(SwitchUniverse&lt;&gt;"ON",$B1450=""),"",BDP($B1450,"GICS_SECTOR_NAME"))</f>
        <v/>
      </c>
    </row>
    <row r="1451" spans="2:4">
      <c r="B1451">
        <f>IF(TRIM(A1451&amp;"")="","",IF(RIGHT(TRIM(A1451),7)=" Equity",TRIM(A1451),TRIM(A1451)&amp;" Equity"))</f>
        <v/>
      </c>
      <c r="C1451">
        <f>IF(OR(SwitchUniverse&lt;&gt;"ON",$B1451=""),"",BDP($B1451,"NAME"))</f>
        <v/>
      </c>
      <c r="D1451">
        <f>IF(OR(SwitchUniverse&lt;&gt;"ON",$B1451=""),"",BDP($B1451,"GICS_SECTOR_NAME"))</f>
        <v/>
      </c>
    </row>
    <row r="1452" spans="2:4">
      <c r="B1452">
        <f>IF(TRIM(A1452&amp;"")="","",IF(RIGHT(TRIM(A1452),7)=" Equity",TRIM(A1452),TRIM(A1452)&amp;" Equity"))</f>
        <v/>
      </c>
      <c r="C1452">
        <f>IF(OR(SwitchUniverse&lt;&gt;"ON",$B1452=""),"",BDP($B1452,"NAME"))</f>
        <v/>
      </c>
      <c r="D1452">
        <f>IF(OR(SwitchUniverse&lt;&gt;"ON",$B1452=""),"",BDP($B1452,"GICS_SECTOR_NAME"))</f>
        <v/>
      </c>
    </row>
    <row r="1453" spans="2:4">
      <c r="B1453">
        <f>IF(TRIM(A1453&amp;"")="","",IF(RIGHT(TRIM(A1453),7)=" Equity",TRIM(A1453),TRIM(A1453)&amp;" Equity"))</f>
        <v/>
      </c>
      <c r="C1453">
        <f>IF(OR(SwitchUniverse&lt;&gt;"ON",$B1453=""),"",BDP($B1453,"NAME"))</f>
        <v/>
      </c>
      <c r="D1453">
        <f>IF(OR(SwitchUniverse&lt;&gt;"ON",$B1453=""),"",BDP($B1453,"GICS_SECTOR_NAME"))</f>
        <v/>
      </c>
    </row>
    <row r="1454" spans="2:4">
      <c r="B1454">
        <f>IF(TRIM(A1454&amp;"")="","",IF(RIGHT(TRIM(A1454),7)=" Equity",TRIM(A1454),TRIM(A1454)&amp;" Equity"))</f>
        <v/>
      </c>
      <c r="C1454">
        <f>IF(OR(SwitchUniverse&lt;&gt;"ON",$B1454=""),"",BDP($B1454,"NAME"))</f>
        <v/>
      </c>
      <c r="D1454">
        <f>IF(OR(SwitchUniverse&lt;&gt;"ON",$B1454=""),"",BDP($B1454,"GICS_SECTOR_NAME"))</f>
        <v/>
      </c>
    </row>
    <row r="1455" spans="2:4">
      <c r="B1455">
        <f>IF(TRIM(A1455&amp;"")="","",IF(RIGHT(TRIM(A1455),7)=" Equity",TRIM(A1455),TRIM(A1455)&amp;" Equity"))</f>
        <v/>
      </c>
      <c r="C1455">
        <f>IF(OR(SwitchUniverse&lt;&gt;"ON",$B1455=""),"",BDP($B1455,"NAME"))</f>
        <v/>
      </c>
      <c r="D1455">
        <f>IF(OR(SwitchUniverse&lt;&gt;"ON",$B1455=""),"",BDP($B1455,"GICS_SECTOR_NAME"))</f>
        <v/>
      </c>
    </row>
    <row r="1456" spans="2:4">
      <c r="B1456">
        <f>IF(TRIM(A1456&amp;"")="","",IF(RIGHT(TRIM(A1456),7)=" Equity",TRIM(A1456),TRIM(A1456)&amp;" Equity"))</f>
        <v/>
      </c>
      <c r="C1456">
        <f>IF(OR(SwitchUniverse&lt;&gt;"ON",$B1456=""),"",BDP($B1456,"NAME"))</f>
        <v/>
      </c>
      <c r="D1456">
        <f>IF(OR(SwitchUniverse&lt;&gt;"ON",$B1456=""),"",BDP($B1456,"GICS_SECTOR_NAME"))</f>
        <v/>
      </c>
    </row>
    <row r="1457" spans="2:4">
      <c r="B1457">
        <f>IF(TRIM(A1457&amp;"")="","",IF(RIGHT(TRIM(A1457),7)=" Equity",TRIM(A1457),TRIM(A1457)&amp;" Equity"))</f>
        <v/>
      </c>
      <c r="C1457">
        <f>IF(OR(SwitchUniverse&lt;&gt;"ON",$B1457=""),"",BDP($B1457,"NAME"))</f>
        <v/>
      </c>
      <c r="D1457">
        <f>IF(OR(SwitchUniverse&lt;&gt;"ON",$B1457=""),"",BDP($B1457,"GICS_SECTOR_NAME"))</f>
        <v/>
      </c>
    </row>
    <row r="1458" spans="2:4">
      <c r="B1458">
        <f>IF(TRIM(A1458&amp;"")="","",IF(RIGHT(TRIM(A1458),7)=" Equity",TRIM(A1458),TRIM(A1458)&amp;" Equity"))</f>
        <v/>
      </c>
      <c r="C1458">
        <f>IF(OR(SwitchUniverse&lt;&gt;"ON",$B1458=""),"",BDP($B1458,"NAME"))</f>
        <v/>
      </c>
      <c r="D1458">
        <f>IF(OR(SwitchUniverse&lt;&gt;"ON",$B1458=""),"",BDP($B1458,"GICS_SECTOR_NAME"))</f>
        <v/>
      </c>
    </row>
    <row r="1459" spans="2:4">
      <c r="B1459">
        <f>IF(TRIM(A1459&amp;"")="","",IF(RIGHT(TRIM(A1459),7)=" Equity",TRIM(A1459),TRIM(A1459)&amp;" Equity"))</f>
        <v/>
      </c>
      <c r="C1459">
        <f>IF(OR(SwitchUniverse&lt;&gt;"ON",$B1459=""),"",BDP($B1459,"NAME"))</f>
        <v/>
      </c>
      <c r="D1459">
        <f>IF(OR(SwitchUniverse&lt;&gt;"ON",$B1459=""),"",BDP($B1459,"GICS_SECTOR_NAME"))</f>
        <v/>
      </c>
    </row>
    <row r="1460" spans="2:4">
      <c r="B1460">
        <f>IF(TRIM(A1460&amp;"")="","",IF(RIGHT(TRIM(A1460),7)=" Equity",TRIM(A1460),TRIM(A1460)&amp;" Equity"))</f>
        <v/>
      </c>
      <c r="C1460">
        <f>IF(OR(SwitchUniverse&lt;&gt;"ON",$B1460=""),"",BDP($B1460,"NAME"))</f>
        <v/>
      </c>
      <c r="D1460">
        <f>IF(OR(SwitchUniverse&lt;&gt;"ON",$B1460=""),"",BDP($B1460,"GICS_SECTOR_NAME"))</f>
        <v/>
      </c>
    </row>
    <row r="1461" spans="2:4">
      <c r="B1461">
        <f>IF(TRIM(A1461&amp;"")="","",IF(RIGHT(TRIM(A1461),7)=" Equity",TRIM(A1461),TRIM(A1461)&amp;" Equity"))</f>
        <v/>
      </c>
      <c r="C1461">
        <f>IF(OR(SwitchUniverse&lt;&gt;"ON",$B1461=""),"",BDP($B1461,"NAME"))</f>
        <v/>
      </c>
      <c r="D1461">
        <f>IF(OR(SwitchUniverse&lt;&gt;"ON",$B1461=""),"",BDP($B1461,"GICS_SECTOR_NAME"))</f>
        <v/>
      </c>
    </row>
    <row r="1462" spans="2:4">
      <c r="B1462">
        <f>IF(TRIM(A1462&amp;"")="","",IF(RIGHT(TRIM(A1462),7)=" Equity",TRIM(A1462),TRIM(A1462)&amp;" Equity"))</f>
        <v/>
      </c>
      <c r="C1462">
        <f>IF(OR(SwitchUniverse&lt;&gt;"ON",$B1462=""),"",BDP($B1462,"NAME"))</f>
        <v/>
      </c>
      <c r="D1462">
        <f>IF(OR(SwitchUniverse&lt;&gt;"ON",$B1462=""),"",BDP($B1462,"GICS_SECTOR_NAME"))</f>
        <v/>
      </c>
    </row>
    <row r="1463" spans="2:4">
      <c r="B1463">
        <f>IF(TRIM(A1463&amp;"")="","",IF(RIGHT(TRIM(A1463),7)=" Equity",TRIM(A1463),TRIM(A1463)&amp;" Equity"))</f>
        <v/>
      </c>
      <c r="C1463">
        <f>IF(OR(SwitchUniverse&lt;&gt;"ON",$B1463=""),"",BDP($B1463,"NAME"))</f>
        <v/>
      </c>
      <c r="D1463">
        <f>IF(OR(SwitchUniverse&lt;&gt;"ON",$B1463=""),"",BDP($B1463,"GICS_SECTOR_NAME"))</f>
        <v/>
      </c>
    </row>
    <row r="1464" spans="2:4">
      <c r="B1464">
        <f>IF(TRIM(A1464&amp;"")="","",IF(RIGHT(TRIM(A1464),7)=" Equity",TRIM(A1464),TRIM(A1464)&amp;" Equity"))</f>
        <v/>
      </c>
      <c r="C1464">
        <f>IF(OR(SwitchUniverse&lt;&gt;"ON",$B1464=""),"",BDP($B1464,"NAME"))</f>
        <v/>
      </c>
      <c r="D1464">
        <f>IF(OR(SwitchUniverse&lt;&gt;"ON",$B1464=""),"",BDP($B1464,"GICS_SECTOR_NAME"))</f>
        <v/>
      </c>
    </row>
    <row r="1465" spans="2:4">
      <c r="B1465">
        <f>IF(TRIM(A1465&amp;"")="","",IF(RIGHT(TRIM(A1465),7)=" Equity",TRIM(A1465),TRIM(A1465)&amp;" Equity"))</f>
        <v/>
      </c>
      <c r="C1465">
        <f>IF(OR(SwitchUniverse&lt;&gt;"ON",$B1465=""),"",BDP($B1465,"NAME"))</f>
        <v/>
      </c>
      <c r="D1465">
        <f>IF(OR(SwitchUniverse&lt;&gt;"ON",$B1465=""),"",BDP($B1465,"GICS_SECTOR_NAME"))</f>
        <v/>
      </c>
    </row>
    <row r="1466" spans="2:4">
      <c r="B1466">
        <f>IF(TRIM(A1466&amp;"")="","",IF(RIGHT(TRIM(A1466),7)=" Equity",TRIM(A1466),TRIM(A1466)&amp;" Equity"))</f>
        <v/>
      </c>
      <c r="C1466">
        <f>IF(OR(SwitchUniverse&lt;&gt;"ON",$B1466=""),"",BDP($B1466,"NAME"))</f>
        <v/>
      </c>
      <c r="D1466">
        <f>IF(OR(SwitchUniverse&lt;&gt;"ON",$B1466=""),"",BDP($B1466,"GICS_SECTOR_NAME"))</f>
        <v/>
      </c>
    </row>
    <row r="1467" spans="2:4">
      <c r="B1467">
        <f>IF(TRIM(A1467&amp;"")="","",IF(RIGHT(TRIM(A1467),7)=" Equity",TRIM(A1467),TRIM(A1467)&amp;" Equity"))</f>
        <v/>
      </c>
      <c r="C1467">
        <f>IF(OR(SwitchUniverse&lt;&gt;"ON",$B1467=""),"",BDP($B1467,"NAME"))</f>
        <v/>
      </c>
      <c r="D1467">
        <f>IF(OR(SwitchUniverse&lt;&gt;"ON",$B1467=""),"",BDP($B1467,"GICS_SECTOR_NAME"))</f>
        <v/>
      </c>
    </row>
    <row r="1468" spans="2:4">
      <c r="B1468">
        <f>IF(TRIM(A1468&amp;"")="","",IF(RIGHT(TRIM(A1468),7)=" Equity",TRIM(A1468),TRIM(A1468)&amp;" Equity"))</f>
        <v/>
      </c>
      <c r="C1468">
        <f>IF(OR(SwitchUniverse&lt;&gt;"ON",$B1468=""),"",BDP($B1468,"NAME"))</f>
        <v/>
      </c>
      <c r="D1468">
        <f>IF(OR(SwitchUniverse&lt;&gt;"ON",$B1468=""),"",BDP($B1468,"GICS_SECTOR_NAME"))</f>
        <v/>
      </c>
    </row>
    <row r="1469" spans="2:4">
      <c r="B1469">
        <f>IF(TRIM(A1469&amp;"")="","",IF(RIGHT(TRIM(A1469),7)=" Equity",TRIM(A1469),TRIM(A1469)&amp;" Equity"))</f>
        <v/>
      </c>
      <c r="C1469">
        <f>IF(OR(SwitchUniverse&lt;&gt;"ON",$B1469=""),"",BDP($B1469,"NAME"))</f>
        <v/>
      </c>
      <c r="D1469">
        <f>IF(OR(SwitchUniverse&lt;&gt;"ON",$B1469=""),"",BDP($B1469,"GICS_SECTOR_NAME"))</f>
        <v/>
      </c>
    </row>
    <row r="1470" spans="2:4">
      <c r="B1470">
        <f>IF(TRIM(A1470&amp;"")="","",IF(RIGHT(TRIM(A1470),7)=" Equity",TRIM(A1470),TRIM(A1470)&amp;" Equity"))</f>
        <v/>
      </c>
      <c r="C1470">
        <f>IF(OR(SwitchUniverse&lt;&gt;"ON",$B1470=""),"",BDP($B1470,"NAME"))</f>
        <v/>
      </c>
      <c r="D1470">
        <f>IF(OR(SwitchUniverse&lt;&gt;"ON",$B1470=""),"",BDP($B1470,"GICS_SECTOR_NAME"))</f>
        <v/>
      </c>
    </row>
    <row r="1471" spans="2:4">
      <c r="B1471">
        <f>IF(TRIM(A1471&amp;"")="","",IF(RIGHT(TRIM(A1471),7)=" Equity",TRIM(A1471),TRIM(A1471)&amp;" Equity"))</f>
        <v/>
      </c>
      <c r="C1471">
        <f>IF(OR(SwitchUniverse&lt;&gt;"ON",$B1471=""),"",BDP($B1471,"NAME"))</f>
        <v/>
      </c>
      <c r="D1471">
        <f>IF(OR(SwitchUniverse&lt;&gt;"ON",$B1471=""),"",BDP($B1471,"GICS_SECTOR_NAME"))</f>
        <v/>
      </c>
    </row>
    <row r="1472" spans="2:4">
      <c r="B1472">
        <f>IF(TRIM(A1472&amp;"")="","",IF(RIGHT(TRIM(A1472),7)=" Equity",TRIM(A1472),TRIM(A1472)&amp;" Equity"))</f>
        <v/>
      </c>
      <c r="C1472">
        <f>IF(OR(SwitchUniverse&lt;&gt;"ON",$B1472=""),"",BDP($B1472,"NAME"))</f>
        <v/>
      </c>
      <c r="D1472">
        <f>IF(OR(SwitchUniverse&lt;&gt;"ON",$B1472=""),"",BDP($B1472,"GICS_SECTOR_NAME"))</f>
        <v/>
      </c>
    </row>
    <row r="1473" spans="2:4">
      <c r="B1473">
        <f>IF(TRIM(A1473&amp;"")="","",IF(RIGHT(TRIM(A1473),7)=" Equity",TRIM(A1473),TRIM(A1473)&amp;" Equity"))</f>
        <v/>
      </c>
      <c r="C1473">
        <f>IF(OR(SwitchUniverse&lt;&gt;"ON",$B1473=""),"",BDP($B1473,"NAME"))</f>
        <v/>
      </c>
      <c r="D1473">
        <f>IF(OR(SwitchUniverse&lt;&gt;"ON",$B1473=""),"",BDP($B1473,"GICS_SECTOR_NAME"))</f>
        <v/>
      </c>
    </row>
    <row r="1474" spans="2:4">
      <c r="B1474">
        <f>IF(TRIM(A1474&amp;"")="","",IF(RIGHT(TRIM(A1474),7)=" Equity",TRIM(A1474),TRIM(A1474)&amp;" Equity"))</f>
        <v/>
      </c>
      <c r="C1474">
        <f>IF(OR(SwitchUniverse&lt;&gt;"ON",$B1474=""),"",BDP($B1474,"NAME"))</f>
        <v/>
      </c>
      <c r="D1474">
        <f>IF(OR(SwitchUniverse&lt;&gt;"ON",$B1474=""),"",BDP($B1474,"GICS_SECTOR_NAME"))</f>
        <v/>
      </c>
    </row>
    <row r="1475" spans="2:4">
      <c r="B1475">
        <f>IF(TRIM(A1475&amp;"")="","",IF(RIGHT(TRIM(A1475),7)=" Equity",TRIM(A1475),TRIM(A1475)&amp;" Equity"))</f>
        <v/>
      </c>
      <c r="C1475">
        <f>IF(OR(SwitchUniverse&lt;&gt;"ON",$B1475=""),"",BDP($B1475,"NAME"))</f>
        <v/>
      </c>
      <c r="D1475">
        <f>IF(OR(SwitchUniverse&lt;&gt;"ON",$B1475=""),"",BDP($B1475,"GICS_SECTOR_NAME"))</f>
        <v/>
      </c>
    </row>
    <row r="1476" spans="2:4">
      <c r="B1476">
        <f>IF(TRIM(A1476&amp;"")="","",IF(RIGHT(TRIM(A1476),7)=" Equity",TRIM(A1476),TRIM(A1476)&amp;" Equity"))</f>
        <v/>
      </c>
      <c r="C1476">
        <f>IF(OR(SwitchUniverse&lt;&gt;"ON",$B1476=""),"",BDP($B1476,"NAME"))</f>
        <v/>
      </c>
      <c r="D1476">
        <f>IF(OR(SwitchUniverse&lt;&gt;"ON",$B1476=""),"",BDP($B1476,"GICS_SECTOR_NAME"))</f>
        <v/>
      </c>
    </row>
    <row r="1477" spans="2:4">
      <c r="B1477">
        <f>IF(TRIM(A1477&amp;"")="","",IF(RIGHT(TRIM(A1477),7)=" Equity",TRIM(A1477),TRIM(A1477)&amp;" Equity"))</f>
        <v/>
      </c>
      <c r="C1477">
        <f>IF(OR(SwitchUniverse&lt;&gt;"ON",$B1477=""),"",BDP($B1477,"NAME"))</f>
        <v/>
      </c>
      <c r="D1477">
        <f>IF(OR(SwitchUniverse&lt;&gt;"ON",$B1477=""),"",BDP($B1477,"GICS_SECTOR_NAME"))</f>
        <v/>
      </c>
    </row>
    <row r="1478" spans="2:4">
      <c r="B1478">
        <f>IF(TRIM(A1478&amp;"")="","",IF(RIGHT(TRIM(A1478),7)=" Equity",TRIM(A1478),TRIM(A1478)&amp;" Equity"))</f>
        <v/>
      </c>
      <c r="C1478">
        <f>IF(OR(SwitchUniverse&lt;&gt;"ON",$B1478=""),"",BDP($B1478,"NAME"))</f>
        <v/>
      </c>
      <c r="D1478">
        <f>IF(OR(SwitchUniverse&lt;&gt;"ON",$B1478=""),"",BDP($B1478,"GICS_SECTOR_NAME"))</f>
        <v/>
      </c>
    </row>
    <row r="1479" spans="2:4">
      <c r="B1479">
        <f>IF(TRIM(A1479&amp;"")="","",IF(RIGHT(TRIM(A1479),7)=" Equity",TRIM(A1479),TRIM(A1479)&amp;" Equity"))</f>
        <v/>
      </c>
      <c r="C1479">
        <f>IF(OR(SwitchUniverse&lt;&gt;"ON",$B1479=""),"",BDP($B1479,"NAME"))</f>
        <v/>
      </c>
      <c r="D1479">
        <f>IF(OR(SwitchUniverse&lt;&gt;"ON",$B1479=""),"",BDP($B1479,"GICS_SECTOR_NAME"))</f>
        <v/>
      </c>
    </row>
    <row r="1480" spans="2:4">
      <c r="B1480">
        <f>IF(TRIM(A1480&amp;"")="","",IF(RIGHT(TRIM(A1480),7)=" Equity",TRIM(A1480),TRIM(A1480)&amp;" Equity"))</f>
        <v/>
      </c>
      <c r="C1480">
        <f>IF(OR(SwitchUniverse&lt;&gt;"ON",$B1480=""),"",BDP($B1480,"NAME"))</f>
        <v/>
      </c>
      <c r="D1480">
        <f>IF(OR(SwitchUniverse&lt;&gt;"ON",$B1480=""),"",BDP($B1480,"GICS_SECTOR_NAME"))</f>
        <v/>
      </c>
    </row>
    <row r="1481" spans="2:4">
      <c r="B1481">
        <f>IF(TRIM(A1481&amp;"")="","",IF(RIGHT(TRIM(A1481),7)=" Equity",TRIM(A1481),TRIM(A1481)&amp;" Equity"))</f>
        <v/>
      </c>
      <c r="C1481">
        <f>IF(OR(SwitchUniverse&lt;&gt;"ON",$B1481=""),"",BDP($B1481,"NAME"))</f>
        <v/>
      </c>
      <c r="D1481">
        <f>IF(OR(SwitchUniverse&lt;&gt;"ON",$B1481=""),"",BDP($B1481,"GICS_SECTOR_NAME"))</f>
        <v/>
      </c>
    </row>
    <row r="1482" spans="2:4">
      <c r="B1482">
        <f>IF(TRIM(A1482&amp;"")="","",IF(RIGHT(TRIM(A1482),7)=" Equity",TRIM(A1482),TRIM(A1482)&amp;" Equity"))</f>
        <v/>
      </c>
      <c r="C1482">
        <f>IF(OR(SwitchUniverse&lt;&gt;"ON",$B1482=""),"",BDP($B1482,"NAME"))</f>
        <v/>
      </c>
      <c r="D1482">
        <f>IF(OR(SwitchUniverse&lt;&gt;"ON",$B1482=""),"",BDP($B1482,"GICS_SECTOR_NAME"))</f>
        <v/>
      </c>
    </row>
    <row r="1483" spans="2:4">
      <c r="B1483">
        <f>IF(TRIM(A1483&amp;"")="","",IF(RIGHT(TRIM(A1483),7)=" Equity",TRIM(A1483),TRIM(A1483)&amp;" Equity"))</f>
        <v/>
      </c>
      <c r="C1483">
        <f>IF(OR(SwitchUniverse&lt;&gt;"ON",$B1483=""),"",BDP($B1483,"NAME"))</f>
        <v/>
      </c>
      <c r="D1483">
        <f>IF(OR(SwitchUniverse&lt;&gt;"ON",$B1483=""),"",BDP($B1483,"GICS_SECTOR_NAME"))</f>
        <v/>
      </c>
    </row>
    <row r="1484" spans="2:4">
      <c r="B1484">
        <f>IF(TRIM(A1484&amp;"")="","",IF(RIGHT(TRIM(A1484),7)=" Equity",TRIM(A1484),TRIM(A1484)&amp;" Equity"))</f>
        <v/>
      </c>
      <c r="C1484">
        <f>IF(OR(SwitchUniverse&lt;&gt;"ON",$B1484=""),"",BDP($B1484,"NAME"))</f>
        <v/>
      </c>
      <c r="D1484">
        <f>IF(OR(SwitchUniverse&lt;&gt;"ON",$B1484=""),"",BDP($B1484,"GICS_SECTOR_NAME"))</f>
        <v/>
      </c>
    </row>
    <row r="1485" spans="2:4">
      <c r="B1485">
        <f>IF(TRIM(A1485&amp;"")="","",IF(RIGHT(TRIM(A1485),7)=" Equity",TRIM(A1485),TRIM(A1485)&amp;" Equity"))</f>
        <v/>
      </c>
      <c r="C1485">
        <f>IF(OR(SwitchUniverse&lt;&gt;"ON",$B1485=""),"",BDP($B1485,"NAME"))</f>
        <v/>
      </c>
      <c r="D1485">
        <f>IF(OR(SwitchUniverse&lt;&gt;"ON",$B1485=""),"",BDP($B1485,"GICS_SECTOR_NAME"))</f>
        <v/>
      </c>
    </row>
    <row r="1486" spans="2:4">
      <c r="B1486">
        <f>IF(TRIM(A1486&amp;"")="","",IF(RIGHT(TRIM(A1486),7)=" Equity",TRIM(A1486),TRIM(A1486)&amp;" Equity"))</f>
        <v/>
      </c>
      <c r="C1486">
        <f>IF(OR(SwitchUniverse&lt;&gt;"ON",$B1486=""),"",BDP($B1486,"NAME"))</f>
        <v/>
      </c>
      <c r="D1486">
        <f>IF(OR(SwitchUniverse&lt;&gt;"ON",$B1486=""),"",BDP($B1486,"GICS_SECTOR_NAME"))</f>
        <v/>
      </c>
    </row>
    <row r="1487" spans="2:4">
      <c r="B1487">
        <f>IF(TRIM(A1487&amp;"")="","",IF(RIGHT(TRIM(A1487),7)=" Equity",TRIM(A1487),TRIM(A1487)&amp;" Equity"))</f>
        <v/>
      </c>
      <c r="C1487">
        <f>IF(OR(SwitchUniverse&lt;&gt;"ON",$B1487=""),"",BDP($B1487,"NAME"))</f>
        <v/>
      </c>
      <c r="D1487">
        <f>IF(OR(SwitchUniverse&lt;&gt;"ON",$B1487=""),"",BDP($B1487,"GICS_SECTOR_NAME"))</f>
        <v/>
      </c>
    </row>
    <row r="1488" spans="2:4">
      <c r="B1488">
        <f>IF(TRIM(A1488&amp;"")="","",IF(RIGHT(TRIM(A1488),7)=" Equity",TRIM(A1488),TRIM(A1488)&amp;" Equity"))</f>
        <v/>
      </c>
      <c r="C1488">
        <f>IF(OR(SwitchUniverse&lt;&gt;"ON",$B1488=""),"",BDP($B1488,"NAME"))</f>
        <v/>
      </c>
      <c r="D1488">
        <f>IF(OR(SwitchUniverse&lt;&gt;"ON",$B1488=""),"",BDP($B1488,"GICS_SECTOR_NAME"))</f>
        <v/>
      </c>
    </row>
    <row r="1489" spans="2:4">
      <c r="B1489">
        <f>IF(TRIM(A1489&amp;"")="","",IF(RIGHT(TRIM(A1489),7)=" Equity",TRIM(A1489),TRIM(A1489)&amp;" Equity"))</f>
        <v/>
      </c>
      <c r="C1489">
        <f>IF(OR(SwitchUniverse&lt;&gt;"ON",$B1489=""),"",BDP($B1489,"NAME"))</f>
        <v/>
      </c>
      <c r="D1489">
        <f>IF(OR(SwitchUniverse&lt;&gt;"ON",$B1489=""),"",BDP($B1489,"GICS_SECTOR_NAME"))</f>
        <v/>
      </c>
    </row>
    <row r="1490" spans="2:4">
      <c r="B1490">
        <f>IF(TRIM(A1490&amp;"")="","",IF(RIGHT(TRIM(A1490),7)=" Equity",TRIM(A1490),TRIM(A1490)&amp;" Equity"))</f>
        <v/>
      </c>
      <c r="C1490">
        <f>IF(OR(SwitchUniverse&lt;&gt;"ON",$B1490=""),"",BDP($B1490,"NAME"))</f>
        <v/>
      </c>
      <c r="D1490">
        <f>IF(OR(SwitchUniverse&lt;&gt;"ON",$B1490=""),"",BDP($B1490,"GICS_SECTOR_NAME"))</f>
        <v/>
      </c>
    </row>
    <row r="1491" spans="2:4">
      <c r="B1491">
        <f>IF(TRIM(A1491&amp;"")="","",IF(RIGHT(TRIM(A1491),7)=" Equity",TRIM(A1491),TRIM(A1491)&amp;" Equity"))</f>
        <v/>
      </c>
      <c r="C1491">
        <f>IF(OR(SwitchUniverse&lt;&gt;"ON",$B1491=""),"",BDP($B1491,"NAME"))</f>
        <v/>
      </c>
      <c r="D1491">
        <f>IF(OR(SwitchUniverse&lt;&gt;"ON",$B1491=""),"",BDP($B1491,"GICS_SECTOR_NAME"))</f>
        <v/>
      </c>
    </row>
    <row r="1492" spans="2:4">
      <c r="B1492">
        <f>IF(TRIM(A1492&amp;"")="","",IF(RIGHT(TRIM(A1492),7)=" Equity",TRIM(A1492),TRIM(A1492)&amp;" Equity"))</f>
        <v/>
      </c>
      <c r="C1492">
        <f>IF(OR(SwitchUniverse&lt;&gt;"ON",$B1492=""),"",BDP($B1492,"NAME"))</f>
        <v/>
      </c>
      <c r="D1492">
        <f>IF(OR(SwitchUniverse&lt;&gt;"ON",$B1492=""),"",BDP($B1492,"GICS_SECTOR_NAME"))</f>
        <v/>
      </c>
    </row>
    <row r="1493" spans="2:4">
      <c r="B1493">
        <f>IF(TRIM(A1493&amp;"")="","",IF(RIGHT(TRIM(A1493),7)=" Equity",TRIM(A1493),TRIM(A1493)&amp;" Equity"))</f>
        <v/>
      </c>
      <c r="C1493">
        <f>IF(OR(SwitchUniverse&lt;&gt;"ON",$B1493=""),"",BDP($B1493,"NAME"))</f>
        <v/>
      </c>
      <c r="D1493">
        <f>IF(OR(SwitchUniverse&lt;&gt;"ON",$B1493=""),"",BDP($B1493,"GICS_SECTOR_NAME"))</f>
        <v/>
      </c>
    </row>
    <row r="1494" spans="2:4">
      <c r="B1494">
        <f>IF(TRIM(A1494&amp;"")="","",IF(RIGHT(TRIM(A1494),7)=" Equity",TRIM(A1494),TRIM(A1494)&amp;" Equity"))</f>
        <v/>
      </c>
      <c r="C1494">
        <f>IF(OR(SwitchUniverse&lt;&gt;"ON",$B1494=""),"",BDP($B1494,"NAME"))</f>
        <v/>
      </c>
      <c r="D1494">
        <f>IF(OR(SwitchUniverse&lt;&gt;"ON",$B1494=""),"",BDP($B1494,"GICS_SECTOR_NAME"))</f>
        <v/>
      </c>
    </row>
    <row r="1495" spans="2:4">
      <c r="B1495">
        <f>IF(TRIM(A1495&amp;"")="","",IF(RIGHT(TRIM(A1495),7)=" Equity",TRIM(A1495),TRIM(A1495)&amp;" Equity"))</f>
        <v/>
      </c>
      <c r="C1495">
        <f>IF(OR(SwitchUniverse&lt;&gt;"ON",$B1495=""),"",BDP($B1495,"NAME"))</f>
        <v/>
      </c>
      <c r="D1495">
        <f>IF(OR(SwitchUniverse&lt;&gt;"ON",$B1495=""),"",BDP($B1495,"GICS_SECTOR_NAME"))</f>
        <v/>
      </c>
    </row>
    <row r="1496" spans="2:4">
      <c r="B1496">
        <f>IF(TRIM(A1496&amp;"")="","",IF(RIGHT(TRIM(A1496),7)=" Equity",TRIM(A1496),TRIM(A1496)&amp;" Equity"))</f>
        <v/>
      </c>
      <c r="C1496">
        <f>IF(OR(SwitchUniverse&lt;&gt;"ON",$B1496=""),"",BDP($B1496,"NAME"))</f>
        <v/>
      </c>
      <c r="D1496">
        <f>IF(OR(SwitchUniverse&lt;&gt;"ON",$B1496=""),"",BDP($B1496,"GICS_SECTOR_NAME"))</f>
        <v/>
      </c>
    </row>
    <row r="1497" spans="2:4">
      <c r="B1497">
        <f>IF(TRIM(A1497&amp;"")="","",IF(RIGHT(TRIM(A1497),7)=" Equity",TRIM(A1497),TRIM(A1497)&amp;" Equity"))</f>
        <v/>
      </c>
      <c r="C1497">
        <f>IF(OR(SwitchUniverse&lt;&gt;"ON",$B1497=""),"",BDP($B1497,"NAME"))</f>
        <v/>
      </c>
      <c r="D1497">
        <f>IF(OR(SwitchUniverse&lt;&gt;"ON",$B1497=""),"",BDP($B1497,"GICS_SECTOR_NAME"))</f>
        <v/>
      </c>
    </row>
    <row r="1498" spans="2:4">
      <c r="B1498">
        <f>IF(TRIM(A1498&amp;"")="","",IF(RIGHT(TRIM(A1498),7)=" Equity",TRIM(A1498),TRIM(A1498)&amp;" Equity"))</f>
        <v/>
      </c>
      <c r="C1498">
        <f>IF(OR(SwitchUniverse&lt;&gt;"ON",$B1498=""),"",BDP($B1498,"NAME"))</f>
        <v/>
      </c>
      <c r="D1498">
        <f>IF(OR(SwitchUniverse&lt;&gt;"ON",$B1498=""),"",BDP($B1498,"GICS_SECTOR_NAME"))</f>
        <v/>
      </c>
    </row>
    <row r="1499" spans="2:4">
      <c r="B1499">
        <f>IF(TRIM(A1499&amp;"")="","",IF(RIGHT(TRIM(A1499),7)=" Equity",TRIM(A1499),TRIM(A1499)&amp;" Equity"))</f>
        <v/>
      </c>
      <c r="C1499">
        <f>IF(OR(SwitchUniverse&lt;&gt;"ON",$B1499=""),"",BDP($B1499,"NAME"))</f>
        <v/>
      </c>
      <c r="D1499">
        <f>IF(OR(SwitchUniverse&lt;&gt;"ON",$B1499=""),"",BDP($B1499,"GICS_SECTOR_NAME"))</f>
        <v/>
      </c>
    </row>
    <row r="1500" spans="2:4">
      <c r="B1500">
        <f>IF(TRIM(A1500&amp;"")="","",IF(RIGHT(TRIM(A1500),7)=" Equity",TRIM(A1500),TRIM(A1500)&amp;" Equity"))</f>
        <v/>
      </c>
      <c r="C1500">
        <f>IF(OR(SwitchUniverse&lt;&gt;"ON",$B1500=""),"",BDP($B1500,"NAME"))</f>
        <v/>
      </c>
      <c r="D1500">
        <f>IF(OR(SwitchUniverse&lt;&gt;"ON",$B1500=""),"",BDP($B1500,"GICS_SECTOR_NAME"))</f>
        <v/>
      </c>
    </row>
    <row r="1501" spans="2:4">
      <c r="B1501">
        <f>IF(TRIM(A1501&amp;"")="","",IF(RIGHT(TRIM(A1501),7)=" Equity",TRIM(A1501),TRIM(A1501)&amp;" Equity"))</f>
        <v/>
      </c>
      <c r="C1501">
        <f>IF(OR(SwitchUniverse&lt;&gt;"ON",$B1501=""),"",BDP($B1501,"NAME"))</f>
        <v/>
      </c>
      <c r="D1501">
        <f>IF(OR(SwitchUniverse&lt;&gt;"ON",$B1501=""),"",BDP($B1501,"GICS_SECTOR_NAME"))</f>
        <v/>
      </c>
    </row>
    <row r="1502" spans="2:4">
      <c r="B1502">
        <f>IF(TRIM(A1502&amp;"")="","",IF(RIGHT(TRIM(A1502),7)=" Equity",TRIM(A1502),TRIM(A1502)&amp;" Equity"))</f>
        <v/>
      </c>
      <c r="C1502">
        <f>IF(OR(SwitchUniverse&lt;&gt;"ON",$B1502=""),"",BDP($B1502,"NAME"))</f>
        <v/>
      </c>
      <c r="D1502">
        <f>IF(OR(SwitchUniverse&lt;&gt;"ON",$B1502=""),"",BDP($B1502,"GICS_SECTOR_NAME"))</f>
        <v/>
      </c>
    </row>
    <row r="1503" spans="2:4">
      <c r="B1503">
        <f>IF(TRIM(A1503&amp;"")="","",IF(RIGHT(TRIM(A1503),7)=" Equity",TRIM(A1503),TRIM(A1503)&amp;" Equity"))</f>
        <v/>
      </c>
      <c r="C1503">
        <f>IF(OR(SwitchUniverse&lt;&gt;"ON",$B1503=""),"",BDP($B1503,"NAME"))</f>
        <v/>
      </c>
      <c r="D1503">
        <f>IF(OR(SwitchUniverse&lt;&gt;"ON",$B1503=""),"",BDP($B1503,"GICS_SECTOR_NAME"))</f>
        <v/>
      </c>
    </row>
    <row r="1504" spans="2:4">
      <c r="B1504">
        <f>IF(TRIM(A1504&amp;"")="","",IF(RIGHT(TRIM(A1504),7)=" Equity",TRIM(A1504),TRIM(A1504)&amp;" Equity"))</f>
        <v/>
      </c>
      <c r="C1504">
        <f>IF(OR(SwitchUniverse&lt;&gt;"ON",$B1504=""),"",BDP($B1504,"NAME"))</f>
        <v/>
      </c>
      <c r="D1504">
        <f>IF(OR(SwitchUniverse&lt;&gt;"ON",$B1504=""),"",BDP($B1504,"GICS_SECTOR_NAME"))</f>
        <v/>
      </c>
    </row>
    <row r="1505" spans="2:4">
      <c r="B1505">
        <f>IF(TRIM(A1505&amp;"")="","",IF(RIGHT(TRIM(A1505),7)=" Equity",TRIM(A1505),TRIM(A1505)&amp;" Equity"))</f>
        <v/>
      </c>
      <c r="C1505">
        <f>IF(OR(SwitchUniverse&lt;&gt;"ON",$B1505=""),"",BDP($B1505,"NAME"))</f>
        <v/>
      </c>
      <c r="D1505">
        <f>IF(OR(SwitchUniverse&lt;&gt;"ON",$B1505=""),"",BDP($B1505,"GICS_SECTOR_NAME"))</f>
        <v/>
      </c>
    </row>
    <row r="1506" spans="2:4">
      <c r="B1506">
        <f>IF(TRIM(A1506&amp;"")="","",IF(RIGHT(TRIM(A1506),7)=" Equity",TRIM(A1506),TRIM(A1506)&amp;" Equity"))</f>
        <v/>
      </c>
      <c r="C1506">
        <f>IF(OR(SwitchUniverse&lt;&gt;"ON",$B1506=""),"",BDP($B1506,"NAME"))</f>
        <v/>
      </c>
      <c r="D1506">
        <f>IF(OR(SwitchUniverse&lt;&gt;"ON",$B1506=""),"",BDP($B1506,"GICS_SECTOR_NAME"))</f>
        <v/>
      </c>
    </row>
    <row r="1507" spans="2:4">
      <c r="B1507">
        <f>IF(TRIM(A1507&amp;"")="","",IF(RIGHT(TRIM(A1507),7)=" Equity",TRIM(A1507),TRIM(A1507)&amp;" Equity"))</f>
        <v/>
      </c>
      <c r="C1507">
        <f>IF(OR(SwitchUniverse&lt;&gt;"ON",$B1507=""),"",BDP($B1507,"NAME"))</f>
        <v/>
      </c>
      <c r="D1507">
        <f>IF(OR(SwitchUniverse&lt;&gt;"ON",$B1507=""),"",BDP($B1507,"GICS_SECTOR_NAME"))</f>
        <v/>
      </c>
    </row>
    <row r="1508" spans="2:4">
      <c r="B1508">
        <f>IF(TRIM(A1508&amp;"")="","",IF(RIGHT(TRIM(A1508),7)=" Equity",TRIM(A1508),TRIM(A1508)&amp;" Equity"))</f>
        <v/>
      </c>
      <c r="C1508">
        <f>IF(OR(SwitchUniverse&lt;&gt;"ON",$B1508=""),"",BDP($B1508,"NAME"))</f>
        <v/>
      </c>
      <c r="D1508">
        <f>IF(OR(SwitchUniverse&lt;&gt;"ON",$B1508=""),"",BDP($B1508,"GICS_SECTOR_NAME"))</f>
        <v/>
      </c>
    </row>
    <row r="1509" spans="2:4">
      <c r="B1509">
        <f>IF(TRIM(A1509&amp;"")="","",IF(RIGHT(TRIM(A1509),7)=" Equity",TRIM(A1509),TRIM(A1509)&amp;" Equity"))</f>
        <v/>
      </c>
      <c r="C1509">
        <f>IF(OR(SwitchUniverse&lt;&gt;"ON",$B1509=""),"",BDP($B1509,"NAME"))</f>
        <v/>
      </c>
      <c r="D1509">
        <f>IF(OR(SwitchUniverse&lt;&gt;"ON",$B1509=""),"",BDP($B1509,"GICS_SECTOR_NAME"))</f>
        <v/>
      </c>
    </row>
    <row r="1510" spans="2:4">
      <c r="B1510">
        <f>IF(TRIM(A1510&amp;"")="","",IF(RIGHT(TRIM(A1510),7)=" Equity",TRIM(A1510),TRIM(A1510)&amp;" Equity"))</f>
        <v/>
      </c>
      <c r="C1510">
        <f>IF(OR(SwitchUniverse&lt;&gt;"ON",$B1510=""),"",BDP($B1510,"NAME"))</f>
        <v/>
      </c>
      <c r="D1510">
        <f>IF(OR(SwitchUniverse&lt;&gt;"ON",$B1510=""),"",BDP($B1510,"GICS_SECTOR_NAME"))</f>
        <v/>
      </c>
    </row>
    <row r="1511" spans="2:4">
      <c r="B1511">
        <f>IF(TRIM(A1511&amp;"")="","",IF(RIGHT(TRIM(A1511),7)=" Equity",TRIM(A1511),TRIM(A1511)&amp;" Equity"))</f>
        <v/>
      </c>
      <c r="C1511">
        <f>IF(OR(SwitchUniverse&lt;&gt;"ON",$B1511=""),"",BDP($B1511,"NAME"))</f>
        <v/>
      </c>
      <c r="D1511">
        <f>IF(OR(SwitchUniverse&lt;&gt;"ON",$B1511=""),"",BDP($B1511,"GICS_SECTOR_NAME"))</f>
        <v/>
      </c>
    </row>
    <row r="1512" spans="2:4">
      <c r="B1512">
        <f>IF(TRIM(A1512&amp;"")="","",IF(RIGHT(TRIM(A1512),7)=" Equity",TRIM(A1512),TRIM(A1512)&amp;" Equity"))</f>
        <v/>
      </c>
      <c r="C1512">
        <f>IF(OR(SwitchUniverse&lt;&gt;"ON",$B1512=""),"",BDP($B1512,"NAME"))</f>
        <v/>
      </c>
      <c r="D1512">
        <f>IF(OR(SwitchUniverse&lt;&gt;"ON",$B1512=""),"",BDP($B1512,"GICS_SECTOR_NAME"))</f>
        <v/>
      </c>
    </row>
    <row r="1513" spans="2:4">
      <c r="B1513">
        <f>IF(TRIM(A1513&amp;"")="","",IF(RIGHT(TRIM(A1513),7)=" Equity",TRIM(A1513),TRIM(A1513)&amp;" Equity"))</f>
        <v/>
      </c>
      <c r="C1513">
        <f>IF(OR(SwitchUniverse&lt;&gt;"ON",$B1513=""),"",BDP($B1513,"NAME"))</f>
        <v/>
      </c>
      <c r="D1513">
        <f>IF(OR(SwitchUniverse&lt;&gt;"ON",$B1513=""),"",BDP($B1513,"GICS_SECTOR_NAME"))</f>
        <v/>
      </c>
    </row>
    <row r="1514" spans="2:4">
      <c r="B1514">
        <f>IF(TRIM(A1514&amp;"")="","",IF(RIGHT(TRIM(A1514),7)=" Equity",TRIM(A1514),TRIM(A1514)&amp;" Equity"))</f>
        <v/>
      </c>
      <c r="C1514">
        <f>IF(OR(SwitchUniverse&lt;&gt;"ON",$B1514=""),"",BDP($B1514,"NAME"))</f>
        <v/>
      </c>
      <c r="D1514">
        <f>IF(OR(SwitchUniverse&lt;&gt;"ON",$B1514=""),"",BDP($B1514,"GICS_SECTOR_NAME"))</f>
        <v/>
      </c>
    </row>
    <row r="1515" spans="2:4">
      <c r="B1515">
        <f>IF(TRIM(A1515&amp;"")="","",IF(RIGHT(TRIM(A1515),7)=" Equity",TRIM(A1515),TRIM(A1515)&amp;" Equity"))</f>
        <v/>
      </c>
      <c r="C1515">
        <f>IF(OR(SwitchUniverse&lt;&gt;"ON",$B1515=""),"",BDP($B1515,"NAME"))</f>
        <v/>
      </c>
      <c r="D1515">
        <f>IF(OR(SwitchUniverse&lt;&gt;"ON",$B1515=""),"",BDP($B1515,"GICS_SECTOR_NAME"))</f>
        <v/>
      </c>
    </row>
    <row r="1516" spans="2:4">
      <c r="B1516">
        <f>IF(TRIM(A1516&amp;"")="","",IF(RIGHT(TRIM(A1516),7)=" Equity",TRIM(A1516),TRIM(A1516)&amp;" Equity"))</f>
        <v/>
      </c>
      <c r="C1516">
        <f>IF(OR(SwitchUniverse&lt;&gt;"ON",$B1516=""),"",BDP($B1516,"NAME"))</f>
        <v/>
      </c>
      <c r="D1516">
        <f>IF(OR(SwitchUniverse&lt;&gt;"ON",$B1516=""),"",BDP($B1516,"GICS_SECTOR_NAME"))</f>
        <v/>
      </c>
    </row>
    <row r="1517" spans="2:4">
      <c r="B1517">
        <f>IF(TRIM(A1517&amp;"")="","",IF(RIGHT(TRIM(A1517),7)=" Equity",TRIM(A1517),TRIM(A1517)&amp;" Equity"))</f>
        <v/>
      </c>
      <c r="C1517">
        <f>IF(OR(SwitchUniverse&lt;&gt;"ON",$B1517=""),"",BDP($B1517,"NAME"))</f>
        <v/>
      </c>
      <c r="D1517">
        <f>IF(OR(SwitchUniverse&lt;&gt;"ON",$B1517=""),"",BDP($B1517,"GICS_SECTOR_NAME"))</f>
        <v/>
      </c>
    </row>
    <row r="1518" spans="2:4">
      <c r="B1518">
        <f>IF(TRIM(A1518&amp;"")="","",IF(RIGHT(TRIM(A1518),7)=" Equity",TRIM(A1518),TRIM(A1518)&amp;" Equity"))</f>
        <v/>
      </c>
      <c r="C1518">
        <f>IF(OR(SwitchUniverse&lt;&gt;"ON",$B1518=""),"",BDP($B1518,"NAME"))</f>
        <v/>
      </c>
      <c r="D1518">
        <f>IF(OR(SwitchUniverse&lt;&gt;"ON",$B1518=""),"",BDP($B1518,"GICS_SECTOR_NAME"))</f>
        <v/>
      </c>
    </row>
    <row r="1519" spans="2:4">
      <c r="B1519">
        <f>IF(TRIM(A1519&amp;"")="","",IF(RIGHT(TRIM(A1519),7)=" Equity",TRIM(A1519),TRIM(A1519)&amp;" Equity"))</f>
        <v/>
      </c>
      <c r="C1519">
        <f>IF(OR(SwitchUniverse&lt;&gt;"ON",$B1519=""),"",BDP($B1519,"NAME"))</f>
        <v/>
      </c>
      <c r="D1519">
        <f>IF(OR(SwitchUniverse&lt;&gt;"ON",$B1519=""),"",BDP($B1519,"GICS_SECTOR_NAME"))</f>
        <v/>
      </c>
    </row>
    <row r="1520" spans="2:4">
      <c r="B1520">
        <f>IF(TRIM(A1520&amp;"")="","",IF(RIGHT(TRIM(A1520),7)=" Equity",TRIM(A1520),TRIM(A1520)&amp;" Equity"))</f>
        <v/>
      </c>
      <c r="C1520">
        <f>IF(OR(SwitchUniverse&lt;&gt;"ON",$B1520=""),"",BDP($B1520,"NAME"))</f>
        <v/>
      </c>
      <c r="D1520">
        <f>IF(OR(SwitchUniverse&lt;&gt;"ON",$B1520=""),"",BDP($B1520,"GICS_SECTOR_NAME"))</f>
        <v/>
      </c>
    </row>
    <row r="1521" spans="2:4">
      <c r="B1521">
        <f>IF(TRIM(A1521&amp;"")="","",IF(RIGHT(TRIM(A1521),7)=" Equity",TRIM(A1521),TRIM(A1521)&amp;" Equity"))</f>
        <v/>
      </c>
      <c r="C1521">
        <f>IF(OR(SwitchUniverse&lt;&gt;"ON",$B1521=""),"",BDP($B1521,"NAME"))</f>
        <v/>
      </c>
      <c r="D1521">
        <f>IF(OR(SwitchUniverse&lt;&gt;"ON",$B1521=""),"",BDP($B1521,"GICS_SECTOR_NAME"))</f>
        <v/>
      </c>
    </row>
    <row r="1522" spans="2:4">
      <c r="B1522">
        <f>IF(TRIM(A1522&amp;"")="","",IF(RIGHT(TRIM(A1522),7)=" Equity",TRIM(A1522),TRIM(A1522)&amp;" Equity"))</f>
        <v/>
      </c>
      <c r="C1522">
        <f>IF(OR(SwitchUniverse&lt;&gt;"ON",$B1522=""),"",BDP($B1522,"NAME"))</f>
        <v/>
      </c>
      <c r="D1522">
        <f>IF(OR(SwitchUniverse&lt;&gt;"ON",$B1522=""),"",BDP($B1522,"GICS_SECTOR_NAME"))</f>
        <v/>
      </c>
    </row>
    <row r="1523" spans="2:4">
      <c r="B1523">
        <f>IF(TRIM(A1523&amp;"")="","",IF(RIGHT(TRIM(A1523),7)=" Equity",TRIM(A1523),TRIM(A1523)&amp;" Equity"))</f>
        <v/>
      </c>
      <c r="C1523">
        <f>IF(OR(SwitchUniverse&lt;&gt;"ON",$B1523=""),"",BDP($B1523,"NAME"))</f>
        <v/>
      </c>
      <c r="D1523">
        <f>IF(OR(SwitchUniverse&lt;&gt;"ON",$B1523=""),"",BDP($B1523,"GICS_SECTOR_NAME"))</f>
        <v/>
      </c>
    </row>
    <row r="1524" spans="2:4">
      <c r="B1524">
        <f>IF(TRIM(A1524&amp;"")="","",IF(RIGHT(TRIM(A1524),7)=" Equity",TRIM(A1524),TRIM(A1524)&amp;" Equity"))</f>
        <v/>
      </c>
      <c r="C1524">
        <f>IF(OR(SwitchUniverse&lt;&gt;"ON",$B1524=""),"",BDP($B1524,"NAME"))</f>
        <v/>
      </c>
      <c r="D1524">
        <f>IF(OR(SwitchUniverse&lt;&gt;"ON",$B1524=""),"",BDP($B1524,"GICS_SECTOR_NAME"))</f>
        <v/>
      </c>
    </row>
    <row r="1525" spans="2:4">
      <c r="B1525">
        <f>IF(TRIM(A1525&amp;"")="","",IF(RIGHT(TRIM(A1525),7)=" Equity",TRIM(A1525),TRIM(A1525)&amp;" Equity"))</f>
        <v/>
      </c>
      <c r="C1525">
        <f>IF(OR(SwitchUniverse&lt;&gt;"ON",$B1525=""),"",BDP($B1525,"NAME"))</f>
        <v/>
      </c>
      <c r="D1525">
        <f>IF(OR(SwitchUniverse&lt;&gt;"ON",$B1525=""),"",BDP($B1525,"GICS_SECTOR_NAME"))</f>
        <v/>
      </c>
    </row>
    <row r="1526" spans="2:4">
      <c r="B1526">
        <f>IF(TRIM(A1526&amp;"")="","",IF(RIGHT(TRIM(A1526),7)=" Equity",TRIM(A1526),TRIM(A1526)&amp;" Equity"))</f>
        <v/>
      </c>
      <c r="C1526">
        <f>IF(OR(SwitchUniverse&lt;&gt;"ON",$B1526=""),"",BDP($B1526,"NAME"))</f>
        <v/>
      </c>
      <c r="D1526">
        <f>IF(OR(SwitchUniverse&lt;&gt;"ON",$B1526=""),"",BDP($B1526,"GICS_SECTOR_NAME"))</f>
        <v/>
      </c>
    </row>
    <row r="1527" spans="2:4">
      <c r="B1527">
        <f>IF(TRIM(A1527&amp;"")="","",IF(RIGHT(TRIM(A1527),7)=" Equity",TRIM(A1527),TRIM(A1527)&amp;" Equity"))</f>
        <v/>
      </c>
      <c r="C1527">
        <f>IF(OR(SwitchUniverse&lt;&gt;"ON",$B1527=""),"",BDP($B1527,"NAME"))</f>
        <v/>
      </c>
      <c r="D1527">
        <f>IF(OR(SwitchUniverse&lt;&gt;"ON",$B1527=""),"",BDP($B1527,"GICS_SECTOR_NAME"))</f>
        <v/>
      </c>
    </row>
    <row r="1528" spans="2:4">
      <c r="B1528">
        <f>IF(TRIM(A1528&amp;"")="","",IF(RIGHT(TRIM(A1528),7)=" Equity",TRIM(A1528),TRIM(A1528)&amp;" Equity"))</f>
        <v/>
      </c>
      <c r="C1528">
        <f>IF(OR(SwitchUniverse&lt;&gt;"ON",$B1528=""),"",BDP($B1528,"NAME"))</f>
        <v/>
      </c>
      <c r="D1528">
        <f>IF(OR(SwitchUniverse&lt;&gt;"ON",$B1528=""),"",BDP($B1528,"GICS_SECTOR_NAME"))</f>
        <v/>
      </c>
    </row>
    <row r="1529" spans="2:4">
      <c r="B1529">
        <f>IF(TRIM(A1529&amp;"")="","",IF(RIGHT(TRIM(A1529),7)=" Equity",TRIM(A1529),TRIM(A1529)&amp;" Equity"))</f>
        <v/>
      </c>
      <c r="C1529">
        <f>IF(OR(SwitchUniverse&lt;&gt;"ON",$B1529=""),"",BDP($B1529,"NAME"))</f>
        <v/>
      </c>
      <c r="D1529">
        <f>IF(OR(SwitchUniverse&lt;&gt;"ON",$B1529=""),"",BDP($B1529,"GICS_SECTOR_NAME"))</f>
        <v/>
      </c>
    </row>
    <row r="1530" spans="2:4">
      <c r="B1530">
        <f>IF(TRIM(A1530&amp;"")="","",IF(RIGHT(TRIM(A1530),7)=" Equity",TRIM(A1530),TRIM(A1530)&amp;" Equity"))</f>
        <v/>
      </c>
      <c r="C1530">
        <f>IF(OR(SwitchUniverse&lt;&gt;"ON",$B1530=""),"",BDP($B1530,"NAME"))</f>
        <v/>
      </c>
      <c r="D1530">
        <f>IF(OR(SwitchUniverse&lt;&gt;"ON",$B1530=""),"",BDP($B1530,"GICS_SECTOR_NAME"))</f>
        <v/>
      </c>
    </row>
    <row r="1531" spans="2:4">
      <c r="B1531">
        <f>IF(TRIM(A1531&amp;"")="","",IF(RIGHT(TRIM(A1531),7)=" Equity",TRIM(A1531),TRIM(A1531)&amp;" Equity"))</f>
        <v/>
      </c>
      <c r="C1531">
        <f>IF(OR(SwitchUniverse&lt;&gt;"ON",$B1531=""),"",BDP($B1531,"NAME"))</f>
        <v/>
      </c>
      <c r="D1531">
        <f>IF(OR(SwitchUniverse&lt;&gt;"ON",$B1531=""),"",BDP($B1531,"GICS_SECTOR_NAME"))</f>
        <v/>
      </c>
    </row>
    <row r="1532" spans="2:4">
      <c r="B1532">
        <f>IF(TRIM(A1532&amp;"")="","",IF(RIGHT(TRIM(A1532),7)=" Equity",TRIM(A1532),TRIM(A1532)&amp;" Equity"))</f>
        <v/>
      </c>
      <c r="C1532">
        <f>IF(OR(SwitchUniverse&lt;&gt;"ON",$B1532=""),"",BDP($B1532,"NAME"))</f>
        <v/>
      </c>
      <c r="D1532">
        <f>IF(OR(SwitchUniverse&lt;&gt;"ON",$B1532=""),"",BDP($B1532,"GICS_SECTOR_NAME"))</f>
        <v/>
      </c>
    </row>
    <row r="1533" spans="2:4">
      <c r="B1533">
        <f>IF(TRIM(A1533&amp;"")="","",IF(RIGHT(TRIM(A1533),7)=" Equity",TRIM(A1533),TRIM(A1533)&amp;" Equity"))</f>
        <v/>
      </c>
      <c r="C1533">
        <f>IF(OR(SwitchUniverse&lt;&gt;"ON",$B1533=""),"",BDP($B1533,"NAME"))</f>
        <v/>
      </c>
      <c r="D1533">
        <f>IF(OR(SwitchUniverse&lt;&gt;"ON",$B1533=""),"",BDP($B1533,"GICS_SECTOR_NAME"))</f>
        <v/>
      </c>
    </row>
    <row r="1534" spans="2:4">
      <c r="B1534">
        <f>IF(TRIM(A1534&amp;"")="","",IF(RIGHT(TRIM(A1534),7)=" Equity",TRIM(A1534),TRIM(A1534)&amp;" Equity"))</f>
        <v/>
      </c>
      <c r="C1534">
        <f>IF(OR(SwitchUniverse&lt;&gt;"ON",$B1534=""),"",BDP($B1534,"NAME"))</f>
        <v/>
      </c>
      <c r="D1534">
        <f>IF(OR(SwitchUniverse&lt;&gt;"ON",$B1534=""),"",BDP($B1534,"GICS_SECTOR_NAME"))</f>
        <v/>
      </c>
    </row>
    <row r="1535" spans="2:4">
      <c r="B1535">
        <f>IF(TRIM(A1535&amp;"")="","",IF(RIGHT(TRIM(A1535),7)=" Equity",TRIM(A1535),TRIM(A1535)&amp;" Equity"))</f>
        <v/>
      </c>
      <c r="C1535">
        <f>IF(OR(SwitchUniverse&lt;&gt;"ON",$B1535=""),"",BDP($B1535,"NAME"))</f>
        <v/>
      </c>
      <c r="D1535">
        <f>IF(OR(SwitchUniverse&lt;&gt;"ON",$B1535=""),"",BDP($B1535,"GICS_SECTOR_NAME"))</f>
        <v/>
      </c>
    </row>
    <row r="1536" spans="2:4">
      <c r="B1536">
        <f>IF(TRIM(A1536&amp;"")="","",IF(RIGHT(TRIM(A1536),7)=" Equity",TRIM(A1536),TRIM(A1536)&amp;" Equity"))</f>
        <v/>
      </c>
      <c r="C1536">
        <f>IF(OR(SwitchUniverse&lt;&gt;"ON",$B1536=""),"",BDP($B1536,"NAME"))</f>
        <v/>
      </c>
      <c r="D1536">
        <f>IF(OR(SwitchUniverse&lt;&gt;"ON",$B1536=""),"",BDP($B1536,"GICS_SECTOR_NAME"))</f>
        <v/>
      </c>
    </row>
    <row r="1537" spans="2:4">
      <c r="B1537">
        <f>IF(TRIM(A1537&amp;"")="","",IF(RIGHT(TRIM(A1537),7)=" Equity",TRIM(A1537),TRIM(A1537)&amp;" Equity"))</f>
        <v/>
      </c>
      <c r="C1537">
        <f>IF(OR(SwitchUniverse&lt;&gt;"ON",$B1537=""),"",BDP($B1537,"NAME"))</f>
        <v/>
      </c>
      <c r="D1537">
        <f>IF(OR(SwitchUniverse&lt;&gt;"ON",$B1537=""),"",BDP($B1537,"GICS_SECTOR_NAME"))</f>
        <v/>
      </c>
    </row>
    <row r="1538" spans="2:4">
      <c r="B1538">
        <f>IF(TRIM(A1538&amp;"")="","",IF(RIGHT(TRIM(A1538),7)=" Equity",TRIM(A1538),TRIM(A1538)&amp;" Equity"))</f>
        <v/>
      </c>
      <c r="C1538">
        <f>IF(OR(SwitchUniverse&lt;&gt;"ON",$B1538=""),"",BDP($B1538,"NAME"))</f>
        <v/>
      </c>
      <c r="D1538">
        <f>IF(OR(SwitchUniverse&lt;&gt;"ON",$B1538=""),"",BDP($B1538,"GICS_SECTOR_NAME"))</f>
        <v/>
      </c>
    </row>
    <row r="1539" spans="2:4">
      <c r="B1539">
        <f>IF(TRIM(A1539&amp;"")="","",IF(RIGHT(TRIM(A1539),7)=" Equity",TRIM(A1539),TRIM(A1539)&amp;" Equity"))</f>
        <v/>
      </c>
      <c r="C1539">
        <f>IF(OR(SwitchUniverse&lt;&gt;"ON",$B1539=""),"",BDP($B1539,"NAME"))</f>
        <v/>
      </c>
      <c r="D1539">
        <f>IF(OR(SwitchUniverse&lt;&gt;"ON",$B1539=""),"",BDP($B1539,"GICS_SECTOR_NAME"))</f>
        <v/>
      </c>
    </row>
    <row r="1540" spans="2:4">
      <c r="B1540">
        <f>IF(TRIM(A1540&amp;"")="","",IF(RIGHT(TRIM(A1540),7)=" Equity",TRIM(A1540),TRIM(A1540)&amp;" Equity"))</f>
        <v/>
      </c>
      <c r="C1540">
        <f>IF(OR(SwitchUniverse&lt;&gt;"ON",$B1540=""),"",BDP($B1540,"NAME"))</f>
        <v/>
      </c>
      <c r="D1540">
        <f>IF(OR(SwitchUniverse&lt;&gt;"ON",$B1540=""),"",BDP($B1540,"GICS_SECTOR_NAME"))</f>
        <v/>
      </c>
    </row>
    <row r="1541" spans="2:4">
      <c r="B1541">
        <f>IF(TRIM(A1541&amp;"")="","",IF(RIGHT(TRIM(A1541),7)=" Equity",TRIM(A1541),TRIM(A1541)&amp;" Equity"))</f>
        <v/>
      </c>
      <c r="C1541">
        <f>IF(OR(SwitchUniverse&lt;&gt;"ON",$B1541=""),"",BDP($B1541,"NAME"))</f>
        <v/>
      </c>
      <c r="D1541">
        <f>IF(OR(SwitchUniverse&lt;&gt;"ON",$B1541=""),"",BDP($B1541,"GICS_SECTOR_NAME"))</f>
        <v/>
      </c>
    </row>
    <row r="1542" spans="2:4">
      <c r="B1542">
        <f>IF(TRIM(A1542&amp;"")="","",IF(RIGHT(TRIM(A1542),7)=" Equity",TRIM(A1542),TRIM(A1542)&amp;" Equity"))</f>
        <v/>
      </c>
      <c r="C1542">
        <f>IF(OR(SwitchUniverse&lt;&gt;"ON",$B1542=""),"",BDP($B1542,"NAME"))</f>
        <v/>
      </c>
      <c r="D1542">
        <f>IF(OR(SwitchUniverse&lt;&gt;"ON",$B1542=""),"",BDP($B1542,"GICS_SECTOR_NAME"))</f>
        <v/>
      </c>
    </row>
    <row r="1543" spans="2:4">
      <c r="B1543">
        <f>IF(TRIM(A1543&amp;"")="","",IF(RIGHT(TRIM(A1543),7)=" Equity",TRIM(A1543),TRIM(A1543)&amp;" Equity"))</f>
        <v/>
      </c>
      <c r="C1543">
        <f>IF(OR(SwitchUniverse&lt;&gt;"ON",$B1543=""),"",BDP($B1543,"NAME"))</f>
        <v/>
      </c>
      <c r="D1543">
        <f>IF(OR(SwitchUniverse&lt;&gt;"ON",$B1543=""),"",BDP($B1543,"GICS_SECTOR_NAME"))</f>
        <v/>
      </c>
    </row>
    <row r="1544" spans="2:4">
      <c r="B1544">
        <f>IF(TRIM(A1544&amp;"")="","",IF(RIGHT(TRIM(A1544),7)=" Equity",TRIM(A1544),TRIM(A1544)&amp;" Equity"))</f>
        <v/>
      </c>
      <c r="C1544">
        <f>IF(OR(SwitchUniverse&lt;&gt;"ON",$B1544=""),"",BDP($B1544,"NAME"))</f>
        <v/>
      </c>
      <c r="D1544">
        <f>IF(OR(SwitchUniverse&lt;&gt;"ON",$B1544=""),"",BDP($B1544,"GICS_SECTOR_NAME"))</f>
        <v/>
      </c>
    </row>
    <row r="1545" spans="2:4">
      <c r="B1545">
        <f>IF(TRIM(A1545&amp;"")="","",IF(RIGHT(TRIM(A1545),7)=" Equity",TRIM(A1545),TRIM(A1545)&amp;" Equity"))</f>
        <v/>
      </c>
      <c r="C1545">
        <f>IF(OR(SwitchUniverse&lt;&gt;"ON",$B1545=""),"",BDP($B1545,"NAME"))</f>
        <v/>
      </c>
      <c r="D1545">
        <f>IF(OR(SwitchUniverse&lt;&gt;"ON",$B1545=""),"",BDP($B1545,"GICS_SECTOR_NAME"))</f>
        <v/>
      </c>
    </row>
    <row r="1546" spans="2:4">
      <c r="B1546">
        <f>IF(TRIM(A1546&amp;"")="","",IF(RIGHT(TRIM(A1546),7)=" Equity",TRIM(A1546),TRIM(A1546)&amp;" Equity"))</f>
        <v/>
      </c>
      <c r="C1546">
        <f>IF(OR(SwitchUniverse&lt;&gt;"ON",$B1546=""),"",BDP($B1546,"NAME"))</f>
        <v/>
      </c>
      <c r="D1546">
        <f>IF(OR(SwitchUniverse&lt;&gt;"ON",$B1546=""),"",BDP($B1546,"GICS_SECTOR_NAME"))</f>
        <v/>
      </c>
    </row>
    <row r="1547" spans="2:4">
      <c r="B1547">
        <f>IF(TRIM(A1547&amp;"")="","",IF(RIGHT(TRIM(A1547),7)=" Equity",TRIM(A1547),TRIM(A1547)&amp;" Equity"))</f>
        <v/>
      </c>
      <c r="C1547">
        <f>IF(OR(SwitchUniverse&lt;&gt;"ON",$B1547=""),"",BDP($B1547,"NAME"))</f>
        <v/>
      </c>
      <c r="D1547">
        <f>IF(OR(SwitchUniverse&lt;&gt;"ON",$B1547=""),"",BDP($B1547,"GICS_SECTOR_NAME"))</f>
        <v/>
      </c>
    </row>
    <row r="1548" spans="2:4">
      <c r="B1548">
        <f>IF(TRIM(A1548&amp;"")="","",IF(RIGHT(TRIM(A1548),7)=" Equity",TRIM(A1548),TRIM(A1548)&amp;" Equity"))</f>
        <v/>
      </c>
      <c r="C1548">
        <f>IF(OR(SwitchUniverse&lt;&gt;"ON",$B1548=""),"",BDP($B1548,"NAME"))</f>
        <v/>
      </c>
      <c r="D1548">
        <f>IF(OR(SwitchUniverse&lt;&gt;"ON",$B1548=""),"",BDP($B1548,"GICS_SECTOR_NAME"))</f>
        <v/>
      </c>
    </row>
    <row r="1549" spans="2:4">
      <c r="B1549">
        <f>IF(TRIM(A1549&amp;"")="","",IF(RIGHT(TRIM(A1549),7)=" Equity",TRIM(A1549),TRIM(A1549)&amp;" Equity"))</f>
        <v/>
      </c>
      <c r="C1549">
        <f>IF(OR(SwitchUniverse&lt;&gt;"ON",$B1549=""),"",BDP($B1549,"NAME"))</f>
        <v/>
      </c>
      <c r="D1549">
        <f>IF(OR(SwitchUniverse&lt;&gt;"ON",$B1549=""),"",BDP($B1549,"GICS_SECTOR_NAME"))</f>
        <v/>
      </c>
    </row>
    <row r="1550" spans="2:4">
      <c r="B1550">
        <f>IF(TRIM(A1550&amp;"")="","",IF(RIGHT(TRIM(A1550),7)=" Equity",TRIM(A1550),TRIM(A1550)&amp;" Equity"))</f>
        <v/>
      </c>
      <c r="C1550">
        <f>IF(OR(SwitchUniverse&lt;&gt;"ON",$B1550=""),"",BDP($B1550,"NAME"))</f>
        <v/>
      </c>
      <c r="D1550">
        <f>IF(OR(SwitchUniverse&lt;&gt;"ON",$B1550=""),"",BDP($B1550,"GICS_SECTOR_NAME"))</f>
        <v/>
      </c>
    </row>
    <row r="1551" spans="2:4">
      <c r="B1551">
        <f>IF(TRIM(A1551&amp;"")="","",IF(RIGHT(TRIM(A1551),7)=" Equity",TRIM(A1551),TRIM(A1551)&amp;" Equity"))</f>
        <v/>
      </c>
      <c r="C1551">
        <f>IF(OR(SwitchUniverse&lt;&gt;"ON",$B1551=""),"",BDP($B1551,"NAME"))</f>
        <v/>
      </c>
      <c r="D1551">
        <f>IF(OR(SwitchUniverse&lt;&gt;"ON",$B1551=""),"",BDP($B1551,"GICS_SECTOR_NAME"))</f>
        <v/>
      </c>
    </row>
    <row r="1552" spans="2:4">
      <c r="B1552">
        <f>IF(TRIM(A1552&amp;"")="","",IF(RIGHT(TRIM(A1552),7)=" Equity",TRIM(A1552),TRIM(A1552)&amp;" Equity"))</f>
        <v/>
      </c>
      <c r="C1552">
        <f>IF(OR(SwitchUniverse&lt;&gt;"ON",$B1552=""),"",BDP($B1552,"NAME"))</f>
        <v/>
      </c>
      <c r="D1552">
        <f>IF(OR(SwitchUniverse&lt;&gt;"ON",$B1552=""),"",BDP($B1552,"GICS_SECTOR_NAME"))</f>
        <v/>
      </c>
    </row>
    <row r="1553" spans="2:4">
      <c r="B1553">
        <f>IF(TRIM(A1553&amp;"")="","",IF(RIGHT(TRIM(A1553),7)=" Equity",TRIM(A1553),TRIM(A1553)&amp;" Equity"))</f>
        <v/>
      </c>
      <c r="C1553">
        <f>IF(OR(SwitchUniverse&lt;&gt;"ON",$B1553=""),"",BDP($B1553,"NAME"))</f>
        <v/>
      </c>
      <c r="D1553">
        <f>IF(OR(SwitchUniverse&lt;&gt;"ON",$B1553=""),"",BDP($B1553,"GICS_SECTOR_NAME"))</f>
        <v/>
      </c>
    </row>
    <row r="1554" spans="2:4">
      <c r="B1554">
        <f>IF(TRIM(A1554&amp;"")="","",IF(RIGHT(TRIM(A1554),7)=" Equity",TRIM(A1554),TRIM(A1554)&amp;" Equity"))</f>
        <v/>
      </c>
      <c r="C1554">
        <f>IF(OR(SwitchUniverse&lt;&gt;"ON",$B1554=""),"",BDP($B1554,"NAME"))</f>
        <v/>
      </c>
      <c r="D1554">
        <f>IF(OR(SwitchUniverse&lt;&gt;"ON",$B1554=""),"",BDP($B1554,"GICS_SECTOR_NAME"))</f>
        <v/>
      </c>
    </row>
    <row r="1555" spans="2:4">
      <c r="B1555">
        <f>IF(TRIM(A1555&amp;"")="","",IF(RIGHT(TRIM(A1555),7)=" Equity",TRIM(A1555),TRIM(A1555)&amp;" Equity"))</f>
        <v/>
      </c>
      <c r="C1555">
        <f>IF(OR(SwitchUniverse&lt;&gt;"ON",$B1555=""),"",BDP($B1555,"NAME"))</f>
        <v/>
      </c>
      <c r="D1555">
        <f>IF(OR(SwitchUniverse&lt;&gt;"ON",$B1555=""),"",BDP($B1555,"GICS_SECTOR_NAME"))</f>
        <v/>
      </c>
    </row>
    <row r="1556" spans="2:4">
      <c r="B1556">
        <f>IF(TRIM(A1556&amp;"")="","",IF(RIGHT(TRIM(A1556),7)=" Equity",TRIM(A1556),TRIM(A1556)&amp;" Equity"))</f>
        <v/>
      </c>
      <c r="C1556">
        <f>IF(OR(SwitchUniverse&lt;&gt;"ON",$B1556=""),"",BDP($B1556,"NAME"))</f>
        <v/>
      </c>
      <c r="D1556">
        <f>IF(OR(SwitchUniverse&lt;&gt;"ON",$B1556=""),"",BDP($B1556,"GICS_SECTOR_NAME"))</f>
        <v/>
      </c>
    </row>
    <row r="1557" spans="2:4">
      <c r="B1557">
        <f>IF(TRIM(A1557&amp;"")="","",IF(RIGHT(TRIM(A1557),7)=" Equity",TRIM(A1557),TRIM(A1557)&amp;" Equity"))</f>
        <v/>
      </c>
      <c r="C1557">
        <f>IF(OR(SwitchUniverse&lt;&gt;"ON",$B1557=""),"",BDP($B1557,"NAME"))</f>
        <v/>
      </c>
      <c r="D1557">
        <f>IF(OR(SwitchUniverse&lt;&gt;"ON",$B1557=""),"",BDP($B1557,"GICS_SECTOR_NAME"))</f>
        <v/>
      </c>
    </row>
    <row r="1558" spans="2:4">
      <c r="B1558">
        <f>IF(TRIM(A1558&amp;"")="","",IF(RIGHT(TRIM(A1558),7)=" Equity",TRIM(A1558),TRIM(A1558)&amp;" Equity"))</f>
        <v/>
      </c>
      <c r="C1558">
        <f>IF(OR(SwitchUniverse&lt;&gt;"ON",$B1558=""),"",BDP($B1558,"NAME"))</f>
        <v/>
      </c>
      <c r="D1558">
        <f>IF(OR(SwitchUniverse&lt;&gt;"ON",$B1558=""),"",BDP($B1558,"GICS_SECTOR_NAME"))</f>
        <v/>
      </c>
    </row>
    <row r="1559" spans="2:4">
      <c r="B1559">
        <f>IF(TRIM(A1559&amp;"")="","",IF(RIGHT(TRIM(A1559),7)=" Equity",TRIM(A1559),TRIM(A1559)&amp;" Equity"))</f>
        <v/>
      </c>
      <c r="C1559">
        <f>IF(OR(SwitchUniverse&lt;&gt;"ON",$B1559=""),"",BDP($B1559,"NAME"))</f>
        <v/>
      </c>
      <c r="D1559">
        <f>IF(OR(SwitchUniverse&lt;&gt;"ON",$B1559=""),"",BDP($B1559,"GICS_SECTOR_NAME"))</f>
        <v/>
      </c>
    </row>
    <row r="1560" spans="2:4">
      <c r="B1560">
        <f>IF(TRIM(A1560&amp;"")="","",IF(RIGHT(TRIM(A1560),7)=" Equity",TRIM(A1560),TRIM(A1560)&amp;" Equity"))</f>
        <v/>
      </c>
      <c r="C1560">
        <f>IF(OR(SwitchUniverse&lt;&gt;"ON",$B1560=""),"",BDP($B1560,"NAME"))</f>
        <v/>
      </c>
      <c r="D1560">
        <f>IF(OR(SwitchUniverse&lt;&gt;"ON",$B1560=""),"",BDP($B1560,"GICS_SECTOR_NAME"))</f>
        <v/>
      </c>
    </row>
    <row r="1561" spans="2:4">
      <c r="B1561">
        <f>IF(TRIM(A1561&amp;"")="","",IF(RIGHT(TRIM(A1561),7)=" Equity",TRIM(A1561),TRIM(A1561)&amp;" Equity"))</f>
        <v/>
      </c>
      <c r="C1561">
        <f>IF(OR(SwitchUniverse&lt;&gt;"ON",$B1561=""),"",BDP($B1561,"NAME"))</f>
        <v/>
      </c>
      <c r="D1561">
        <f>IF(OR(SwitchUniverse&lt;&gt;"ON",$B1561=""),"",BDP($B1561,"GICS_SECTOR_NAME"))</f>
        <v/>
      </c>
    </row>
    <row r="1562" spans="2:4">
      <c r="B1562">
        <f>IF(TRIM(A1562&amp;"")="","",IF(RIGHT(TRIM(A1562),7)=" Equity",TRIM(A1562),TRIM(A1562)&amp;" Equity"))</f>
        <v/>
      </c>
      <c r="C1562">
        <f>IF(OR(SwitchUniverse&lt;&gt;"ON",$B1562=""),"",BDP($B1562,"NAME"))</f>
        <v/>
      </c>
      <c r="D1562">
        <f>IF(OR(SwitchUniverse&lt;&gt;"ON",$B1562=""),"",BDP($B1562,"GICS_SECTOR_NAME"))</f>
        <v/>
      </c>
    </row>
    <row r="1563" spans="2:4">
      <c r="B1563">
        <f>IF(TRIM(A1563&amp;"")="","",IF(RIGHT(TRIM(A1563),7)=" Equity",TRIM(A1563),TRIM(A1563)&amp;" Equity"))</f>
        <v/>
      </c>
      <c r="C1563">
        <f>IF(OR(SwitchUniverse&lt;&gt;"ON",$B1563=""),"",BDP($B1563,"NAME"))</f>
        <v/>
      </c>
      <c r="D1563">
        <f>IF(OR(SwitchUniverse&lt;&gt;"ON",$B1563=""),"",BDP($B1563,"GICS_SECTOR_NAME"))</f>
        <v/>
      </c>
    </row>
    <row r="1564" spans="2:4">
      <c r="B1564">
        <f>IF(TRIM(A1564&amp;"")="","",IF(RIGHT(TRIM(A1564),7)=" Equity",TRIM(A1564),TRIM(A1564)&amp;" Equity"))</f>
        <v/>
      </c>
      <c r="C1564">
        <f>IF(OR(SwitchUniverse&lt;&gt;"ON",$B1564=""),"",BDP($B1564,"NAME"))</f>
        <v/>
      </c>
      <c r="D1564">
        <f>IF(OR(SwitchUniverse&lt;&gt;"ON",$B1564=""),"",BDP($B1564,"GICS_SECTOR_NAME"))</f>
        <v/>
      </c>
    </row>
    <row r="1565" spans="2:4">
      <c r="B1565">
        <f>IF(TRIM(A1565&amp;"")="","",IF(RIGHT(TRIM(A1565),7)=" Equity",TRIM(A1565),TRIM(A1565)&amp;" Equity"))</f>
        <v/>
      </c>
      <c r="C1565">
        <f>IF(OR(SwitchUniverse&lt;&gt;"ON",$B1565=""),"",BDP($B1565,"NAME"))</f>
        <v/>
      </c>
      <c r="D1565">
        <f>IF(OR(SwitchUniverse&lt;&gt;"ON",$B1565=""),"",BDP($B1565,"GICS_SECTOR_NAME"))</f>
        <v/>
      </c>
    </row>
    <row r="1566" spans="2:4">
      <c r="B1566">
        <f>IF(TRIM(A1566&amp;"")="","",IF(RIGHT(TRIM(A1566),7)=" Equity",TRIM(A1566),TRIM(A1566)&amp;" Equity"))</f>
        <v/>
      </c>
      <c r="C1566">
        <f>IF(OR(SwitchUniverse&lt;&gt;"ON",$B1566=""),"",BDP($B1566,"NAME"))</f>
        <v/>
      </c>
      <c r="D1566">
        <f>IF(OR(SwitchUniverse&lt;&gt;"ON",$B1566=""),"",BDP($B1566,"GICS_SECTOR_NAME"))</f>
        <v/>
      </c>
    </row>
    <row r="1567" spans="2:4">
      <c r="B1567">
        <f>IF(TRIM(A1567&amp;"")="","",IF(RIGHT(TRIM(A1567),7)=" Equity",TRIM(A1567),TRIM(A1567)&amp;" Equity"))</f>
        <v/>
      </c>
      <c r="C1567">
        <f>IF(OR(SwitchUniverse&lt;&gt;"ON",$B1567=""),"",BDP($B1567,"NAME"))</f>
        <v/>
      </c>
      <c r="D1567">
        <f>IF(OR(SwitchUniverse&lt;&gt;"ON",$B1567=""),"",BDP($B1567,"GICS_SECTOR_NAME"))</f>
        <v/>
      </c>
    </row>
    <row r="1568" spans="2:4">
      <c r="B1568">
        <f>IF(TRIM(A1568&amp;"")="","",IF(RIGHT(TRIM(A1568),7)=" Equity",TRIM(A1568),TRIM(A1568)&amp;" Equity"))</f>
        <v/>
      </c>
      <c r="C1568">
        <f>IF(OR(SwitchUniverse&lt;&gt;"ON",$B1568=""),"",BDP($B1568,"NAME"))</f>
        <v/>
      </c>
      <c r="D1568">
        <f>IF(OR(SwitchUniverse&lt;&gt;"ON",$B1568=""),"",BDP($B1568,"GICS_SECTOR_NAME"))</f>
        <v/>
      </c>
    </row>
    <row r="1569" spans="2:4">
      <c r="B1569">
        <f>IF(TRIM(A1569&amp;"")="","",IF(RIGHT(TRIM(A1569),7)=" Equity",TRIM(A1569),TRIM(A1569)&amp;" Equity"))</f>
        <v/>
      </c>
      <c r="C1569">
        <f>IF(OR(SwitchUniverse&lt;&gt;"ON",$B1569=""),"",BDP($B1569,"NAME"))</f>
        <v/>
      </c>
      <c r="D1569">
        <f>IF(OR(SwitchUniverse&lt;&gt;"ON",$B1569=""),"",BDP($B1569,"GICS_SECTOR_NAME"))</f>
        <v/>
      </c>
    </row>
    <row r="1570" spans="2:4">
      <c r="B1570">
        <f>IF(TRIM(A1570&amp;"")="","",IF(RIGHT(TRIM(A1570),7)=" Equity",TRIM(A1570),TRIM(A1570)&amp;" Equity"))</f>
        <v/>
      </c>
      <c r="C1570">
        <f>IF(OR(SwitchUniverse&lt;&gt;"ON",$B1570=""),"",BDP($B1570,"NAME"))</f>
        <v/>
      </c>
      <c r="D1570">
        <f>IF(OR(SwitchUniverse&lt;&gt;"ON",$B1570=""),"",BDP($B1570,"GICS_SECTOR_NAME"))</f>
        <v/>
      </c>
    </row>
    <row r="1571" spans="2:4">
      <c r="B1571">
        <f>IF(TRIM(A1571&amp;"")="","",IF(RIGHT(TRIM(A1571),7)=" Equity",TRIM(A1571),TRIM(A1571)&amp;" Equity"))</f>
        <v/>
      </c>
      <c r="C1571">
        <f>IF(OR(SwitchUniverse&lt;&gt;"ON",$B1571=""),"",BDP($B1571,"NAME"))</f>
        <v/>
      </c>
      <c r="D1571">
        <f>IF(OR(SwitchUniverse&lt;&gt;"ON",$B1571=""),"",BDP($B1571,"GICS_SECTOR_NAME"))</f>
        <v/>
      </c>
    </row>
    <row r="1572" spans="2:4">
      <c r="B1572">
        <f>IF(TRIM(A1572&amp;"")="","",IF(RIGHT(TRIM(A1572),7)=" Equity",TRIM(A1572),TRIM(A1572)&amp;" Equity"))</f>
        <v/>
      </c>
      <c r="C1572">
        <f>IF(OR(SwitchUniverse&lt;&gt;"ON",$B1572=""),"",BDP($B1572,"NAME"))</f>
        <v/>
      </c>
      <c r="D1572">
        <f>IF(OR(SwitchUniverse&lt;&gt;"ON",$B1572=""),"",BDP($B1572,"GICS_SECTOR_NAME"))</f>
        <v/>
      </c>
    </row>
    <row r="1573" spans="2:4">
      <c r="B1573">
        <f>IF(TRIM(A1573&amp;"")="","",IF(RIGHT(TRIM(A1573),7)=" Equity",TRIM(A1573),TRIM(A1573)&amp;" Equity"))</f>
        <v/>
      </c>
      <c r="C1573">
        <f>IF(OR(SwitchUniverse&lt;&gt;"ON",$B1573=""),"",BDP($B1573,"NAME"))</f>
        <v/>
      </c>
      <c r="D1573">
        <f>IF(OR(SwitchUniverse&lt;&gt;"ON",$B1573=""),"",BDP($B1573,"GICS_SECTOR_NAME"))</f>
        <v/>
      </c>
    </row>
    <row r="1574" spans="2:4">
      <c r="B1574">
        <f>IF(TRIM(A1574&amp;"")="","",IF(RIGHT(TRIM(A1574),7)=" Equity",TRIM(A1574),TRIM(A1574)&amp;" Equity"))</f>
        <v/>
      </c>
      <c r="C1574">
        <f>IF(OR(SwitchUniverse&lt;&gt;"ON",$B1574=""),"",BDP($B1574,"NAME"))</f>
        <v/>
      </c>
      <c r="D1574">
        <f>IF(OR(SwitchUniverse&lt;&gt;"ON",$B1574=""),"",BDP($B1574,"GICS_SECTOR_NAME"))</f>
        <v/>
      </c>
    </row>
    <row r="1575" spans="2:4">
      <c r="B1575">
        <f>IF(TRIM(A1575&amp;"")="","",IF(RIGHT(TRIM(A1575),7)=" Equity",TRIM(A1575),TRIM(A1575)&amp;" Equity"))</f>
        <v/>
      </c>
      <c r="C1575">
        <f>IF(OR(SwitchUniverse&lt;&gt;"ON",$B1575=""),"",BDP($B1575,"NAME"))</f>
        <v/>
      </c>
      <c r="D1575">
        <f>IF(OR(SwitchUniverse&lt;&gt;"ON",$B1575=""),"",BDP($B1575,"GICS_SECTOR_NAME"))</f>
        <v/>
      </c>
    </row>
    <row r="1576" spans="2:4">
      <c r="B1576">
        <f>IF(TRIM(A1576&amp;"")="","",IF(RIGHT(TRIM(A1576),7)=" Equity",TRIM(A1576),TRIM(A1576)&amp;" Equity"))</f>
        <v/>
      </c>
      <c r="C1576">
        <f>IF(OR(SwitchUniverse&lt;&gt;"ON",$B1576=""),"",BDP($B1576,"NAME"))</f>
        <v/>
      </c>
      <c r="D1576">
        <f>IF(OR(SwitchUniverse&lt;&gt;"ON",$B1576=""),"",BDP($B1576,"GICS_SECTOR_NAME"))</f>
        <v/>
      </c>
    </row>
    <row r="1577" spans="2:4">
      <c r="B1577">
        <f>IF(TRIM(A1577&amp;"")="","",IF(RIGHT(TRIM(A1577),7)=" Equity",TRIM(A1577),TRIM(A1577)&amp;" Equity"))</f>
        <v/>
      </c>
      <c r="C1577">
        <f>IF(OR(SwitchUniverse&lt;&gt;"ON",$B1577=""),"",BDP($B1577,"NAME"))</f>
        <v/>
      </c>
      <c r="D1577">
        <f>IF(OR(SwitchUniverse&lt;&gt;"ON",$B1577=""),"",BDP($B1577,"GICS_SECTOR_NAME"))</f>
        <v/>
      </c>
    </row>
    <row r="1578" spans="2:4">
      <c r="B1578">
        <f>IF(TRIM(A1578&amp;"")="","",IF(RIGHT(TRIM(A1578),7)=" Equity",TRIM(A1578),TRIM(A1578)&amp;" Equity"))</f>
        <v/>
      </c>
      <c r="C1578">
        <f>IF(OR(SwitchUniverse&lt;&gt;"ON",$B1578=""),"",BDP($B1578,"NAME"))</f>
        <v/>
      </c>
      <c r="D1578">
        <f>IF(OR(SwitchUniverse&lt;&gt;"ON",$B1578=""),"",BDP($B1578,"GICS_SECTOR_NAME"))</f>
        <v/>
      </c>
    </row>
    <row r="1579" spans="2:4">
      <c r="B1579">
        <f>IF(TRIM(A1579&amp;"")="","",IF(RIGHT(TRIM(A1579),7)=" Equity",TRIM(A1579),TRIM(A1579)&amp;" Equity"))</f>
        <v/>
      </c>
      <c r="C1579">
        <f>IF(OR(SwitchUniverse&lt;&gt;"ON",$B1579=""),"",BDP($B1579,"NAME"))</f>
        <v/>
      </c>
      <c r="D1579">
        <f>IF(OR(SwitchUniverse&lt;&gt;"ON",$B1579=""),"",BDP($B1579,"GICS_SECTOR_NAME"))</f>
        <v/>
      </c>
    </row>
    <row r="1580" spans="2:4">
      <c r="B1580">
        <f>IF(TRIM(A1580&amp;"")="","",IF(RIGHT(TRIM(A1580),7)=" Equity",TRIM(A1580),TRIM(A1580)&amp;" Equity"))</f>
        <v/>
      </c>
      <c r="C1580">
        <f>IF(OR(SwitchUniverse&lt;&gt;"ON",$B1580=""),"",BDP($B1580,"NAME"))</f>
        <v/>
      </c>
      <c r="D1580">
        <f>IF(OR(SwitchUniverse&lt;&gt;"ON",$B1580=""),"",BDP($B1580,"GICS_SECTOR_NAME"))</f>
        <v/>
      </c>
    </row>
    <row r="1581" spans="2:4">
      <c r="B1581">
        <f>IF(TRIM(A1581&amp;"")="","",IF(RIGHT(TRIM(A1581),7)=" Equity",TRIM(A1581),TRIM(A1581)&amp;" Equity"))</f>
        <v/>
      </c>
      <c r="C1581">
        <f>IF(OR(SwitchUniverse&lt;&gt;"ON",$B1581=""),"",BDP($B1581,"NAME"))</f>
        <v/>
      </c>
      <c r="D1581">
        <f>IF(OR(SwitchUniverse&lt;&gt;"ON",$B1581=""),"",BDP($B1581,"GICS_SECTOR_NAME"))</f>
        <v/>
      </c>
    </row>
    <row r="1582" spans="2:4">
      <c r="B1582">
        <f>IF(TRIM(A1582&amp;"")="","",IF(RIGHT(TRIM(A1582),7)=" Equity",TRIM(A1582),TRIM(A1582)&amp;" Equity"))</f>
        <v/>
      </c>
      <c r="C1582">
        <f>IF(OR(SwitchUniverse&lt;&gt;"ON",$B1582=""),"",BDP($B1582,"NAME"))</f>
        <v/>
      </c>
      <c r="D1582">
        <f>IF(OR(SwitchUniverse&lt;&gt;"ON",$B1582=""),"",BDP($B1582,"GICS_SECTOR_NAME"))</f>
        <v/>
      </c>
    </row>
    <row r="1583" spans="2:4">
      <c r="B1583">
        <f>IF(TRIM(A1583&amp;"")="","",IF(RIGHT(TRIM(A1583),7)=" Equity",TRIM(A1583),TRIM(A1583)&amp;" Equity"))</f>
        <v/>
      </c>
      <c r="C1583">
        <f>IF(OR(SwitchUniverse&lt;&gt;"ON",$B1583=""),"",BDP($B1583,"NAME"))</f>
        <v/>
      </c>
      <c r="D1583">
        <f>IF(OR(SwitchUniverse&lt;&gt;"ON",$B1583=""),"",BDP($B1583,"GICS_SECTOR_NAME"))</f>
        <v/>
      </c>
    </row>
    <row r="1584" spans="2:4">
      <c r="B1584">
        <f>IF(TRIM(A1584&amp;"")="","",IF(RIGHT(TRIM(A1584),7)=" Equity",TRIM(A1584),TRIM(A1584)&amp;" Equity"))</f>
        <v/>
      </c>
      <c r="C1584">
        <f>IF(OR(SwitchUniverse&lt;&gt;"ON",$B1584=""),"",BDP($B1584,"NAME"))</f>
        <v/>
      </c>
      <c r="D1584">
        <f>IF(OR(SwitchUniverse&lt;&gt;"ON",$B1584=""),"",BDP($B1584,"GICS_SECTOR_NAME"))</f>
        <v/>
      </c>
    </row>
    <row r="1585" spans="2:4">
      <c r="B1585">
        <f>IF(TRIM(A1585&amp;"")="","",IF(RIGHT(TRIM(A1585),7)=" Equity",TRIM(A1585),TRIM(A1585)&amp;" Equity"))</f>
        <v/>
      </c>
      <c r="C1585">
        <f>IF(OR(SwitchUniverse&lt;&gt;"ON",$B1585=""),"",BDP($B1585,"NAME"))</f>
        <v/>
      </c>
      <c r="D1585">
        <f>IF(OR(SwitchUniverse&lt;&gt;"ON",$B1585=""),"",BDP($B1585,"GICS_SECTOR_NAME"))</f>
        <v/>
      </c>
    </row>
    <row r="1586" spans="2:4">
      <c r="B1586">
        <f>IF(TRIM(A1586&amp;"")="","",IF(RIGHT(TRIM(A1586),7)=" Equity",TRIM(A1586),TRIM(A1586)&amp;" Equity"))</f>
        <v/>
      </c>
      <c r="C1586">
        <f>IF(OR(SwitchUniverse&lt;&gt;"ON",$B1586=""),"",BDP($B1586,"NAME"))</f>
        <v/>
      </c>
      <c r="D1586">
        <f>IF(OR(SwitchUniverse&lt;&gt;"ON",$B1586=""),"",BDP($B1586,"GICS_SECTOR_NAME"))</f>
        <v/>
      </c>
    </row>
    <row r="1587" spans="2:4">
      <c r="B1587">
        <f>IF(TRIM(A1587&amp;"")="","",IF(RIGHT(TRIM(A1587),7)=" Equity",TRIM(A1587),TRIM(A1587)&amp;" Equity"))</f>
        <v/>
      </c>
      <c r="C1587">
        <f>IF(OR(SwitchUniverse&lt;&gt;"ON",$B1587=""),"",BDP($B1587,"NAME"))</f>
        <v/>
      </c>
      <c r="D1587">
        <f>IF(OR(SwitchUniverse&lt;&gt;"ON",$B1587=""),"",BDP($B1587,"GICS_SECTOR_NAME"))</f>
        <v/>
      </c>
    </row>
    <row r="1588" spans="2:4">
      <c r="B1588">
        <f>IF(TRIM(A1588&amp;"")="","",IF(RIGHT(TRIM(A1588),7)=" Equity",TRIM(A1588),TRIM(A1588)&amp;" Equity"))</f>
        <v/>
      </c>
      <c r="C1588">
        <f>IF(OR(SwitchUniverse&lt;&gt;"ON",$B1588=""),"",BDP($B1588,"NAME"))</f>
        <v/>
      </c>
      <c r="D1588">
        <f>IF(OR(SwitchUniverse&lt;&gt;"ON",$B1588=""),"",BDP($B1588,"GICS_SECTOR_NAME"))</f>
        <v/>
      </c>
    </row>
    <row r="1589" spans="2:4">
      <c r="B1589">
        <f>IF(TRIM(A1589&amp;"")="","",IF(RIGHT(TRIM(A1589),7)=" Equity",TRIM(A1589),TRIM(A1589)&amp;" Equity"))</f>
        <v/>
      </c>
      <c r="C1589">
        <f>IF(OR(SwitchUniverse&lt;&gt;"ON",$B1589=""),"",BDP($B1589,"NAME"))</f>
        <v/>
      </c>
      <c r="D1589">
        <f>IF(OR(SwitchUniverse&lt;&gt;"ON",$B1589=""),"",BDP($B1589,"GICS_SECTOR_NAME"))</f>
        <v/>
      </c>
    </row>
    <row r="1590" spans="2:4">
      <c r="B1590">
        <f>IF(TRIM(A1590&amp;"")="","",IF(RIGHT(TRIM(A1590),7)=" Equity",TRIM(A1590),TRIM(A1590)&amp;" Equity"))</f>
        <v/>
      </c>
      <c r="C1590">
        <f>IF(OR(SwitchUniverse&lt;&gt;"ON",$B1590=""),"",BDP($B1590,"NAME"))</f>
        <v/>
      </c>
      <c r="D1590">
        <f>IF(OR(SwitchUniverse&lt;&gt;"ON",$B1590=""),"",BDP($B1590,"GICS_SECTOR_NAME"))</f>
        <v/>
      </c>
    </row>
    <row r="1591" spans="2:4">
      <c r="B1591">
        <f>IF(TRIM(A1591&amp;"")="","",IF(RIGHT(TRIM(A1591),7)=" Equity",TRIM(A1591),TRIM(A1591)&amp;" Equity"))</f>
        <v/>
      </c>
      <c r="C1591">
        <f>IF(OR(SwitchUniverse&lt;&gt;"ON",$B1591=""),"",BDP($B1591,"NAME"))</f>
        <v/>
      </c>
      <c r="D1591">
        <f>IF(OR(SwitchUniverse&lt;&gt;"ON",$B1591=""),"",BDP($B1591,"GICS_SECTOR_NAME"))</f>
        <v/>
      </c>
    </row>
    <row r="1592" spans="2:4">
      <c r="B1592">
        <f>IF(TRIM(A1592&amp;"")="","",IF(RIGHT(TRIM(A1592),7)=" Equity",TRIM(A1592),TRIM(A1592)&amp;" Equity"))</f>
        <v/>
      </c>
      <c r="C1592">
        <f>IF(OR(SwitchUniverse&lt;&gt;"ON",$B1592=""),"",BDP($B1592,"NAME"))</f>
        <v/>
      </c>
      <c r="D1592">
        <f>IF(OR(SwitchUniverse&lt;&gt;"ON",$B1592=""),"",BDP($B1592,"GICS_SECTOR_NAME"))</f>
        <v/>
      </c>
    </row>
    <row r="1593" spans="2:4">
      <c r="B1593">
        <f>IF(TRIM(A1593&amp;"")="","",IF(RIGHT(TRIM(A1593),7)=" Equity",TRIM(A1593),TRIM(A1593)&amp;" Equity"))</f>
        <v/>
      </c>
      <c r="C1593">
        <f>IF(OR(SwitchUniverse&lt;&gt;"ON",$B1593=""),"",BDP($B1593,"NAME"))</f>
        <v/>
      </c>
      <c r="D1593">
        <f>IF(OR(SwitchUniverse&lt;&gt;"ON",$B1593=""),"",BDP($B1593,"GICS_SECTOR_NAME"))</f>
        <v/>
      </c>
    </row>
    <row r="1594" spans="2:4">
      <c r="B1594">
        <f>IF(TRIM(A1594&amp;"")="","",IF(RIGHT(TRIM(A1594),7)=" Equity",TRIM(A1594),TRIM(A1594)&amp;" Equity"))</f>
        <v/>
      </c>
      <c r="C1594">
        <f>IF(OR(SwitchUniverse&lt;&gt;"ON",$B1594=""),"",BDP($B1594,"NAME"))</f>
        <v/>
      </c>
      <c r="D1594">
        <f>IF(OR(SwitchUniverse&lt;&gt;"ON",$B1594=""),"",BDP($B1594,"GICS_SECTOR_NAME"))</f>
        <v/>
      </c>
    </row>
    <row r="1595" spans="2:4">
      <c r="B1595">
        <f>IF(TRIM(A1595&amp;"")="","",IF(RIGHT(TRIM(A1595),7)=" Equity",TRIM(A1595),TRIM(A1595)&amp;" Equity"))</f>
        <v/>
      </c>
      <c r="C1595">
        <f>IF(OR(SwitchUniverse&lt;&gt;"ON",$B1595=""),"",BDP($B1595,"NAME"))</f>
        <v/>
      </c>
      <c r="D1595">
        <f>IF(OR(SwitchUniverse&lt;&gt;"ON",$B1595=""),"",BDP($B1595,"GICS_SECTOR_NAME"))</f>
        <v/>
      </c>
    </row>
    <row r="1596" spans="2:4">
      <c r="B1596">
        <f>IF(TRIM(A1596&amp;"")="","",IF(RIGHT(TRIM(A1596),7)=" Equity",TRIM(A1596),TRIM(A1596)&amp;" Equity"))</f>
        <v/>
      </c>
      <c r="C1596">
        <f>IF(OR(SwitchUniverse&lt;&gt;"ON",$B1596=""),"",BDP($B1596,"NAME"))</f>
        <v/>
      </c>
      <c r="D1596">
        <f>IF(OR(SwitchUniverse&lt;&gt;"ON",$B1596=""),"",BDP($B1596,"GICS_SECTOR_NAME"))</f>
        <v/>
      </c>
    </row>
    <row r="1597" spans="2:4">
      <c r="B1597">
        <f>IF(TRIM(A1597&amp;"")="","",IF(RIGHT(TRIM(A1597),7)=" Equity",TRIM(A1597),TRIM(A1597)&amp;" Equity"))</f>
        <v/>
      </c>
      <c r="C1597">
        <f>IF(OR(SwitchUniverse&lt;&gt;"ON",$B1597=""),"",BDP($B1597,"NAME"))</f>
        <v/>
      </c>
      <c r="D1597">
        <f>IF(OR(SwitchUniverse&lt;&gt;"ON",$B1597=""),"",BDP($B1597,"GICS_SECTOR_NAME"))</f>
        <v/>
      </c>
    </row>
    <row r="1598" spans="2:4">
      <c r="B1598">
        <f>IF(TRIM(A1598&amp;"")="","",IF(RIGHT(TRIM(A1598),7)=" Equity",TRIM(A1598),TRIM(A1598)&amp;" Equity"))</f>
        <v/>
      </c>
      <c r="C1598">
        <f>IF(OR(SwitchUniverse&lt;&gt;"ON",$B1598=""),"",BDP($B1598,"NAME"))</f>
        <v/>
      </c>
      <c r="D1598">
        <f>IF(OR(SwitchUniverse&lt;&gt;"ON",$B1598=""),"",BDP($B1598,"GICS_SECTOR_NAME"))</f>
        <v/>
      </c>
    </row>
    <row r="1599" spans="2:4">
      <c r="B1599">
        <f>IF(TRIM(A1599&amp;"")="","",IF(RIGHT(TRIM(A1599),7)=" Equity",TRIM(A1599),TRIM(A1599)&amp;" Equity"))</f>
        <v/>
      </c>
      <c r="C1599">
        <f>IF(OR(SwitchUniverse&lt;&gt;"ON",$B1599=""),"",BDP($B1599,"NAME"))</f>
        <v/>
      </c>
      <c r="D1599">
        <f>IF(OR(SwitchUniverse&lt;&gt;"ON",$B1599=""),"",BDP($B1599,"GICS_SECTOR_NAME"))</f>
        <v/>
      </c>
    </row>
    <row r="1600" spans="2:4">
      <c r="B1600">
        <f>IF(TRIM(A1600&amp;"")="","",IF(RIGHT(TRIM(A1600),7)=" Equity",TRIM(A1600),TRIM(A1600)&amp;" Equity"))</f>
        <v/>
      </c>
      <c r="C1600">
        <f>IF(OR(SwitchUniverse&lt;&gt;"ON",$B1600=""),"",BDP($B1600,"NAME"))</f>
        <v/>
      </c>
      <c r="D1600">
        <f>IF(OR(SwitchUniverse&lt;&gt;"ON",$B1600=""),"",BDP($B1600,"GICS_SECTOR_NAME"))</f>
        <v/>
      </c>
    </row>
    <row r="1601" spans="2:4">
      <c r="B1601">
        <f>IF(TRIM(A1601&amp;"")="","",IF(RIGHT(TRIM(A1601),7)=" Equity",TRIM(A1601),TRIM(A1601)&amp;" Equity"))</f>
        <v/>
      </c>
      <c r="C1601">
        <f>IF(OR(SwitchUniverse&lt;&gt;"ON",$B1601=""),"",BDP($B1601,"NAME"))</f>
        <v/>
      </c>
      <c r="D1601">
        <f>IF(OR(SwitchUniverse&lt;&gt;"ON",$B1601=""),"",BDP($B1601,"GICS_SECTOR_NAME"))</f>
        <v/>
      </c>
    </row>
    <row r="1602" spans="2:4">
      <c r="B1602">
        <f>IF(TRIM(A1602&amp;"")="","",IF(RIGHT(TRIM(A1602),7)=" Equity",TRIM(A1602),TRIM(A1602)&amp;" Equity"))</f>
        <v/>
      </c>
      <c r="C1602">
        <f>IF(OR(SwitchUniverse&lt;&gt;"ON",$B1602=""),"",BDP($B1602,"NAME"))</f>
        <v/>
      </c>
      <c r="D1602">
        <f>IF(OR(SwitchUniverse&lt;&gt;"ON",$B1602=""),"",BDP($B1602,"GICS_SECTOR_NAME"))</f>
        <v/>
      </c>
    </row>
    <row r="1603" spans="2:4">
      <c r="B1603">
        <f>IF(TRIM(A1603&amp;"")="","",IF(RIGHT(TRIM(A1603),7)=" Equity",TRIM(A1603),TRIM(A1603)&amp;" Equity"))</f>
        <v/>
      </c>
      <c r="C1603">
        <f>IF(OR(SwitchUniverse&lt;&gt;"ON",$B1603=""),"",BDP($B1603,"NAME"))</f>
        <v/>
      </c>
      <c r="D1603">
        <f>IF(OR(SwitchUniverse&lt;&gt;"ON",$B1603=""),"",BDP($B1603,"GICS_SECTOR_NAME"))</f>
        <v/>
      </c>
    </row>
    <row r="1604" spans="2:4">
      <c r="B1604">
        <f>IF(TRIM(A1604&amp;"")="","",IF(RIGHT(TRIM(A1604),7)=" Equity",TRIM(A1604),TRIM(A1604)&amp;" Equity"))</f>
        <v/>
      </c>
      <c r="C1604">
        <f>IF(OR(SwitchUniverse&lt;&gt;"ON",$B1604=""),"",BDP($B1604,"NAME"))</f>
        <v/>
      </c>
      <c r="D1604">
        <f>IF(OR(SwitchUniverse&lt;&gt;"ON",$B1604=""),"",BDP($B1604,"GICS_SECTOR_NAME"))</f>
        <v/>
      </c>
    </row>
    <row r="1605" spans="2:4">
      <c r="B1605">
        <f>IF(TRIM(A1605&amp;"")="","",IF(RIGHT(TRIM(A1605),7)=" Equity",TRIM(A1605),TRIM(A1605)&amp;" Equity"))</f>
        <v/>
      </c>
      <c r="C1605">
        <f>IF(OR(SwitchUniverse&lt;&gt;"ON",$B1605=""),"",BDP($B1605,"NAME"))</f>
        <v/>
      </c>
      <c r="D1605">
        <f>IF(OR(SwitchUniverse&lt;&gt;"ON",$B1605=""),"",BDP($B1605,"GICS_SECTOR_NAME"))</f>
        <v/>
      </c>
    </row>
    <row r="1606" spans="2:4">
      <c r="B1606">
        <f>IF(TRIM(A1606&amp;"")="","",IF(RIGHT(TRIM(A1606),7)=" Equity",TRIM(A1606),TRIM(A1606)&amp;" Equity"))</f>
        <v/>
      </c>
      <c r="C1606">
        <f>IF(OR(SwitchUniverse&lt;&gt;"ON",$B1606=""),"",BDP($B1606,"NAME"))</f>
        <v/>
      </c>
      <c r="D1606">
        <f>IF(OR(SwitchUniverse&lt;&gt;"ON",$B1606=""),"",BDP($B1606,"GICS_SECTOR_NAME"))</f>
        <v/>
      </c>
    </row>
    <row r="1607" spans="2:4">
      <c r="B1607">
        <f>IF(TRIM(A1607&amp;"")="","",IF(RIGHT(TRIM(A1607),7)=" Equity",TRIM(A1607),TRIM(A1607)&amp;" Equity"))</f>
        <v/>
      </c>
      <c r="C1607">
        <f>IF(OR(SwitchUniverse&lt;&gt;"ON",$B1607=""),"",BDP($B1607,"NAME"))</f>
        <v/>
      </c>
      <c r="D1607">
        <f>IF(OR(SwitchUniverse&lt;&gt;"ON",$B1607=""),"",BDP($B1607,"GICS_SECTOR_NAME"))</f>
        <v/>
      </c>
    </row>
    <row r="1608" spans="2:4">
      <c r="B1608">
        <f>IF(TRIM(A1608&amp;"")="","",IF(RIGHT(TRIM(A1608),7)=" Equity",TRIM(A1608),TRIM(A1608)&amp;" Equity"))</f>
        <v/>
      </c>
      <c r="C1608">
        <f>IF(OR(SwitchUniverse&lt;&gt;"ON",$B1608=""),"",BDP($B1608,"NAME"))</f>
        <v/>
      </c>
      <c r="D1608">
        <f>IF(OR(SwitchUniverse&lt;&gt;"ON",$B1608=""),"",BDP($B1608,"GICS_SECTOR_NAME"))</f>
        <v/>
      </c>
    </row>
    <row r="1609" spans="2:4">
      <c r="B1609">
        <f>IF(TRIM(A1609&amp;"")="","",IF(RIGHT(TRIM(A1609),7)=" Equity",TRIM(A1609),TRIM(A1609)&amp;" Equity"))</f>
        <v/>
      </c>
      <c r="C1609">
        <f>IF(OR(SwitchUniverse&lt;&gt;"ON",$B1609=""),"",BDP($B1609,"NAME"))</f>
        <v/>
      </c>
      <c r="D1609">
        <f>IF(OR(SwitchUniverse&lt;&gt;"ON",$B1609=""),"",BDP($B1609,"GICS_SECTOR_NAME"))</f>
        <v/>
      </c>
    </row>
    <row r="1610" spans="2:4">
      <c r="B1610">
        <f>IF(TRIM(A1610&amp;"")="","",IF(RIGHT(TRIM(A1610),7)=" Equity",TRIM(A1610),TRIM(A1610)&amp;" Equity"))</f>
        <v/>
      </c>
      <c r="C1610">
        <f>IF(OR(SwitchUniverse&lt;&gt;"ON",$B1610=""),"",BDP($B1610,"NAME"))</f>
        <v/>
      </c>
      <c r="D1610">
        <f>IF(OR(SwitchUniverse&lt;&gt;"ON",$B1610=""),"",BDP($B1610,"GICS_SECTOR_NAME"))</f>
        <v/>
      </c>
    </row>
    <row r="1611" spans="2:4">
      <c r="B1611">
        <f>IF(TRIM(A1611&amp;"")="","",IF(RIGHT(TRIM(A1611),7)=" Equity",TRIM(A1611),TRIM(A1611)&amp;" Equity"))</f>
        <v/>
      </c>
      <c r="C1611">
        <f>IF(OR(SwitchUniverse&lt;&gt;"ON",$B1611=""),"",BDP($B1611,"NAME"))</f>
        <v/>
      </c>
      <c r="D1611">
        <f>IF(OR(SwitchUniverse&lt;&gt;"ON",$B1611=""),"",BDP($B1611,"GICS_SECTOR_NAME"))</f>
        <v/>
      </c>
    </row>
    <row r="1612" spans="2:4">
      <c r="B1612">
        <f>IF(TRIM(A1612&amp;"")="","",IF(RIGHT(TRIM(A1612),7)=" Equity",TRIM(A1612),TRIM(A1612)&amp;" Equity"))</f>
        <v/>
      </c>
      <c r="C1612">
        <f>IF(OR(SwitchUniverse&lt;&gt;"ON",$B1612=""),"",BDP($B1612,"NAME"))</f>
        <v/>
      </c>
      <c r="D1612">
        <f>IF(OR(SwitchUniverse&lt;&gt;"ON",$B1612=""),"",BDP($B1612,"GICS_SECTOR_NAME"))</f>
        <v/>
      </c>
    </row>
    <row r="1613" spans="2:4">
      <c r="B1613">
        <f>IF(TRIM(A1613&amp;"")="","",IF(RIGHT(TRIM(A1613),7)=" Equity",TRIM(A1613),TRIM(A1613)&amp;" Equity"))</f>
        <v/>
      </c>
      <c r="C1613">
        <f>IF(OR(SwitchUniverse&lt;&gt;"ON",$B1613=""),"",BDP($B1613,"NAME"))</f>
        <v/>
      </c>
      <c r="D1613">
        <f>IF(OR(SwitchUniverse&lt;&gt;"ON",$B1613=""),"",BDP($B1613,"GICS_SECTOR_NAME"))</f>
        <v/>
      </c>
    </row>
    <row r="1614" spans="2:4">
      <c r="B1614">
        <f>IF(TRIM(A1614&amp;"")="","",IF(RIGHT(TRIM(A1614),7)=" Equity",TRIM(A1614),TRIM(A1614)&amp;" Equity"))</f>
        <v/>
      </c>
      <c r="C1614">
        <f>IF(OR(SwitchUniverse&lt;&gt;"ON",$B1614=""),"",BDP($B1614,"NAME"))</f>
        <v/>
      </c>
      <c r="D1614">
        <f>IF(OR(SwitchUniverse&lt;&gt;"ON",$B1614=""),"",BDP($B1614,"GICS_SECTOR_NAME"))</f>
        <v/>
      </c>
    </row>
    <row r="1615" spans="2:4">
      <c r="B1615">
        <f>IF(TRIM(A1615&amp;"")="","",IF(RIGHT(TRIM(A1615),7)=" Equity",TRIM(A1615),TRIM(A1615)&amp;" Equity"))</f>
        <v/>
      </c>
      <c r="C1615">
        <f>IF(OR(SwitchUniverse&lt;&gt;"ON",$B1615=""),"",BDP($B1615,"NAME"))</f>
        <v/>
      </c>
      <c r="D1615">
        <f>IF(OR(SwitchUniverse&lt;&gt;"ON",$B1615=""),"",BDP($B1615,"GICS_SECTOR_NAME"))</f>
        <v/>
      </c>
    </row>
    <row r="1616" spans="2:4">
      <c r="B1616">
        <f>IF(TRIM(A1616&amp;"")="","",IF(RIGHT(TRIM(A1616),7)=" Equity",TRIM(A1616),TRIM(A1616)&amp;" Equity"))</f>
        <v/>
      </c>
      <c r="C1616">
        <f>IF(OR(SwitchUniverse&lt;&gt;"ON",$B1616=""),"",BDP($B1616,"NAME"))</f>
        <v/>
      </c>
      <c r="D1616">
        <f>IF(OR(SwitchUniverse&lt;&gt;"ON",$B1616=""),"",BDP($B1616,"GICS_SECTOR_NAME"))</f>
        <v/>
      </c>
    </row>
    <row r="1617" spans="2:4">
      <c r="B1617">
        <f>IF(TRIM(A1617&amp;"")="","",IF(RIGHT(TRIM(A1617),7)=" Equity",TRIM(A1617),TRIM(A1617)&amp;" Equity"))</f>
        <v/>
      </c>
      <c r="C1617">
        <f>IF(OR(SwitchUniverse&lt;&gt;"ON",$B1617=""),"",BDP($B1617,"NAME"))</f>
        <v/>
      </c>
      <c r="D1617">
        <f>IF(OR(SwitchUniverse&lt;&gt;"ON",$B1617=""),"",BDP($B1617,"GICS_SECTOR_NAME"))</f>
        <v/>
      </c>
    </row>
    <row r="1618" spans="2:4">
      <c r="B1618">
        <f>IF(TRIM(A1618&amp;"")="","",IF(RIGHT(TRIM(A1618),7)=" Equity",TRIM(A1618),TRIM(A1618)&amp;" Equity"))</f>
        <v/>
      </c>
      <c r="C1618">
        <f>IF(OR(SwitchUniverse&lt;&gt;"ON",$B1618=""),"",BDP($B1618,"NAME"))</f>
        <v/>
      </c>
      <c r="D1618">
        <f>IF(OR(SwitchUniverse&lt;&gt;"ON",$B1618=""),"",BDP($B1618,"GICS_SECTOR_NAME"))</f>
        <v/>
      </c>
    </row>
    <row r="1619" spans="2:4">
      <c r="B1619">
        <f>IF(TRIM(A1619&amp;"")="","",IF(RIGHT(TRIM(A1619),7)=" Equity",TRIM(A1619),TRIM(A1619)&amp;" Equity"))</f>
        <v/>
      </c>
      <c r="C1619">
        <f>IF(OR(SwitchUniverse&lt;&gt;"ON",$B1619=""),"",BDP($B1619,"NAME"))</f>
        <v/>
      </c>
      <c r="D1619">
        <f>IF(OR(SwitchUniverse&lt;&gt;"ON",$B1619=""),"",BDP($B1619,"GICS_SECTOR_NAME"))</f>
        <v/>
      </c>
    </row>
    <row r="1620" spans="2:4">
      <c r="B1620">
        <f>IF(TRIM(A1620&amp;"")="","",IF(RIGHT(TRIM(A1620),7)=" Equity",TRIM(A1620),TRIM(A1620)&amp;" Equity"))</f>
        <v/>
      </c>
      <c r="C1620">
        <f>IF(OR(SwitchUniverse&lt;&gt;"ON",$B1620=""),"",BDP($B1620,"NAME"))</f>
        <v/>
      </c>
      <c r="D1620">
        <f>IF(OR(SwitchUniverse&lt;&gt;"ON",$B1620=""),"",BDP($B1620,"GICS_SECTOR_NAME"))</f>
        <v/>
      </c>
    </row>
    <row r="1621" spans="2:4">
      <c r="B1621">
        <f>IF(TRIM(A1621&amp;"")="","",IF(RIGHT(TRIM(A1621),7)=" Equity",TRIM(A1621),TRIM(A1621)&amp;" Equity"))</f>
        <v/>
      </c>
      <c r="C1621">
        <f>IF(OR(SwitchUniverse&lt;&gt;"ON",$B1621=""),"",BDP($B1621,"NAME"))</f>
        <v/>
      </c>
      <c r="D1621">
        <f>IF(OR(SwitchUniverse&lt;&gt;"ON",$B1621=""),"",BDP($B1621,"GICS_SECTOR_NAME"))</f>
        <v/>
      </c>
    </row>
    <row r="1622" spans="2:4">
      <c r="B1622">
        <f>IF(TRIM(A1622&amp;"")="","",IF(RIGHT(TRIM(A1622),7)=" Equity",TRIM(A1622),TRIM(A1622)&amp;" Equity"))</f>
        <v/>
      </c>
      <c r="C1622">
        <f>IF(OR(SwitchUniverse&lt;&gt;"ON",$B1622=""),"",BDP($B1622,"NAME"))</f>
        <v/>
      </c>
      <c r="D1622">
        <f>IF(OR(SwitchUniverse&lt;&gt;"ON",$B1622=""),"",BDP($B1622,"GICS_SECTOR_NAME"))</f>
        <v/>
      </c>
    </row>
    <row r="1623" spans="2:4">
      <c r="B1623">
        <f>IF(TRIM(A1623&amp;"")="","",IF(RIGHT(TRIM(A1623),7)=" Equity",TRIM(A1623),TRIM(A1623)&amp;" Equity"))</f>
        <v/>
      </c>
      <c r="C1623">
        <f>IF(OR(SwitchUniverse&lt;&gt;"ON",$B1623=""),"",BDP($B1623,"NAME"))</f>
        <v/>
      </c>
      <c r="D1623">
        <f>IF(OR(SwitchUniverse&lt;&gt;"ON",$B1623=""),"",BDP($B1623,"GICS_SECTOR_NAME"))</f>
        <v/>
      </c>
    </row>
    <row r="1624" spans="2:4">
      <c r="B1624">
        <f>IF(TRIM(A1624&amp;"")="","",IF(RIGHT(TRIM(A1624),7)=" Equity",TRIM(A1624),TRIM(A1624)&amp;" Equity"))</f>
        <v/>
      </c>
      <c r="C1624">
        <f>IF(OR(SwitchUniverse&lt;&gt;"ON",$B1624=""),"",BDP($B1624,"NAME"))</f>
        <v/>
      </c>
      <c r="D1624">
        <f>IF(OR(SwitchUniverse&lt;&gt;"ON",$B1624=""),"",BDP($B1624,"GICS_SECTOR_NAME"))</f>
        <v/>
      </c>
    </row>
    <row r="1625" spans="2:4">
      <c r="B1625">
        <f>IF(TRIM(A1625&amp;"")="","",IF(RIGHT(TRIM(A1625),7)=" Equity",TRIM(A1625),TRIM(A1625)&amp;" Equity"))</f>
        <v/>
      </c>
      <c r="C1625">
        <f>IF(OR(SwitchUniverse&lt;&gt;"ON",$B1625=""),"",BDP($B1625,"NAME"))</f>
        <v/>
      </c>
      <c r="D1625">
        <f>IF(OR(SwitchUniverse&lt;&gt;"ON",$B1625=""),"",BDP($B1625,"GICS_SECTOR_NAME"))</f>
        <v/>
      </c>
    </row>
    <row r="1626" spans="2:4">
      <c r="B1626">
        <f>IF(TRIM(A1626&amp;"")="","",IF(RIGHT(TRIM(A1626),7)=" Equity",TRIM(A1626),TRIM(A1626)&amp;" Equity"))</f>
        <v/>
      </c>
      <c r="C1626">
        <f>IF(OR(SwitchUniverse&lt;&gt;"ON",$B1626=""),"",BDP($B1626,"NAME"))</f>
        <v/>
      </c>
      <c r="D1626">
        <f>IF(OR(SwitchUniverse&lt;&gt;"ON",$B1626=""),"",BDP($B1626,"GICS_SECTOR_NAME"))</f>
        <v/>
      </c>
    </row>
    <row r="1627" spans="2:4">
      <c r="B1627">
        <f>IF(TRIM(A1627&amp;"")="","",IF(RIGHT(TRIM(A1627),7)=" Equity",TRIM(A1627),TRIM(A1627)&amp;" Equity"))</f>
        <v/>
      </c>
      <c r="C1627">
        <f>IF(OR(SwitchUniverse&lt;&gt;"ON",$B1627=""),"",BDP($B1627,"NAME"))</f>
        <v/>
      </c>
      <c r="D1627">
        <f>IF(OR(SwitchUniverse&lt;&gt;"ON",$B1627=""),"",BDP($B1627,"GICS_SECTOR_NAME"))</f>
        <v/>
      </c>
    </row>
    <row r="1628" spans="2:4">
      <c r="B1628">
        <f>IF(TRIM(A1628&amp;"")="","",IF(RIGHT(TRIM(A1628),7)=" Equity",TRIM(A1628),TRIM(A1628)&amp;" Equity"))</f>
        <v/>
      </c>
      <c r="C1628">
        <f>IF(OR(SwitchUniverse&lt;&gt;"ON",$B1628=""),"",BDP($B1628,"NAME"))</f>
        <v/>
      </c>
      <c r="D1628">
        <f>IF(OR(SwitchUniverse&lt;&gt;"ON",$B1628=""),"",BDP($B1628,"GICS_SECTOR_NAME"))</f>
        <v/>
      </c>
    </row>
    <row r="1629" spans="2:4">
      <c r="B1629">
        <f>IF(TRIM(A1629&amp;"")="","",IF(RIGHT(TRIM(A1629),7)=" Equity",TRIM(A1629),TRIM(A1629)&amp;" Equity"))</f>
        <v/>
      </c>
      <c r="C1629">
        <f>IF(OR(SwitchUniverse&lt;&gt;"ON",$B1629=""),"",BDP($B1629,"NAME"))</f>
        <v/>
      </c>
      <c r="D1629">
        <f>IF(OR(SwitchUniverse&lt;&gt;"ON",$B1629=""),"",BDP($B1629,"GICS_SECTOR_NAME"))</f>
        <v/>
      </c>
    </row>
    <row r="1630" spans="2:4">
      <c r="B1630">
        <f>IF(TRIM(A1630&amp;"")="","",IF(RIGHT(TRIM(A1630),7)=" Equity",TRIM(A1630),TRIM(A1630)&amp;" Equity"))</f>
        <v/>
      </c>
      <c r="C1630">
        <f>IF(OR(SwitchUniverse&lt;&gt;"ON",$B1630=""),"",BDP($B1630,"NAME"))</f>
        <v/>
      </c>
      <c r="D1630">
        <f>IF(OR(SwitchUniverse&lt;&gt;"ON",$B1630=""),"",BDP($B1630,"GICS_SECTOR_NAME"))</f>
        <v/>
      </c>
    </row>
    <row r="1631" spans="2:4">
      <c r="B1631">
        <f>IF(TRIM(A1631&amp;"")="","",IF(RIGHT(TRIM(A1631),7)=" Equity",TRIM(A1631),TRIM(A1631)&amp;" Equity"))</f>
        <v/>
      </c>
      <c r="C1631">
        <f>IF(OR(SwitchUniverse&lt;&gt;"ON",$B1631=""),"",BDP($B1631,"NAME"))</f>
        <v/>
      </c>
      <c r="D1631">
        <f>IF(OR(SwitchUniverse&lt;&gt;"ON",$B1631=""),"",BDP($B1631,"GICS_SECTOR_NAME"))</f>
        <v/>
      </c>
    </row>
    <row r="1632" spans="2:4">
      <c r="B1632">
        <f>IF(TRIM(A1632&amp;"")="","",IF(RIGHT(TRIM(A1632),7)=" Equity",TRIM(A1632),TRIM(A1632)&amp;" Equity"))</f>
        <v/>
      </c>
      <c r="C1632">
        <f>IF(OR(SwitchUniverse&lt;&gt;"ON",$B1632=""),"",BDP($B1632,"NAME"))</f>
        <v/>
      </c>
      <c r="D1632">
        <f>IF(OR(SwitchUniverse&lt;&gt;"ON",$B1632=""),"",BDP($B1632,"GICS_SECTOR_NAME"))</f>
        <v/>
      </c>
    </row>
    <row r="1633" spans="2:4">
      <c r="B1633">
        <f>IF(TRIM(A1633&amp;"")="","",IF(RIGHT(TRIM(A1633),7)=" Equity",TRIM(A1633),TRIM(A1633)&amp;" Equity"))</f>
        <v/>
      </c>
      <c r="C1633">
        <f>IF(OR(SwitchUniverse&lt;&gt;"ON",$B1633=""),"",BDP($B1633,"NAME"))</f>
        <v/>
      </c>
      <c r="D1633">
        <f>IF(OR(SwitchUniverse&lt;&gt;"ON",$B1633=""),"",BDP($B1633,"GICS_SECTOR_NAME"))</f>
        <v/>
      </c>
    </row>
    <row r="1634" spans="2:4">
      <c r="B1634">
        <f>IF(TRIM(A1634&amp;"")="","",IF(RIGHT(TRIM(A1634),7)=" Equity",TRIM(A1634),TRIM(A1634)&amp;" Equity"))</f>
        <v/>
      </c>
      <c r="C1634">
        <f>IF(OR(SwitchUniverse&lt;&gt;"ON",$B1634=""),"",BDP($B1634,"NAME"))</f>
        <v/>
      </c>
      <c r="D1634">
        <f>IF(OR(SwitchUniverse&lt;&gt;"ON",$B1634=""),"",BDP($B1634,"GICS_SECTOR_NAME"))</f>
        <v/>
      </c>
    </row>
    <row r="1635" spans="2:4">
      <c r="B1635">
        <f>IF(TRIM(A1635&amp;"")="","",IF(RIGHT(TRIM(A1635),7)=" Equity",TRIM(A1635),TRIM(A1635)&amp;" Equity"))</f>
        <v/>
      </c>
      <c r="C1635">
        <f>IF(OR(SwitchUniverse&lt;&gt;"ON",$B1635=""),"",BDP($B1635,"NAME"))</f>
        <v/>
      </c>
      <c r="D1635">
        <f>IF(OR(SwitchUniverse&lt;&gt;"ON",$B1635=""),"",BDP($B1635,"GICS_SECTOR_NAME"))</f>
        <v/>
      </c>
    </row>
    <row r="1636" spans="2:4">
      <c r="B1636">
        <f>IF(TRIM(A1636&amp;"")="","",IF(RIGHT(TRIM(A1636),7)=" Equity",TRIM(A1636),TRIM(A1636)&amp;" Equity"))</f>
        <v/>
      </c>
      <c r="C1636">
        <f>IF(OR(SwitchUniverse&lt;&gt;"ON",$B1636=""),"",BDP($B1636,"NAME"))</f>
        <v/>
      </c>
      <c r="D1636">
        <f>IF(OR(SwitchUniverse&lt;&gt;"ON",$B1636=""),"",BDP($B1636,"GICS_SECTOR_NAME"))</f>
        <v/>
      </c>
    </row>
    <row r="1637" spans="2:4">
      <c r="B1637">
        <f>IF(TRIM(A1637&amp;"")="","",IF(RIGHT(TRIM(A1637),7)=" Equity",TRIM(A1637),TRIM(A1637)&amp;" Equity"))</f>
        <v/>
      </c>
      <c r="C1637">
        <f>IF(OR(SwitchUniverse&lt;&gt;"ON",$B1637=""),"",BDP($B1637,"NAME"))</f>
        <v/>
      </c>
      <c r="D1637">
        <f>IF(OR(SwitchUniverse&lt;&gt;"ON",$B1637=""),"",BDP($B1637,"GICS_SECTOR_NAME"))</f>
        <v/>
      </c>
    </row>
    <row r="1638" spans="2:4">
      <c r="B1638">
        <f>IF(TRIM(A1638&amp;"")="","",IF(RIGHT(TRIM(A1638),7)=" Equity",TRIM(A1638),TRIM(A1638)&amp;" Equity"))</f>
        <v/>
      </c>
      <c r="C1638">
        <f>IF(OR(SwitchUniverse&lt;&gt;"ON",$B1638=""),"",BDP($B1638,"NAME"))</f>
        <v/>
      </c>
      <c r="D1638">
        <f>IF(OR(SwitchUniverse&lt;&gt;"ON",$B1638=""),"",BDP($B1638,"GICS_SECTOR_NAME"))</f>
        <v/>
      </c>
    </row>
    <row r="1639" spans="2:4">
      <c r="B1639">
        <f>IF(TRIM(A1639&amp;"")="","",IF(RIGHT(TRIM(A1639),7)=" Equity",TRIM(A1639),TRIM(A1639)&amp;" Equity"))</f>
        <v/>
      </c>
      <c r="C1639">
        <f>IF(OR(SwitchUniverse&lt;&gt;"ON",$B1639=""),"",BDP($B1639,"NAME"))</f>
        <v/>
      </c>
      <c r="D1639">
        <f>IF(OR(SwitchUniverse&lt;&gt;"ON",$B1639=""),"",BDP($B1639,"GICS_SECTOR_NAME"))</f>
        <v/>
      </c>
    </row>
    <row r="1640" spans="2:4">
      <c r="B1640">
        <f>IF(TRIM(A1640&amp;"")="","",IF(RIGHT(TRIM(A1640),7)=" Equity",TRIM(A1640),TRIM(A1640)&amp;" Equity"))</f>
        <v/>
      </c>
      <c r="C1640">
        <f>IF(OR(SwitchUniverse&lt;&gt;"ON",$B1640=""),"",BDP($B1640,"NAME"))</f>
        <v/>
      </c>
      <c r="D1640">
        <f>IF(OR(SwitchUniverse&lt;&gt;"ON",$B1640=""),"",BDP($B1640,"GICS_SECTOR_NAME"))</f>
        <v/>
      </c>
    </row>
    <row r="1641" spans="2:4">
      <c r="B1641">
        <f>IF(TRIM(A1641&amp;"")="","",IF(RIGHT(TRIM(A1641),7)=" Equity",TRIM(A1641),TRIM(A1641)&amp;" Equity"))</f>
        <v/>
      </c>
      <c r="C1641">
        <f>IF(OR(SwitchUniverse&lt;&gt;"ON",$B1641=""),"",BDP($B1641,"NAME"))</f>
        <v/>
      </c>
      <c r="D1641">
        <f>IF(OR(SwitchUniverse&lt;&gt;"ON",$B1641=""),"",BDP($B1641,"GICS_SECTOR_NAME"))</f>
        <v/>
      </c>
    </row>
    <row r="1642" spans="2:4">
      <c r="B1642">
        <f>IF(TRIM(A1642&amp;"")="","",IF(RIGHT(TRIM(A1642),7)=" Equity",TRIM(A1642),TRIM(A1642)&amp;" Equity"))</f>
        <v/>
      </c>
      <c r="C1642">
        <f>IF(OR(SwitchUniverse&lt;&gt;"ON",$B1642=""),"",BDP($B1642,"NAME"))</f>
        <v/>
      </c>
      <c r="D1642">
        <f>IF(OR(SwitchUniverse&lt;&gt;"ON",$B1642=""),"",BDP($B1642,"GICS_SECTOR_NAME"))</f>
        <v/>
      </c>
    </row>
    <row r="1643" spans="2:4">
      <c r="B1643">
        <f>IF(TRIM(A1643&amp;"")="","",IF(RIGHT(TRIM(A1643),7)=" Equity",TRIM(A1643),TRIM(A1643)&amp;" Equity"))</f>
        <v/>
      </c>
      <c r="C1643">
        <f>IF(OR(SwitchUniverse&lt;&gt;"ON",$B1643=""),"",BDP($B1643,"NAME"))</f>
        <v/>
      </c>
      <c r="D1643">
        <f>IF(OR(SwitchUniverse&lt;&gt;"ON",$B1643=""),"",BDP($B1643,"GICS_SECTOR_NAME"))</f>
        <v/>
      </c>
    </row>
    <row r="1644" spans="2:4">
      <c r="B1644">
        <f>IF(TRIM(A1644&amp;"")="","",IF(RIGHT(TRIM(A1644),7)=" Equity",TRIM(A1644),TRIM(A1644)&amp;" Equity"))</f>
        <v/>
      </c>
      <c r="C1644">
        <f>IF(OR(SwitchUniverse&lt;&gt;"ON",$B1644=""),"",BDP($B1644,"NAME"))</f>
        <v/>
      </c>
      <c r="D1644">
        <f>IF(OR(SwitchUniverse&lt;&gt;"ON",$B1644=""),"",BDP($B1644,"GICS_SECTOR_NAME"))</f>
        <v/>
      </c>
    </row>
    <row r="1645" spans="2:4">
      <c r="B1645">
        <f>IF(TRIM(A1645&amp;"")="","",IF(RIGHT(TRIM(A1645),7)=" Equity",TRIM(A1645),TRIM(A1645)&amp;" Equity"))</f>
        <v/>
      </c>
      <c r="C1645">
        <f>IF(OR(SwitchUniverse&lt;&gt;"ON",$B1645=""),"",BDP($B1645,"NAME"))</f>
        <v/>
      </c>
      <c r="D1645">
        <f>IF(OR(SwitchUniverse&lt;&gt;"ON",$B1645=""),"",BDP($B1645,"GICS_SECTOR_NAME"))</f>
        <v/>
      </c>
    </row>
    <row r="1646" spans="2:4">
      <c r="B1646">
        <f>IF(TRIM(A1646&amp;"")="","",IF(RIGHT(TRIM(A1646),7)=" Equity",TRIM(A1646),TRIM(A1646)&amp;" Equity"))</f>
        <v/>
      </c>
      <c r="C1646">
        <f>IF(OR(SwitchUniverse&lt;&gt;"ON",$B1646=""),"",BDP($B1646,"NAME"))</f>
        <v/>
      </c>
      <c r="D1646">
        <f>IF(OR(SwitchUniverse&lt;&gt;"ON",$B1646=""),"",BDP($B1646,"GICS_SECTOR_NAME"))</f>
        <v/>
      </c>
    </row>
    <row r="1647" spans="2:4">
      <c r="B1647">
        <f>IF(TRIM(A1647&amp;"")="","",IF(RIGHT(TRIM(A1647),7)=" Equity",TRIM(A1647),TRIM(A1647)&amp;" Equity"))</f>
        <v/>
      </c>
      <c r="C1647">
        <f>IF(OR(SwitchUniverse&lt;&gt;"ON",$B1647=""),"",BDP($B1647,"NAME"))</f>
        <v/>
      </c>
      <c r="D1647">
        <f>IF(OR(SwitchUniverse&lt;&gt;"ON",$B1647=""),"",BDP($B1647,"GICS_SECTOR_NAME"))</f>
        <v/>
      </c>
    </row>
    <row r="1648" spans="2:4">
      <c r="B1648">
        <f>IF(TRIM(A1648&amp;"")="","",IF(RIGHT(TRIM(A1648),7)=" Equity",TRIM(A1648),TRIM(A1648)&amp;" Equity"))</f>
        <v/>
      </c>
      <c r="C1648">
        <f>IF(OR(SwitchUniverse&lt;&gt;"ON",$B1648=""),"",BDP($B1648,"NAME"))</f>
        <v/>
      </c>
      <c r="D1648">
        <f>IF(OR(SwitchUniverse&lt;&gt;"ON",$B1648=""),"",BDP($B1648,"GICS_SECTOR_NAME"))</f>
        <v/>
      </c>
    </row>
    <row r="1649" spans="2:4">
      <c r="B1649">
        <f>IF(TRIM(A1649&amp;"")="","",IF(RIGHT(TRIM(A1649),7)=" Equity",TRIM(A1649),TRIM(A1649)&amp;" Equity"))</f>
        <v/>
      </c>
      <c r="C1649">
        <f>IF(OR(SwitchUniverse&lt;&gt;"ON",$B1649=""),"",BDP($B1649,"NAME"))</f>
        <v/>
      </c>
      <c r="D1649">
        <f>IF(OR(SwitchUniverse&lt;&gt;"ON",$B1649=""),"",BDP($B1649,"GICS_SECTOR_NAME"))</f>
        <v/>
      </c>
    </row>
    <row r="1650" spans="2:4">
      <c r="B1650">
        <f>IF(TRIM(A1650&amp;"")="","",IF(RIGHT(TRIM(A1650),7)=" Equity",TRIM(A1650),TRIM(A1650)&amp;" Equity"))</f>
        <v/>
      </c>
      <c r="C1650">
        <f>IF(OR(SwitchUniverse&lt;&gt;"ON",$B1650=""),"",BDP($B1650,"NAME"))</f>
        <v/>
      </c>
      <c r="D1650">
        <f>IF(OR(SwitchUniverse&lt;&gt;"ON",$B1650=""),"",BDP($B1650,"GICS_SECTOR_NAME"))</f>
        <v/>
      </c>
    </row>
    <row r="1651" spans="2:4">
      <c r="B1651">
        <f>IF(TRIM(A1651&amp;"")="","",IF(RIGHT(TRIM(A1651),7)=" Equity",TRIM(A1651),TRIM(A1651)&amp;" Equity"))</f>
        <v/>
      </c>
      <c r="C1651">
        <f>IF(OR(SwitchUniverse&lt;&gt;"ON",$B1651=""),"",BDP($B1651,"NAME"))</f>
        <v/>
      </c>
      <c r="D1651">
        <f>IF(OR(SwitchUniverse&lt;&gt;"ON",$B1651=""),"",BDP($B1651,"GICS_SECTOR_NAME"))</f>
        <v/>
      </c>
    </row>
    <row r="1652" spans="2:4">
      <c r="B1652">
        <f>IF(TRIM(A1652&amp;"")="","",IF(RIGHT(TRIM(A1652),7)=" Equity",TRIM(A1652),TRIM(A1652)&amp;" Equity"))</f>
        <v/>
      </c>
      <c r="C1652">
        <f>IF(OR(SwitchUniverse&lt;&gt;"ON",$B1652=""),"",BDP($B1652,"NAME"))</f>
        <v/>
      </c>
      <c r="D1652">
        <f>IF(OR(SwitchUniverse&lt;&gt;"ON",$B1652=""),"",BDP($B1652,"GICS_SECTOR_NAME"))</f>
        <v/>
      </c>
    </row>
    <row r="1653" spans="2:4">
      <c r="B1653">
        <f>IF(TRIM(A1653&amp;"")="","",IF(RIGHT(TRIM(A1653),7)=" Equity",TRIM(A1653),TRIM(A1653)&amp;" Equity"))</f>
        <v/>
      </c>
      <c r="C1653">
        <f>IF(OR(SwitchUniverse&lt;&gt;"ON",$B1653=""),"",BDP($B1653,"NAME"))</f>
        <v/>
      </c>
      <c r="D1653">
        <f>IF(OR(SwitchUniverse&lt;&gt;"ON",$B1653=""),"",BDP($B1653,"GICS_SECTOR_NAME"))</f>
        <v/>
      </c>
    </row>
    <row r="1654" spans="2:4">
      <c r="B1654">
        <f>IF(TRIM(A1654&amp;"")="","",IF(RIGHT(TRIM(A1654),7)=" Equity",TRIM(A1654),TRIM(A1654)&amp;" Equity"))</f>
        <v/>
      </c>
      <c r="C1654">
        <f>IF(OR(SwitchUniverse&lt;&gt;"ON",$B1654=""),"",BDP($B1654,"NAME"))</f>
        <v/>
      </c>
      <c r="D1654">
        <f>IF(OR(SwitchUniverse&lt;&gt;"ON",$B1654=""),"",BDP($B1654,"GICS_SECTOR_NAME"))</f>
        <v/>
      </c>
    </row>
    <row r="1655" spans="2:4">
      <c r="B1655">
        <f>IF(TRIM(A1655&amp;"")="","",IF(RIGHT(TRIM(A1655),7)=" Equity",TRIM(A1655),TRIM(A1655)&amp;" Equity"))</f>
        <v/>
      </c>
      <c r="C1655">
        <f>IF(OR(SwitchUniverse&lt;&gt;"ON",$B1655=""),"",BDP($B1655,"NAME"))</f>
        <v/>
      </c>
      <c r="D1655">
        <f>IF(OR(SwitchUniverse&lt;&gt;"ON",$B1655=""),"",BDP($B1655,"GICS_SECTOR_NAME"))</f>
        <v/>
      </c>
    </row>
    <row r="1656" spans="2:4">
      <c r="B1656">
        <f>IF(TRIM(A1656&amp;"")="","",IF(RIGHT(TRIM(A1656),7)=" Equity",TRIM(A1656),TRIM(A1656)&amp;" Equity"))</f>
        <v/>
      </c>
      <c r="C1656">
        <f>IF(OR(SwitchUniverse&lt;&gt;"ON",$B1656=""),"",BDP($B1656,"NAME"))</f>
        <v/>
      </c>
      <c r="D1656">
        <f>IF(OR(SwitchUniverse&lt;&gt;"ON",$B1656=""),"",BDP($B1656,"GICS_SECTOR_NAME"))</f>
        <v/>
      </c>
    </row>
    <row r="1657" spans="2:4">
      <c r="B1657">
        <f>IF(TRIM(A1657&amp;"")="","",IF(RIGHT(TRIM(A1657),7)=" Equity",TRIM(A1657),TRIM(A1657)&amp;" Equity"))</f>
        <v/>
      </c>
      <c r="C1657">
        <f>IF(OR(SwitchUniverse&lt;&gt;"ON",$B1657=""),"",BDP($B1657,"NAME"))</f>
        <v/>
      </c>
      <c r="D1657">
        <f>IF(OR(SwitchUniverse&lt;&gt;"ON",$B1657=""),"",BDP($B1657,"GICS_SECTOR_NAME"))</f>
        <v/>
      </c>
    </row>
    <row r="1658" spans="2:4">
      <c r="B1658">
        <f>IF(TRIM(A1658&amp;"")="","",IF(RIGHT(TRIM(A1658),7)=" Equity",TRIM(A1658),TRIM(A1658)&amp;" Equity"))</f>
        <v/>
      </c>
      <c r="C1658">
        <f>IF(OR(SwitchUniverse&lt;&gt;"ON",$B1658=""),"",BDP($B1658,"NAME"))</f>
        <v/>
      </c>
      <c r="D1658">
        <f>IF(OR(SwitchUniverse&lt;&gt;"ON",$B1658=""),"",BDP($B1658,"GICS_SECTOR_NAME"))</f>
        <v/>
      </c>
    </row>
    <row r="1659" spans="2:4">
      <c r="B1659">
        <f>IF(TRIM(A1659&amp;"")="","",IF(RIGHT(TRIM(A1659),7)=" Equity",TRIM(A1659),TRIM(A1659)&amp;" Equity"))</f>
        <v/>
      </c>
      <c r="C1659">
        <f>IF(OR(SwitchUniverse&lt;&gt;"ON",$B1659=""),"",BDP($B1659,"NAME"))</f>
        <v/>
      </c>
      <c r="D1659">
        <f>IF(OR(SwitchUniverse&lt;&gt;"ON",$B1659=""),"",BDP($B1659,"GICS_SECTOR_NAME"))</f>
        <v/>
      </c>
    </row>
    <row r="1660" spans="2:4">
      <c r="B1660">
        <f>IF(TRIM(A1660&amp;"")="","",IF(RIGHT(TRIM(A1660),7)=" Equity",TRIM(A1660),TRIM(A1660)&amp;" Equity"))</f>
        <v/>
      </c>
      <c r="C1660">
        <f>IF(OR(SwitchUniverse&lt;&gt;"ON",$B1660=""),"",BDP($B1660,"NAME"))</f>
        <v/>
      </c>
      <c r="D1660">
        <f>IF(OR(SwitchUniverse&lt;&gt;"ON",$B1660=""),"",BDP($B1660,"GICS_SECTOR_NAME"))</f>
        <v/>
      </c>
    </row>
    <row r="1661" spans="2:4">
      <c r="B1661">
        <f>IF(TRIM(A1661&amp;"")="","",IF(RIGHT(TRIM(A1661),7)=" Equity",TRIM(A1661),TRIM(A1661)&amp;" Equity"))</f>
        <v/>
      </c>
      <c r="C1661">
        <f>IF(OR(SwitchUniverse&lt;&gt;"ON",$B1661=""),"",BDP($B1661,"NAME"))</f>
        <v/>
      </c>
      <c r="D1661">
        <f>IF(OR(SwitchUniverse&lt;&gt;"ON",$B1661=""),"",BDP($B1661,"GICS_SECTOR_NAME"))</f>
        <v/>
      </c>
    </row>
    <row r="1662" spans="2:4">
      <c r="B1662">
        <f>IF(TRIM(A1662&amp;"")="","",IF(RIGHT(TRIM(A1662),7)=" Equity",TRIM(A1662),TRIM(A1662)&amp;" Equity"))</f>
        <v/>
      </c>
      <c r="C1662">
        <f>IF(OR(SwitchUniverse&lt;&gt;"ON",$B1662=""),"",BDP($B1662,"NAME"))</f>
        <v/>
      </c>
      <c r="D1662">
        <f>IF(OR(SwitchUniverse&lt;&gt;"ON",$B1662=""),"",BDP($B1662,"GICS_SECTOR_NAME"))</f>
        <v/>
      </c>
    </row>
    <row r="1663" spans="2:4">
      <c r="B1663">
        <f>IF(TRIM(A1663&amp;"")="","",IF(RIGHT(TRIM(A1663),7)=" Equity",TRIM(A1663),TRIM(A1663)&amp;" Equity"))</f>
        <v/>
      </c>
      <c r="C1663">
        <f>IF(OR(SwitchUniverse&lt;&gt;"ON",$B1663=""),"",BDP($B1663,"NAME"))</f>
        <v/>
      </c>
      <c r="D1663">
        <f>IF(OR(SwitchUniverse&lt;&gt;"ON",$B1663=""),"",BDP($B1663,"GICS_SECTOR_NAME"))</f>
        <v/>
      </c>
    </row>
    <row r="1664" spans="2:4">
      <c r="B1664">
        <f>IF(TRIM(A1664&amp;"")="","",IF(RIGHT(TRIM(A1664),7)=" Equity",TRIM(A1664),TRIM(A1664)&amp;" Equity"))</f>
        <v/>
      </c>
      <c r="C1664">
        <f>IF(OR(SwitchUniverse&lt;&gt;"ON",$B1664=""),"",BDP($B1664,"NAME"))</f>
        <v/>
      </c>
      <c r="D1664">
        <f>IF(OR(SwitchUniverse&lt;&gt;"ON",$B1664=""),"",BDP($B1664,"GICS_SECTOR_NAME"))</f>
        <v/>
      </c>
    </row>
    <row r="1665" spans="2:4">
      <c r="B1665">
        <f>IF(TRIM(A1665&amp;"")="","",IF(RIGHT(TRIM(A1665),7)=" Equity",TRIM(A1665),TRIM(A1665)&amp;" Equity"))</f>
        <v/>
      </c>
      <c r="C1665">
        <f>IF(OR(SwitchUniverse&lt;&gt;"ON",$B1665=""),"",BDP($B1665,"NAME"))</f>
        <v/>
      </c>
      <c r="D1665">
        <f>IF(OR(SwitchUniverse&lt;&gt;"ON",$B1665=""),"",BDP($B1665,"GICS_SECTOR_NAME"))</f>
        <v/>
      </c>
    </row>
    <row r="1666" spans="2:4">
      <c r="B1666">
        <f>IF(TRIM(A1666&amp;"")="","",IF(RIGHT(TRIM(A1666),7)=" Equity",TRIM(A1666),TRIM(A1666)&amp;" Equity"))</f>
        <v/>
      </c>
      <c r="C1666">
        <f>IF(OR(SwitchUniverse&lt;&gt;"ON",$B1666=""),"",BDP($B1666,"NAME"))</f>
        <v/>
      </c>
      <c r="D1666">
        <f>IF(OR(SwitchUniverse&lt;&gt;"ON",$B1666=""),"",BDP($B1666,"GICS_SECTOR_NAME"))</f>
        <v/>
      </c>
    </row>
    <row r="1667" spans="2:4">
      <c r="B1667">
        <f>IF(TRIM(A1667&amp;"")="","",IF(RIGHT(TRIM(A1667),7)=" Equity",TRIM(A1667),TRIM(A1667)&amp;" Equity"))</f>
        <v/>
      </c>
      <c r="C1667">
        <f>IF(OR(SwitchUniverse&lt;&gt;"ON",$B1667=""),"",BDP($B1667,"NAME"))</f>
        <v/>
      </c>
      <c r="D1667">
        <f>IF(OR(SwitchUniverse&lt;&gt;"ON",$B1667=""),"",BDP($B1667,"GICS_SECTOR_NAME"))</f>
        <v/>
      </c>
    </row>
    <row r="1668" spans="2:4">
      <c r="B1668">
        <f>IF(TRIM(A1668&amp;"")="","",IF(RIGHT(TRIM(A1668),7)=" Equity",TRIM(A1668),TRIM(A1668)&amp;" Equity"))</f>
        <v/>
      </c>
      <c r="C1668">
        <f>IF(OR(SwitchUniverse&lt;&gt;"ON",$B1668=""),"",BDP($B1668,"NAME"))</f>
        <v/>
      </c>
      <c r="D1668">
        <f>IF(OR(SwitchUniverse&lt;&gt;"ON",$B1668=""),"",BDP($B1668,"GICS_SECTOR_NAME"))</f>
        <v/>
      </c>
    </row>
    <row r="1669" spans="2:4">
      <c r="B1669">
        <f>IF(TRIM(A1669&amp;"")="","",IF(RIGHT(TRIM(A1669),7)=" Equity",TRIM(A1669),TRIM(A1669)&amp;" Equity"))</f>
        <v/>
      </c>
      <c r="C1669">
        <f>IF(OR(SwitchUniverse&lt;&gt;"ON",$B1669=""),"",BDP($B1669,"NAME"))</f>
        <v/>
      </c>
      <c r="D1669">
        <f>IF(OR(SwitchUniverse&lt;&gt;"ON",$B1669=""),"",BDP($B1669,"GICS_SECTOR_NAME"))</f>
        <v/>
      </c>
    </row>
    <row r="1670" spans="2:4">
      <c r="B1670">
        <f>IF(TRIM(A1670&amp;"")="","",IF(RIGHT(TRIM(A1670),7)=" Equity",TRIM(A1670),TRIM(A1670)&amp;" Equity"))</f>
        <v/>
      </c>
      <c r="C1670">
        <f>IF(OR(SwitchUniverse&lt;&gt;"ON",$B1670=""),"",BDP($B1670,"NAME"))</f>
        <v/>
      </c>
      <c r="D1670">
        <f>IF(OR(SwitchUniverse&lt;&gt;"ON",$B1670=""),"",BDP($B1670,"GICS_SECTOR_NAME"))</f>
        <v/>
      </c>
    </row>
    <row r="1671" spans="2:4">
      <c r="B1671">
        <f>IF(TRIM(A1671&amp;"")="","",IF(RIGHT(TRIM(A1671),7)=" Equity",TRIM(A1671),TRIM(A1671)&amp;" Equity"))</f>
        <v/>
      </c>
      <c r="C1671">
        <f>IF(OR(SwitchUniverse&lt;&gt;"ON",$B1671=""),"",BDP($B1671,"NAME"))</f>
        <v/>
      </c>
      <c r="D1671">
        <f>IF(OR(SwitchUniverse&lt;&gt;"ON",$B1671=""),"",BDP($B1671,"GICS_SECTOR_NAME"))</f>
        <v/>
      </c>
    </row>
    <row r="1672" spans="2:4">
      <c r="B1672">
        <f>IF(TRIM(A1672&amp;"")="","",IF(RIGHT(TRIM(A1672),7)=" Equity",TRIM(A1672),TRIM(A1672)&amp;" Equity"))</f>
        <v/>
      </c>
      <c r="C1672">
        <f>IF(OR(SwitchUniverse&lt;&gt;"ON",$B1672=""),"",BDP($B1672,"NAME"))</f>
        <v/>
      </c>
      <c r="D1672">
        <f>IF(OR(SwitchUniverse&lt;&gt;"ON",$B1672=""),"",BDP($B1672,"GICS_SECTOR_NAME"))</f>
        <v/>
      </c>
    </row>
    <row r="1673" spans="2:4">
      <c r="B1673">
        <f>IF(TRIM(A1673&amp;"")="","",IF(RIGHT(TRIM(A1673),7)=" Equity",TRIM(A1673),TRIM(A1673)&amp;" Equity"))</f>
        <v/>
      </c>
      <c r="C1673">
        <f>IF(OR(SwitchUniverse&lt;&gt;"ON",$B1673=""),"",BDP($B1673,"NAME"))</f>
        <v/>
      </c>
      <c r="D1673">
        <f>IF(OR(SwitchUniverse&lt;&gt;"ON",$B1673=""),"",BDP($B1673,"GICS_SECTOR_NAME"))</f>
        <v/>
      </c>
    </row>
    <row r="1674" spans="2:4">
      <c r="B1674">
        <f>IF(TRIM(A1674&amp;"")="","",IF(RIGHT(TRIM(A1674),7)=" Equity",TRIM(A1674),TRIM(A1674)&amp;" Equity"))</f>
        <v/>
      </c>
      <c r="C1674">
        <f>IF(OR(SwitchUniverse&lt;&gt;"ON",$B1674=""),"",BDP($B1674,"NAME"))</f>
        <v/>
      </c>
      <c r="D1674">
        <f>IF(OR(SwitchUniverse&lt;&gt;"ON",$B1674=""),"",BDP($B1674,"GICS_SECTOR_NAME"))</f>
        <v/>
      </c>
    </row>
    <row r="1675" spans="2:4">
      <c r="B1675">
        <f>IF(TRIM(A1675&amp;"")="","",IF(RIGHT(TRIM(A1675),7)=" Equity",TRIM(A1675),TRIM(A1675)&amp;" Equity"))</f>
        <v/>
      </c>
      <c r="C1675">
        <f>IF(OR(SwitchUniverse&lt;&gt;"ON",$B1675=""),"",BDP($B1675,"NAME"))</f>
        <v/>
      </c>
      <c r="D1675">
        <f>IF(OR(SwitchUniverse&lt;&gt;"ON",$B1675=""),"",BDP($B1675,"GICS_SECTOR_NAME"))</f>
        <v/>
      </c>
    </row>
    <row r="1676" spans="2:4">
      <c r="B1676">
        <f>IF(TRIM(A1676&amp;"")="","",IF(RIGHT(TRIM(A1676),7)=" Equity",TRIM(A1676),TRIM(A1676)&amp;" Equity"))</f>
        <v/>
      </c>
      <c r="C1676">
        <f>IF(OR(SwitchUniverse&lt;&gt;"ON",$B1676=""),"",BDP($B1676,"NAME"))</f>
        <v/>
      </c>
      <c r="D1676">
        <f>IF(OR(SwitchUniverse&lt;&gt;"ON",$B1676=""),"",BDP($B1676,"GICS_SECTOR_NAME"))</f>
        <v/>
      </c>
    </row>
    <row r="1677" spans="2:4">
      <c r="B1677">
        <f>IF(TRIM(A1677&amp;"")="","",IF(RIGHT(TRIM(A1677),7)=" Equity",TRIM(A1677),TRIM(A1677)&amp;" Equity"))</f>
        <v/>
      </c>
      <c r="C1677">
        <f>IF(OR(SwitchUniverse&lt;&gt;"ON",$B1677=""),"",BDP($B1677,"NAME"))</f>
        <v/>
      </c>
      <c r="D1677">
        <f>IF(OR(SwitchUniverse&lt;&gt;"ON",$B1677=""),"",BDP($B1677,"GICS_SECTOR_NAME"))</f>
        <v/>
      </c>
    </row>
    <row r="1678" spans="2:4">
      <c r="B1678">
        <f>IF(TRIM(A1678&amp;"")="","",IF(RIGHT(TRIM(A1678),7)=" Equity",TRIM(A1678),TRIM(A1678)&amp;" Equity"))</f>
        <v/>
      </c>
      <c r="C1678">
        <f>IF(OR(SwitchUniverse&lt;&gt;"ON",$B1678=""),"",BDP($B1678,"NAME"))</f>
        <v/>
      </c>
      <c r="D1678">
        <f>IF(OR(SwitchUniverse&lt;&gt;"ON",$B1678=""),"",BDP($B1678,"GICS_SECTOR_NAME"))</f>
        <v/>
      </c>
    </row>
    <row r="1679" spans="2:4">
      <c r="B1679">
        <f>IF(TRIM(A1679&amp;"")="","",IF(RIGHT(TRIM(A1679),7)=" Equity",TRIM(A1679),TRIM(A1679)&amp;" Equity"))</f>
        <v/>
      </c>
      <c r="C1679">
        <f>IF(OR(SwitchUniverse&lt;&gt;"ON",$B1679=""),"",BDP($B1679,"NAME"))</f>
        <v/>
      </c>
      <c r="D1679">
        <f>IF(OR(SwitchUniverse&lt;&gt;"ON",$B1679=""),"",BDP($B1679,"GICS_SECTOR_NAME"))</f>
        <v/>
      </c>
    </row>
    <row r="1680" spans="2:4">
      <c r="B1680">
        <f>IF(TRIM(A1680&amp;"")="","",IF(RIGHT(TRIM(A1680),7)=" Equity",TRIM(A1680),TRIM(A1680)&amp;" Equity"))</f>
        <v/>
      </c>
      <c r="C1680">
        <f>IF(OR(SwitchUniverse&lt;&gt;"ON",$B1680=""),"",BDP($B1680,"NAME"))</f>
        <v/>
      </c>
      <c r="D1680">
        <f>IF(OR(SwitchUniverse&lt;&gt;"ON",$B1680=""),"",BDP($B1680,"GICS_SECTOR_NAME"))</f>
        <v/>
      </c>
    </row>
    <row r="1681" spans="2:4">
      <c r="B1681">
        <f>IF(TRIM(A1681&amp;"")="","",IF(RIGHT(TRIM(A1681),7)=" Equity",TRIM(A1681),TRIM(A1681)&amp;" Equity"))</f>
        <v/>
      </c>
      <c r="C1681">
        <f>IF(OR(SwitchUniverse&lt;&gt;"ON",$B1681=""),"",BDP($B1681,"NAME"))</f>
        <v/>
      </c>
      <c r="D1681">
        <f>IF(OR(SwitchUniverse&lt;&gt;"ON",$B1681=""),"",BDP($B1681,"GICS_SECTOR_NAME"))</f>
        <v/>
      </c>
    </row>
    <row r="1682" spans="2:4">
      <c r="B1682">
        <f>IF(TRIM(A1682&amp;"")="","",IF(RIGHT(TRIM(A1682),7)=" Equity",TRIM(A1682),TRIM(A1682)&amp;" Equity"))</f>
        <v/>
      </c>
      <c r="C1682">
        <f>IF(OR(SwitchUniverse&lt;&gt;"ON",$B1682=""),"",BDP($B1682,"NAME"))</f>
        <v/>
      </c>
      <c r="D1682">
        <f>IF(OR(SwitchUniverse&lt;&gt;"ON",$B1682=""),"",BDP($B1682,"GICS_SECTOR_NAME"))</f>
        <v/>
      </c>
    </row>
    <row r="1683" spans="2:4">
      <c r="B1683">
        <f>IF(TRIM(A1683&amp;"")="","",IF(RIGHT(TRIM(A1683),7)=" Equity",TRIM(A1683),TRIM(A1683)&amp;" Equity"))</f>
        <v/>
      </c>
      <c r="C1683">
        <f>IF(OR(SwitchUniverse&lt;&gt;"ON",$B1683=""),"",BDP($B1683,"NAME"))</f>
        <v/>
      </c>
      <c r="D1683">
        <f>IF(OR(SwitchUniverse&lt;&gt;"ON",$B1683=""),"",BDP($B1683,"GICS_SECTOR_NAME"))</f>
        <v/>
      </c>
    </row>
    <row r="1684" spans="2:4">
      <c r="B1684">
        <f>IF(TRIM(A1684&amp;"")="","",IF(RIGHT(TRIM(A1684),7)=" Equity",TRIM(A1684),TRIM(A1684)&amp;" Equity"))</f>
        <v/>
      </c>
      <c r="C1684">
        <f>IF(OR(SwitchUniverse&lt;&gt;"ON",$B1684=""),"",BDP($B1684,"NAME"))</f>
        <v/>
      </c>
      <c r="D1684">
        <f>IF(OR(SwitchUniverse&lt;&gt;"ON",$B1684=""),"",BDP($B1684,"GICS_SECTOR_NAME"))</f>
        <v/>
      </c>
    </row>
    <row r="1685" spans="2:4">
      <c r="B1685">
        <f>IF(TRIM(A1685&amp;"")="","",IF(RIGHT(TRIM(A1685),7)=" Equity",TRIM(A1685),TRIM(A1685)&amp;" Equity"))</f>
        <v/>
      </c>
      <c r="C1685">
        <f>IF(OR(SwitchUniverse&lt;&gt;"ON",$B1685=""),"",BDP($B1685,"NAME"))</f>
        <v/>
      </c>
      <c r="D1685">
        <f>IF(OR(SwitchUniverse&lt;&gt;"ON",$B1685=""),"",BDP($B1685,"GICS_SECTOR_NAME"))</f>
        <v/>
      </c>
    </row>
    <row r="1686" spans="2:4">
      <c r="B1686">
        <f>IF(TRIM(A1686&amp;"")="","",IF(RIGHT(TRIM(A1686),7)=" Equity",TRIM(A1686),TRIM(A1686)&amp;" Equity"))</f>
        <v/>
      </c>
      <c r="C1686">
        <f>IF(OR(SwitchUniverse&lt;&gt;"ON",$B1686=""),"",BDP($B1686,"NAME"))</f>
        <v/>
      </c>
      <c r="D1686">
        <f>IF(OR(SwitchUniverse&lt;&gt;"ON",$B1686=""),"",BDP($B1686,"GICS_SECTOR_NAME"))</f>
        <v/>
      </c>
    </row>
    <row r="1687" spans="2:4">
      <c r="B1687">
        <f>IF(TRIM(A1687&amp;"")="","",IF(RIGHT(TRIM(A1687),7)=" Equity",TRIM(A1687),TRIM(A1687)&amp;" Equity"))</f>
        <v/>
      </c>
      <c r="C1687">
        <f>IF(OR(SwitchUniverse&lt;&gt;"ON",$B1687=""),"",BDP($B1687,"NAME"))</f>
        <v/>
      </c>
      <c r="D1687">
        <f>IF(OR(SwitchUniverse&lt;&gt;"ON",$B1687=""),"",BDP($B1687,"GICS_SECTOR_NAME"))</f>
        <v/>
      </c>
    </row>
    <row r="1688" spans="2:4">
      <c r="B1688">
        <f>IF(TRIM(A1688&amp;"")="","",IF(RIGHT(TRIM(A1688),7)=" Equity",TRIM(A1688),TRIM(A1688)&amp;" Equity"))</f>
        <v/>
      </c>
      <c r="C1688">
        <f>IF(OR(SwitchUniverse&lt;&gt;"ON",$B1688=""),"",BDP($B1688,"NAME"))</f>
        <v/>
      </c>
      <c r="D1688">
        <f>IF(OR(SwitchUniverse&lt;&gt;"ON",$B1688=""),"",BDP($B1688,"GICS_SECTOR_NAME"))</f>
        <v/>
      </c>
    </row>
    <row r="1689" spans="2:4">
      <c r="B1689">
        <f>IF(TRIM(A1689&amp;"")="","",IF(RIGHT(TRIM(A1689),7)=" Equity",TRIM(A1689),TRIM(A1689)&amp;" Equity"))</f>
        <v/>
      </c>
      <c r="C1689">
        <f>IF(OR(SwitchUniverse&lt;&gt;"ON",$B1689=""),"",BDP($B1689,"NAME"))</f>
        <v/>
      </c>
      <c r="D1689">
        <f>IF(OR(SwitchUniverse&lt;&gt;"ON",$B1689=""),"",BDP($B1689,"GICS_SECTOR_NAME"))</f>
        <v/>
      </c>
    </row>
    <row r="1690" spans="2:4">
      <c r="B1690">
        <f>IF(TRIM(A1690&amp;"")="","",IF(RIGHT(TRIM(A1690),7)=" Equity",TRIM(A1690),TRIM(A1690)&amp;" Equity"))</f>
        <v/>
      </c>
      <c r="C1690">
        <f>IF(OR(SwitchUniverse&lt;&gt;"ON",$B1690=""),"",BDP($B1690,"NAME"))</f>
        <v/>
      </c>
      <c r="D1690">
        <f>IF(OR(SwitchUniverse&lt;&gt;"ON",$B1690=""),"",BDP($B1690,"GICS_SECTOR_NAME"))</f>
        <v/>
      </c>
    </row>
    <row r="1691" spans="2:4">
      <c r="B1691">
        <f>IF(TRIM(A1691&amp;"")="","",IF(RIGHT(TRIM(A1691),7)=" Equity",TRIM(A1691),TRIM(A1691)&amp;" Equity"))</f>
        <v/>
      </c>
      <c r="C1691">
        <f>IF(OR(SwitchUniverse&lt;&gt;"ON",$B1691=""),"",BDP($B1691,"NAME"))</f>
        <v/>
      </c>
      <c r="D1691">
        <f>IF(OR(SwitchUniverse&lt;&gt;"ON",$B1691=""),"",BDP($B1691,"GICS_SECTOR_NAME"))</f>
        <v/>
      </c>
    </row>
    <row r="1692" spans="2:4">
      <c r="B1692">
        <f>IF(TRIM(A1692&amp;"")="","",IF(RIGHT(TRIM(A1692),7)=" Equity",TRIM(A1692),TRIM(A1692)&amp;" Equity"))</f>
        <v/>
      </c>
      <c r="C1692">
        <f>IF(OR(SwitchUniverse&lt;&gt;"ON",$B1692=""),"",BDP($B1692,"NAME"))</f>
        <v/>
      </c>
      <c r="D1692">
        <f>IF(OR(SwitchUniverse&lt;&gt;"ON",$B1692=""),"",BDP($B1692,"GICS_SECTOR_NAME"))</f>
        <v/>
      </c>
    </row>
    <row r="1693" spans="2:4">
      <c r="B1693">
        <f>IF(TRIM(A1693&amp;"")="","",IF(RIGHT(TRIM(A1693),7)=" Equity",TRIM(A1693),TRIM(A1693)&amp;" Equity"))</f>
        <v/>
      </c>
      <c r="C1693">
        <f>IF(OR(SwitchUniverse&lt;&gt;"ON",$B1693=""),"",BDP($B1693,"NAME"))</f>
        <v/>
      </c>
      <c r="D1693">
        <f>IF(OR(SwitchUniverse&lt;&gt;"ON",$B1693=""),"",BDP($B1693,"GICS_SECTOR_NAME"))</f>
        <v/>
      </c>
    </row>
    <row r="1694" spans="2:4">
      <c r="B1694">
        <f>IF(TRIM(A1694&amp;"")="","",IF(RIGHT(TRIM(A1694),7)=" Equity",TRIM(A1694),TRIM(A1694)&amp;" Equity"))</f>
        <v/>
      </c>
      <c r="C1694">
        <f>IF(OR(SwitchUniverse&lt;&gt;"ON",$B1694=""),"",BDP($B1694,"NAME"))</f>
        <v/>
      </c>
      <c r="D1694">
        <f>IF(OR(SwitchUniverse&lt;&gt;"ON",$B1694=""),"",BDP($B1694,"GICS_SECTOR_NAME"))</f>
        <v/>
      </c>
    </row>
    <row r="1695" spans="2:4">
      <c r="B1695">
        <f>IF(TRIM(A1695&amp;"")="","",IF(RIGHT(TRIM(A1695),7)=" Equity",TRIM(A1695),TRIM(A1695)&amp;" Equity"))</f>
        <v/>
      </c>
      <c r="C1695">
        <f>IF(OR(SwitchUniverse&lt;&gt;"ON",$B1695=""),"",BDP($B1695,"NAME"))</f>
        <v/>
      </c>
      <c r="D1695">
        <f>IF(OR(SwitchUniverse&lt;&gt;"ON",$B1695=""),"",BDP($B1695,"GICS_SECTOR_NAME"))</f>
        <v/>
      </c>
    </row>
    <row r="1696" spans="2:4">
      <c r="B1696">
        <f>IF(TRIM(A1696&amp;"")="","",IF(RIGHT(TRIM(A1696),7)=" Equity",TRIM(A1696),TRIM(A1696)&amp;" Equity"))</f>
        <v/>
      </c>
      <c r="C1696">
        <f>IF(OR(SwitchUniverse&lt;&gt;"ON",$B1696=""),"",BDP($B1696,"NAME"))</f>
        <v/>
      </c>
      <c r="D1696">
        <f>IF(OR(SwitchUniverse&lt;&gt;"ON",$B1696=""),"",BDP($B1696,"GICS_SECTOR_NAME"))</f>
        <v/>
      </c>
    </row>
    <row r="1697" spans="2:4">
      <c r="B1697">
        <f>IF(TRIM(A1697&amp;"")="","",IF(RIGHT(TRIM(A1697),7)=" Equity",TRIM(A1697),TRIM(A1697)&amp;" Equity"))</f>
        <v/>
      </c>
      <c r="C1697">
        <f>IF(OR(SwitchUniverse&lt;&gt;"ON",$B1697=""),"",BDP($B1697,"NAME"))</f>
        <v/>
      </c>
      <c r="D1697">
        <f>IF(OR(SwitchUniverse&lt;&gt;"ON",$B1697=""),"",BDP($B1697,"GICS_SECTOR_NAME"))</f>
        <v/>
      </c>
    </row>
    <row r="1698" spans="2:4">
      <c r="B1698">
        <f>IF(TRIM(A1698&amp;"")="","",IF(RIGHT(TRIM(A1698),7)=" Equity",TRIM(A1698),TRIM(A1698)&amp;" Equity"))</f>
        <v/>
      </c>
      <c r="C1698">
        <f>IF(OR(SwitchUniverse&lt;&gt;"ON",$B1698=""),"",BDP($B1698,"NAME"))</f>
        <v/>
      </c>
      <c r="D1698">
        <f>IF(OR(SwitchUniverse&lt;&gt;"ON",$B1698=""),"",BDP($B1698,"GICS_SECTOR_NAME"))</f>
        <v/>
      </c>
    </row>
    <row r="1699" spans="2:4">
      <c r="B1699">
        <f>IF(TRIM(A1699&amp;"")="","",IF(RIGHT(TRIM(A1699),7)=" Equity",TRIM(A1699),TRIM(A1699)&amp;" Equity"))</f>
        <v/>
      </c>
      <c r="C1699">
        <f>IF(OR(SwitchUniverse&lt;&gt;"ON",$B1699=""),"",BDP($B1699,"NAME"))</f>
        <v/>
      </c>
      <c r="D1699">
        <f>IF(OR(SwitchUniverse&lt;&gt;"ON",$B1699=""),"",BDP($B1699,"GICS_SECTOR_NAME"))</f>
        <v/>
      </c>
    </row>
    <row r="1700" spans="2:4">
      <c r="B1700">
        <f>IF(TRIM(A1700&amp;"")="","",IF(RIGHT(TRIM(A1700),7)=" Equity",TRIM(A1700),TRIM(A1700)&amp;" Equity"))</f>
        <v/>
      </c>
      <c r="C1700">
        <f>IF(OR(SwitchUniverse&lt;&gt;"ON",$B1700=""),"",BDP($B1700,"NAME"))</f>
        <v/>
      </c>
      <c r="D1700">
        <f>IF(OR(SwitchUniverse&lt;&gt;"ON",$B1700=""),"",BDP($B1700,"GICS_SECTOR_NAME"))</f>
        <v/>
      </c>
    </row>
    <row r="1701" spans="2:4">
      <c r="B1701">
        <f>IF(TRIM(A1701&amp;"")="","",IF(RIGHT(TRIM(A1701),7)=" Equity",TRIM(A1701),TRIM(A1701)&amp;" Equity"))</f>
        <v/>
      </c>
      <c r="C1701">
        <f>IF(OR(SwitchUniverse&lt;&gt;"ON",$B1701=""),"",BDP($B1701,"NAME"))</f>
        <v/>
      </c>
      <c r="D1701">
        <f>IF(OR(SwitchUniverse&lt;&gt;"ON",$B1701=""),"",BDP($B1701,"GICS_SECTOR_NAME"))</f>
        <v/>
      </c>
    </row>
    <row r="1702" spans="2:4">
      <c r="B1702">
        <f>IF(TRIM(A1702&amp;"")="","",IF(RIGHT(TRIM(A1702),7)=" Equity",TRIM(A1702),TRIM(A1702)&amp;" Equity"))</f>
        <v/>
      </c>
      <c r="C1702">
        <f>IF(OR(SwitchUniverse&lt;&gt;"ON",$B1702=""),"",BDP($B1702,"NAME"))</f>
        <v/>
      </c>
      <c r="D1702">
        <f>IF(OR(SwitchUniverse&lt;&gt;"ON",$B1702=""),"",BDP($B1702,"GICS_SECTOR_NAME"))</f>
        <v/>
      </c>
    </row>
    <row r="1703" spans="2:4">
      <c r="B1703">
        <f>IF(TRIM(A1703&amp;"")="","",IF(RIGHT(TRIM(A1703),7)=" Equity",TRIM(A1703),TRIM(A1703)&amp;" Equity"))</f>
        <v/>
      </c>
      <c r="C1703">
        <f>IF(OR(SwitchUniverse&lt;&gt;"ON",$B1703=""),"",BDP($B1703,"NAME"))</f>
        <v/>
      </c>
      <c r="D1703">
        <f>IF(OR(SwitchUniverse&lt;&gt;"ON",$B1703=""),"",BDP($B1703,"GICS_SECTOR_NAME"))</f>
        <v/>
      </c>
    </row>
    <row r="1704" spans="2:4">
      <c r="B1704">
        <f>IF(TRIM(A1704&amp;"")="","",IF(RIGHT(TRIM(A1704),7)=" Equity",TRIM(A1704),TRIM(A1704)&amp;" Equity"))</f>
        <v/>
      </c>
      <c r="C1704">
        <f>IF(OR(SwitchUniverse&lt;&gt;"ON",$B1704=""),"",BDP($B1704,"NAME"))</f>
        <v/>
      </c>
      <c r="D1704">
        <f>IF(OR(SwitchUniverse&lt;&gt;"ON",$B1704=""),"",BDP($B1704,"GICS_SECTOR_NAME"))</f>
        <v/>
      </c>
    </row>
    <row r="1705" spans="2:4">
      <c r="B1705">
        <f>IF(TRIM(A1705&amp;"")="","",IF(RIGHT(TRIM(A1705),7)=" Equity",TRIM(A1705),TRIM(A1705)&amp;" Equity"))</f>
        <v/>
      </c>
      <c r="C1705">
        <f>IF(OR(SwitchUniverse&lt;&gt;"ON",$B1705=""),"",BDP($B1705,"NAME"))</f>
        <v/>
      </c>
      <c r="D1705">
        <f>IF(OR(SwitchUniverse&lt;&gt;"ON",$B1705=""),"",BDP($B1705,"GICS_SECTOR_NAME"))</f>
        <v/>
      </c>
    </row>
    <row r="1706" spans="2:4">
      <c r="B1706">
        <f>IF(TRIM(A1706&amp;"")="","",IF(RIGHT(TRIM(A1706),7)=" Equity",TRIM(A1706),TRIM(A1706)&amp;" Equity"))</f>
        <v/>
      </c>
      <c r="C1706">
        <f>IF(OR(SwitchUniverse&lt;&gt;"ON",$B1706=""),"",BDP($B1706,"NAME"))</f>
        <v/>
      </c>
      <c r="D1706">
        <f>IF(OR(SwitchUniverse&lt;&gt;"ON",$B1706=""),"",BDP($B1706,"GICS_SECTOR_NAME"))</f>
        <v/>
      </c>
    </row>
    <row r="1707" spans="2:4">
      <c r="B1707">
        <f>IF(TRIM(A1707&amp;"")="","",IF(RIGHT(TRIM(A1707),7)=" Equity",TRIM(A1707),TRIM(A1707)&amp;" Equity"))</f>
        <v/>
      </c>
      <c r="C1707">
        <f>IF(OR(SwitchUniverse&lt;&gt;"ON",$B1707=""),"",BDP($B1707,"NAME"))</f>
        <v/>
      </c>
      <c r="D1707">
        <f>IF(OR(SwitchUniverse&lt;&gt;"ON",$B1707=""),"",BDP($B1707,"GICS_SECTOR_NAME"))</f>
        <v/>
      </c>
    </row>
    <row r="1708" spans="2:4">
      <c r="B1708">
        <f>IF(TRIM(A1708&amp;"")="","",IF(RIGHT(TRIM(A1708),7)=" Equity",TRIM(A1708),TRIM(A1708)&amp;" Equity"))</f>
        <v/>
      </c>
      <c r="C1708">
        <f>IF(OR(SwitchUniverse&lt;&gt;"ON",$B1708=""),"",BDP($B1708,"NAME"))</f>
        <v/>
      </c>
      <c r="D1708">
        <f>IF(OR(SwitchUniverse&lt;&gt;"ON",$B1708=""),"",BDP($B1708,"GICS_SECTOR_NAME"))</f>
        <v/>
      </c>
    </row>
    <row r="1709" spans="2:4">
      <c r="B1709">
        <f>IF(TRIM(A1709&amp;"")="","",IF(RIGHT(TRIM(A1709),7)=" Equity",TRIM(A1709),TRIM(A1709)&amp;" Equity"))</f>
        <v/>
      </c>
      <c r="C1709">
        <f>IF(OR(SwitchUniverse&lt;&gt;"ON",$B1709=""),"",BDP($B1709,"NAME"))</f>
        <v/>
      </c>
      <c r="D1709">
        <f>IF(OR(SwitchUniverse&lt;&gt;"ON",$B1709=""),"",BDP($B1709,"GICS_SECTOR_NAME"))</f>
        <v/>
      </c>
    </row>
    <row r="1710" spans="2:4">
      <c r="B1710">
        <f>IF(TRIM(A1710&amp;"")="","",IF(RIGHT(TRIM(A1710),7)=" Equity",TRIM(A1710),TRIM(A1710)&amp;" Equity"))</f>
        <v/>
      </c>
      <c r="C1710">
        <f>IF(OR(SwitchUniverse&lt;&gt;"ON",$B1710=""),"",BDP($B1710,"NAME"))</f>
        <v/>
      </c>
      <c r="D1710">
        <f>IF(OR(SwitchUniverse&lt;&gt;"ON",$B1710=""),"",BDP($B1710,"GICS_SECTOR_NAME"))</f>
        <v/>
      </c>
    </row>
    <row r="1711" spans="2:4">
      <c r="B1711">
        <f>IF(TRIM(A1711&amp;"")="","",IF(RIGHT(TRIM(A1711),7)=" Equity",TRIM(A1711),TRIM(A1711)&amp;" Equity"))</f>
        <v/>
      </c>
      <c r="C1711">
        <f>IF(OR(SwitchUniverse&lt;&gt;"ON",$B1711=""),"",BDP($B1711,"NAME"))</f>
        <v/>
      </c>
      <c r="D1711">
        <f>IF(OR(SwitchUniverse&lt;&gt;"ON",$B1711=""),"",BDP($B1711,"GICS_SECTOR_NAME"))</f>
        <v/>
      </c>
    </row>
    <row r="1712" spans="2:4">
      <c r="B1712">
        <f>IF(TRIM(A1712&amp;"")="","",IF(RIGHT(TRIM(A1712),7)=" Equity",TRIM(A1712),TRIM(A1712)&amp;" Equity"))</f>
        <v/>
      </c>
      <c r="C1712">
        <f>IF(OR(SwitchUniverse&lt;&gt;"ON",$B1712=""),"",BDP($B1712,"NAME"))</f>
        <v/>
      </c>
      <c r="D1712">
        <f>IF(OR(SwitchUniverse&lt;&gt;"ON",$B1712=""),"",BDP($B1712,"GICS_SECTOR_NAME"))</f>
        <v/>
      </c>
    </row>
    <row r="1713" spans="2:4">
      <c r="B1713">
        <f>IF(TRIM(A1713&amp;"")="","",IF(RIGHT(TRIM(A1713),7)=" Equity",TRIM(A1713),TRIM(A1713)&amp;" Equity"))</f>
        <v/>
      </c>
      <c r="C1713">
        <f>IF(OR(SwitchUniverse&lt;&gt;"ON",$B1713=""),"",BDP($B1713,"NAME"))</f>
        <v/>
      </c>
      <c r="D1713">
        <f>IF(OR(SwitchUniverse&lt;&gt;"ON",$B1713=""),"",BDP($B1713,"GICS_SECTOR_NAME"))</f>
        <v/>
      </c>
    </row>
    <row r="1714" spans="2:4">
      <c r="B1714">
        <f>IF(TRIM(A1714&amp;"")="","",IF(RIGHT(TRIM(A1714),7)=" Equity",TRIM(A1714),TRIM(A1714)&amp;" Equity"))</f>
        <v/>
      </c>
      <c r="C1714">
        <f>IF(OR(SwitchUniverse&lt;&gt;"ON",$B1714=""),"",BDP($B1714,"NAME"))</f>
        <v/>
      </c>
      <c r="D1714">
        <f>IF(OR(SwitchUniverse&lt;&gt;"ON",$B1714=""),"",BDP($B1714,"GICS_SECTOR_NAME"))</f>
        <v/>
      </c>
    </row>
    <row r="1715" spans="2:4">
      <c r="B1715">
        <f>IF(TRIM(A1715&amp;"")="","",IF(RIGHT(TRIM(A1715),7)=" Equity",TRIM(A1715),TRIM(A1715)&amp;" Equity"))</f>
        <v/>
      </c>
      <c r="C1715">
        <f>IF(OR(SwitchUniverse&lt;&gt;"ON",$B1715=""),"",BDP($B1715,"NAME"))</f>
        <v/>
      </c>
      <c r="D1715">
        <f>IF(OR(SwitchUniverse&lt;&gt;"ON",$B1715=""),"",BDP($B1715,"GICS_SECTOR_NAME"))</f>
        <v/>
      </c>
    </row>
    <row r="1716" spans="2:4">
      <c r="B1716">
        <f>IF(TRIM(A1716&amp;"")="","",IF(RIGHT(TRIM(A1716),7)=" Equity",TRIM(A1716),TRIM(A1716)&amp;" Equity"))</f>
        <v/>
      </c>
      <c r="C1716">
        <f>IF(OR(SwitchUniverse&lt;&gt;"ON",$B1716=""),"",BDP($B1716,"NAME"))</f>
        <v/>
      </c>
      <c r="D1716">
        <f>IF(OR(SwitchUniverse&lt;&gt;"ON",$B1716=""),"",BDP($B1716,"GICS_SECTOR_NAME"))</f>
        <v/>
      </c>
    </row>
    <row r="1717" spans="2:4">
      <c r="B1717">
        <f>IF(TRIM(A1717&amp;"")="","",IF(RIGHT(TRIM(A1717),7)=" Equity",TRIM(A1717),TRIM(A1717)&amp;" Equity"))</f>
        <v/>
      </c>
      <c r="C1717">
        <f>IF(OR(SwitchUniverse&lt;&gt;"ON",$B1717=""),"",BDP($B1717,"NAME"))</f>
        <v/>
      </c>
      <c r="D1717">
        <f>IF(OR(SwitchUniverse&lt;&gt;"ON",$B1717=""),"",BDP($B1717,"GICS_SECTOR_NAME"))</f>
        <v/>
      </c>
    </row>
    <row r="1718" spans="2:4">
      <c r="B1718">
        <f>IF(TRIM(A1718&amp;"")="","",IF(RIGHT(TRIM(A1718),7)=" Equity",TRIM(A1718),TRIM(A1718)&amp;" Equity"))</f>
        <v/>
      </c>
      <c r="C1718">
        <f>IF(OR(SwitchUniverse&lt;&gt;"ON",$B1718=""),"",BDP($B1718,"NAME"))</f>
        <v/>
      </c>
      <c r="D1718">
        <f>IF(OR(SwitchUniverse&lt;&gt;"ON",$B1718=""),"",BDP($B1718,"GICS_SECTOR_NAME"))</f>
        <v/>
      </c>
    </row>
    <row r="1719" spans="2:4">
      <c r="B1719">
        <f>IF(TRIM(A1719&amp;"")="","",IF(RIGHT(TRIM(A1719),7)=" Equity",TRIM(A1719),TRIM(A1719)&amp;" Equity"))</f>
        <v/>
      </c>
      <c r="C1719">
        <f>IF(OR(SwitchUniverse&lt;&gt;"ON",$B1719=""),"",BDP($B1719,"NAME"))</f>
        <v/>
      </c>
      <c r="D1719">
        <f>IF(OR(SwitchUniverse&lt;&gt;"ON",$B1719=""),"",BDP($B1719,"GICS_SECTOR_NAME"))</f>
        <v/>
      </c>
    </row>
    <row r="1720" spans="2:4">
      <c r="B1720">
        <f>IF(TRIM(A1720&amp;"")="","",IF(RIGHT(TRIM(A1720),7)=" Equity",TRIM(A1720),TRIM(A1720)&amp;" Equity"))</f>
        <v/>
      </c>
      <c r="C1720">
        <f>IF(OR(SwitchUniverse&lt;&gt;"ON",$B1720=""),"",BDP($B1720,"NAME"))</f>
        <v/>
      </c>
      <c r="D1720">
        <f>IF(OR(SwitchUniverse&lt;&gt;"ON",$B1720=""),"",BDP($B1720,"GICS_SECTOR_NAME"))</f>
        <v/>
      </c>
    </row>
    <row r="1721" spans="2:4">
      <c r="B1721">
        <f>IF(TRIM(A1721&amp;"")="","",IF(RIGHT(TRIM(A1721),7)=" Equity",TRIM(A1721),TRIM(A1721)&amp;" Equity"))</f>
        <v/>
      </c>
      <c r="C1721">
        <f>IF(OR(SwitchUniverse&lt;&gt;"ON",$B1721=""),"",BDP($B1721,"NAME"))</f>
        <v/>
      </c>
      <c r="D1721">
        <f>IF(OR(SwitchUniverse&lt;&gt;"ON",$B1721=""),"",BDP($B1721,"GICS_SECTOR_NAME"))</f>
        <v/>
      </c>
    </row>
    <row r="1722" spans="2:4">
      <c r="B1722">
        <f>IF(TRIM(A1722&amp;"")="","",IF(RIGHT(TRIM(A1722),7)=" Equity",TRIM(A1722),TRIM(A1722)&amp;" Equity"))</f>
        <v/>
      </c>
      <c r="C1722">
        <f>IF(OR(SwitchUniverse&lt;&gt;"ON",$B1722=""),"",BDP($B1722,"NAME"))</f>
        <v/>
      </c>
      <c r="D1722">
        <f>IF(OR(SwitchUniverse&lt;&gt;"ON",$B1722=""),"",BDP($B1722,"GICS_SECTOR_NAME"))</f>
        <v/>
      </c>
    </row>
    <row r="1723" spans="2:4">
      <c r="B1723">
        <f>IF(TRIM(A1723&amp;"")="","",IF(RIGHT(TRIM(A1723),7)=" Equity",TRIM(A1723),TRIM(A1723)&amp;" Equity"))</f>
        <v/>
      </c>
      <c r="C1723">
        <f>IF(OR(SwitchUniverse&lt;&gt;"ON",$B1723=""),"",BDP($B1723,"NAME"))</f>
        <v/>
      </c>
      <c r="D1723">
        <f>IF(OR(SwitchUniverse&lt;&gt;"ON",$B1723=""),"",BDP($B1723,"GICS_SECTOR_NAME"))</f>
        <v/>
      </c>
    </row>
    <row r="1724" spans="2:4">
      <c r="B1724">
        <f>IF(TRIM(A1724&amp;"")="","",IF(RIGHT(TRIM(A1724),7)=" Equity",TRIM(A1724),TRIM(A1724)&amp;" Equity"))</f>
        <v/>
      </c>
      <c r="C1724">
        <f>IF(OR(SwitchUniverse&lt;&gt;"ON",$B1724=""),"",BDP($B1724,"NAME"))</f>
        <v/>
      </c>
      <c r="D1724">
        <f>IF(OR(SwitchUniverse&lt;&gt;"ON",$B1724=""),"",BDP($B1724,"GICS_SECTOR_NAME"))</f>
        <v/>
      </c>
    </row>
    <row r="1725" spans="2:4">
      <c r="B1725">
        <f>IF(TRIM(A1725&amp;"")="","",IF(RIGHT(TRIM(A1725),7)=" Equity",TRIM(A1725),TRIM(A1725)&amp;" Equity"))</f>
        <v/>
      </c>
      <c r="C1725">
        <f>IF(OR(SwitchUniverse&lt;&gt;"ON",$B1725=""),"",BDP($B1725,"NAME"))</f>
        <v/>
      </c>
      <c r="D1725">
        <f>IF(OR(SwitchUniverse&lt;&gt;"ON",$B1725=""),"",BDP($B1725,"GICS_SECTOR_NAME"))</f>
        <v/>
      </c>
    </row>
    <row r="1726" spans="2:4">
      <c r="B1726">
        <f>IF(TRIM(A1726&amp;"")="","",IF(RIGHT(TRIM(A1726),7)=" Equity",TRIM(A1726),TRIM(A1726)&amp;" Equity"))</f>
        <v/>
      </c>
      <c r="C1726">
        <f>IF(OR(SwitchUniverse&lt;&gt;"ON",$B1726=""),"",BDP($B1726,"NAME"))</f>
        <v/>
      </c>
      <c r="D1726">
        <f>IF(OR(SwitchUniverse&lt;&gt;"ON",$B1726=""),"",BDP($B1726,"GICS_SECTOR_NAME"))</f>
        <v/>
      </c>
    </row>
    <row r="1727" spans="2:4">
      <c r="B1727">
        <f>IF(TRIM(A1727&amp;"")="","",IF(RIGHT(TRIM(A1727),7)=" Equity",TRIM(A1727),TRIM(A1727)&amp;" Equity"))</f>
        <v/>
      </c>
      <c r="C1727">
        <f>IF(OR(SwitchUniverse&lt;&gt;"ON",$B1727=""),"",BDP($B1727,"NAME"))</f>
        <v/>
      </c>
      <c r="D1727">
        <f>IF(OR(SwitchUniverse&lt;&gt;"ON",$B1727=""),"",BDP($B1727,"GICS_SECTOR_NAME"))</f>
        <v/>
      </c>
    </row>
    <row r="1728" spans="2:4">
      <c r="B1728">
        <f>IF(TRIM(A1728&amp;"")="","",IF(RIGHT(TRIM(A1728),7)=" Equity",TRIM(A1728),TRIM(A1728)&amp;" Equity"))</f>
        <v/>
      </c>
      <c r="C1728">
        <f>IF(OR(SwitchUniverse&lt;&gt;"ON",$B1728=""),"",BDP($B1728,"NAME"))</f>
        <v/>
      </c>
      <c r="D1728">
        <f>IF(OR(SwitchUniverse&lt;&gt;"ON",$B1728=""),"",BDP($B1728,"GICS_SECTOR_NAME"))</f>
        <v/>
      </c>
    </row>
    <row r="1729" spans="2:4">
      <c r="B1729">
        <f>IF(TRIM(A1729&amp;"")="","",IF(RIGHT(TRIM(A1729),7)=" Equity",TRIM(A1729),TRIM(A1729)&amp;" Equity"))</f>
        <v/>
      </c>
      <c r="C1729">
        <f>IF(OR(SwitchUniverse&lt;&gt;"ON",$B1729=""),"",BDP($B1729,"NAME"))</f>
        <v/>
      </c>
      <c r="D1729">
        <f>IF(OR(SwitchUniverse&lt;&gt;"ON",$B1729=""),"",BDP($B1729,"GICS_SECTOR_NAME"))</f>
        <v/>
      </c>
    </row>
    <row r="1730" spans="2:4">
      <c r="B1730">
        <f>IF(TRIM(A1730&amp;"")="","",IF(RIGHT(TRIM(A1730),7)=" Equity",TRIM(A1730),TRIM(A1730)&amp;" Equity"))</f>
        <v/>
      </c>
      <c r="C1730">
        <f>IF(OR(SwitchUniverse&lt;&gt;"ON",$B1730=""),"",BDP($B1730,"NAME"))</f>
        <v/>
      </c>
      <c r="D1730">
        <f>IF(OR(SwitchUniverse&lt;&gt;"ON",$B1730=""),"",BDP($B1730,"GICS_SECTOR_NAME"))</f>
        <v/>
      </c>
    </row>
    <row r="1731" spans="2:4">
      <c r="B1731">
        <f>IF(TRIM(A1731&amp;"")="","",IF(RIGHT(TRIM(A1731),7)=" Equity",TRIM(A1731),TRIM(A1731)&amp;" Equity"))</f>
        <v/>
      </c>
      <c r="C1731">
        <f>IF(OR(SwitchUniverse&lt;&gt;"ON",$B1731=""),"",BDP($B1731,"NAME"))</f>
        <v/>
      </c>
      <c r="D1731">
        <f>IF(OR(SwitchUniverse&lt;&gt;"ON",$B1731=""),"",BDP($B1731,"GICS_SECTOR_NAME"))</f>
        <v/>
      </c>
    </row>
    <row r="1732" spans="2:4">
      <c r="B1732">
        <f>IF(TRIM(A1732&amp;"")="","",IF(RIGHT(TRIM(A1732),7)=" Equity",TRIM(A1732),TRIM(A1732)&amp;" Equity"))</f>
        <v/>
      </c>
      <c r="C1732">
        <f>IF(OR(SwitchUniverse&lt;&gt;"ON",$B1732=""),"",BDP($B1732,"NAME"))</f>
        <v/>
      </c>
      <c r="D1732">
        <f>IF(OR(SwitchUniverse&lt;&gt;"ON",$B1732=""),"",BDP($B1732,"GICS_SECTOR_NAME"))</f>
        <v/>
      </c>
    </row>
    <row r="1733" spans="2:4">
      <c r="B1733">
        <f>IF(TRIM(A1733&amp;"")="","",IF(RIGHT(TRIM(A1733),7)=" Equity",TRIM(A1733),TRIM(A1733)&amp;" Equity"))</f>
        <v/>
      </c>
      <c r="C1733">
        <f>IF(OR(SwitchUniverse&lt;&gt;"ON",$B1733=""),"",BDP($B1733,"NAME"))</f>
        <v/>
      </c>
      <c r="D1733">
        <f>IF(OR(SwitchUniverse&lt;&gt;"ON",$B1733=""),"",BDP($B1733,"GICS_SECTOR_NAME"))</f>
        <v/>
      </c>
    </row>
    <row r="1734" spans="2:4">
      <c r="B1734">
        <f>IF(TRIM(A1734&amp;"")="","",IF(RIGHT(TRIM(A1734),7)=" Equity",TRIM(A1734),TRIM(A1734)&amp;" Equity"))</f>
        <v/>
      </c>
      <c r="C1734">
        <f>IF(OR(SwitchUniverse&lt;&gt;"ON",$B1734=""),"",BDP($B1734,"NAME"))</f>
        <v/>
      </c>
      <c r="D1734">
        <f>IF(OR(SwitchUniverse&lt;&gt;"ON",$B1734=""),"",BDP($B1734,"GICS_SECTOR_NAME"))</f>
        <v/>
      </c>
    </row>
    <row r="1735" spans="2:4">
      <c r="B1735">
        <f>IF(TRIM(A1735&amp;"")="","",IF(RIGHT(TRIM(A1735),7)=" Equity",TRIM(A1735),TRIM(A1735)&amp;" Equity"))</f>
        <v/>
      </c>
      <c r="C1735">
        <f>IF(OR(SwitchUniverse&lt;&gt;"ON",$B1735=""),"",BDP($B1735,"NAME"))</f>
        <v/>
      </c>
      <c r="D1735">
        <f>IF(OR(SwitchUniverse&lt;&gt;"ON",$B1735=""),"",BDP($B1735,"GICS_SECTOR_NAME"))</f>
        <v/>
      </c>
    </row>
    <row r="1736" spans="2:4">
      <c r="B1736">
        <f>IF(TRIM(A1736&amp;"")="","",IF(RIGHT(TRIM(A1736),7)=" Equity",TRIM(A1736),TRIM(A1736)&amp;" Equity"))</f>
        <v/>
      </c>
      <c r="C1736">
        <f>IF(OR(SwitchUniverse&lt;&gt;"ON",$B1736=""),"",BDP($B1736,"NAME"))</f>
        <v/>
      </c>
      <c r="D1736">
        <f>IF(OR(SwitchUniverse&lt;&gt;"ON",$B1736=""),"",BDP($B1736,"GICS_SECTOR_NAME"))</f>
        <v/>
      </c>
    </row>
    <row r="1737" spans="2:4">
      <c r="B1737">
        <f>IF(TRIM(A1737&amp;"")="","",IF(RIGHT(TRIM(A1737),7)=" Equity",TRIM(A1737),TRIM(A1737)&amp;" Equity"))</f>
        <v/>
      </c>
      <c r="C1737">
        <f>IF(OR(SwitchUniverse&lt;&gt;"ON",$B1737=""),"",BDP($B1737,"NAME"))</f>
        <v/>
      </c>
      <c r="D1737">
        <f>IF(OR(SwitchUniverse&lt;&gt;"ON",$B1737=""),"",BDP($B1737,"GICS_SECTOR_NAME"))</f>
        <v/>
      </c>
    </row>
    <row r="1738" spans="2:4">
      <c r="B1738">
        <f>IF(TRIM(A1738&amp;"")="","",IF(RIGHT(TRIM(A1738),7)=" Equity",TRIM(A1738),TRIM(A1738)&amp;" Equity"))</f>
        <v/>
      </c>
      <c r="C1738">
        <f>IF(OR(SwitchUniverse&lt;&gt;"ON",$B1738=""),"",BDP($B1738,"NAME"))</f>
        <v/>
      </c>
      <c r="D1738">
        <f>IF(OR(SwitchUniverse&lt;&gt;"ON",$B1738=""),"",BDP($B1738,"GICS_SECTOR_NAME"))</f>
        <v/>
      </c>
    </row>
    <row r="1739" spans="2:4">
      <c r="B1739">
        <f>IF(TRIM(A1739&amp;"")="","",IF(RIGHT(TRIM(A1739),7)=" Equity",TRIM(A1739),TRIM(A1739)&amp;" Equity"))</f>
        <v/>
      </c>
      <c r="C1739">
        <f>IF(OR(SwitchUniverse&lt;&gt;"ON",$B1739=""),"",BDP($B1739,"NAME"))</f>
        <v/>
      </c>
      <c r="D1739">
        <f>IF(OR(SwitchUniverse&lt;&gt;"ON",$B1739=""),"",BDP($B1739,"GICS_SECTOR_NAME"))</f>
        <v/>
      </c>
    </row>
    <row r="1740" spans="2:4">
      <c r="B1740">
        <f>IF(TRIM(A1740&amp;"")="","",IF(RIGHT(TRIM(A1740),7)=" Equity",TRIM(A1740),TRIM(A1740)&amp;" Equity"))</f>
        <v/>
      </c>
      <c r="C1740">
        <f>IF(OR(SwitchUniverse&lt;&gt;"ON",$B1740=""),"",BDP($B1740,"NAME"))</f>
        <v/>
      </c>
      <c r="D1740">
        <f>IF(OR(SwitchUniverse&lt;&gt;"ON",$B1740=""),"",BDP($B1740,"GICS_SECTOR_NAME"))</f>
        <v/>
      </c>
    </row>
    <row r="1741" spans="2:4">
      <c r="B1741">
        <f>IF(TRIM(A1741&amp;"")="","",IF(RIGHT(TRIM(A1741),7)=" Equity",TRIM(A1741),TRIM(A1741)&amp;" Equity"))</f>
        <v/>
      </c>
      <c r="C1741">
        <f>IF(OR(SwitchUniverse&lt;&gt;"ON",$B1741=""),"",BDP($B1741,"NAME"))</f>
        <v/>
      </c>
      <c r="D1741">
        <f>IF(OR(SwitchUniverse&lt;&gt;"ON",$B1741=""),"",BDP($B1741,"GICS_SECTOR_NAME"))</f>
        <v/>
      </c>
    </row>
    <row r="1742" spans="2:4">
      <c r="B1742">
        <f>IF(TRIM(A1742&amp;"")="","",IF(RIGHT(TRIM(A1742),7)=" Equity",TRIM(A1742),TRIM(A1742)&amp;" Equity"))</f>
        <v/>
      </c>
      <c r="C1742">
        <f>IF(OR(SwitchUniverse&lt;&gt;"ON",$B1742=""),"",BDP($B1742,"NAME"))</f>
        <v/>
      </c>
      <c r="D1742">
        <f>IF(OR(SwitchUniverse&lt;&gt;"ON",$B1742=""),"",BDP($B1742,"GICS_SECTOR_NAME"))</f>
        <v/>
      </c>
    </row>
    <row r="1743" spans="2:4">
      <c r="B1743">
        <f>IF(TRIM(A1743&amp;"")="","",IF(RIGHT(TRIM(A1743),7)=" Equity",TRIM(A1743),TRIM(A1743)&amp;" Equity"))</f>
        <v/>
      </c>
      <c r="C1743">
        <f>IF(OR(SwitchUniverse&lt;&gt;"ON",$B1743=""),"",BDP($B1743,"NAME"))</f>
        <v/>
      </c>
      <c r="D1743">
        <f>IF(OR(SwitchUniverse&lt;&gt;"ON",$B1743=""),"",BDP($B1743,"GICS_SECTOR_NAME"))</f>
        <v/>
      </c>
    </row>
    <row r="1744" spans="2:4">
      <c r="B1744">
        <f>IF(TRIM(A1744&amp;"")="","",IF(RIGHT(TRIM(A1744),7)=" Equity",TRIM(A1744),TRIM(A1744)&amp;" Equity"))</f>
        <v/>
      </c>
      <c r="C1744">
        <f>IF(OR(SwitchUniverse&lt;&gt;"ON",$B1744=""),"",BDP($B1744,"NAME"))</f>
        <v/>
      </c>
      <c r="D1744">
        <f>IF(OR(SwitchUniverse&lt;&gt;"ON",$B1744=""),"",BDP($B1744,"GICS_SECTOR_NAME"))</f>
        <v/>
      </c>
    </row>
    <row r="1745" spans="2:4">
      <c r="B1745">
        <f>IF(TRIM(A1745&amp;"")="","",IF(RIGHT(TRIM(A1745),7)=" Equity",TRIM(A1745),TRIM(A1745)&amp;" Equity"))</f>
        <v/>
      </c>
      <c r="C1745">
        <f>IF(OR(SwitchUniverse&lt;&gt;"ON",$B1745=""),"",BDP($B1745,"NAME"))</f>
        <v/>
      </c>
      <c r="D1745">
        <f>IF(OR(SwitchUniverse&lt;&gt;"ON",$B1745=""),"",BDP($B1745,"GICS_SECTOR_NAME"))</f>
        <v/>
      </c>
    </row>
    <row r="1746" spans="2:4">
      <c r="B1746">
        <f>IF(TRIM(A1746&amp;"")="","",IF(RIGHT(TRIM(A1746),7)=" Equity",TRIM(A1746),TRIM(A1746)&amp;" Equity"))</f>
        <v/>
      </c>
      <c r="C1746">
        <f>IF(OR(SwitchUniverse&lt;&gt;"ON",$B1746=""),"",BDP($B1746,"NAME"))</f>
        <v/>
      </c>
      <c r="D1746">
        <f>IF(OR(SwitchUniverse&lt;&gt;"ON",$B1746=""),"",BDP($B1746,"GICS_SECTOR_NAME"))</f>
        <v/>
      </c>
    </row>
    <row r="1747" spans="2:4">
      <c r="B1747">
        <f>IF(TRIM(A1747&amp;"")="","",IF(RIGHT(TRIM(A1747),7)=" Equity",TRIM(A1747),TRIM(A1747)&amp;" Equity"))</f>
        <v/>
      </c>
      <c r="C1747">
        <f>IF(OR(SwitchUniverse&lt;&gt;"ON",$B1747=""),"",BDP($B1747,"NAME"))</f>
        <v/>
      </c>
      <c r="D1747">
        <f>IF(OR(SwitchUniverse&lt;&gt;"ON",$B1747=""),"",BDP($B1747,"GICS_SECTOR_NAME"))</f>
        <v/>
      </c>
    </row>
    <row r="1748" spans="2:4">
      <c r="B1748">
        <f>IF(TRIM(A1748&amp;"")="","",IF(RIGHT(TRIM(A1748),7)=" Equity",TRIM(A1748),TRIM(A1748)&amp;" Equity"))</f>
        <v/>
      </c>
      <c r="C1748">
        <f>IF(OR(SwitchUniverse&lt;&gt;"ON",$B1748=""),"",BDP($B1748,"NAME"))</f>
        <v/>
      </c>
      <c r="D1748">
        <f>IF(OR(SwitchUniverse&lt;&gt;"ON",$B1748=""),"",BDP($B1748,"GICS_SECTOR_NAME"))</f>
        <v/>
      </c>
    </row>
    <row r="1749" spans="2:4">
      <c r="B1749">
        <f>IF(TRIM(A1749&amp;"")="","",IF(RIGHT(TRIM(A1749),7)=" Equity",TRIM(A1749),TRIM(A1749)&amp;" Equity"))</f>
        <v/>
      </c>
      <c r="C1749">
        <f>IF(OR(SwitchUniverse&lt;&gt;"ON",$B1749=""),"",BDP($B1749,"NAME"))</f>
        <v/>
      </c>
      <c r="D1749">
        <f>IF(OR(SwitchUniverse&lt;&gt;"ON",$B1749=""),"",BDP($B1749,"GICS_SECTOR_NAME"))</f>
        <v/>
      </c>
    </row>
    <row r="1750" spans="2:4">
      <c r="B1750">
        <f>IF(TRIM(A1750&amp;"")="","",IF(RIGHT(TRIM(A1750),7)=" Equity",TRIM(A1750),TRIM(A1750)&amp;" Equity"))</f>
        <v/>
      </c>
      <c r="C1750">
        <f>IF(OR(SwitchUniverse&lt;&gt;"ON",$B1750=""),"",BDP($B1750,"NAME"))</f>
        <v/>
      </c>
      <c r="D1750">
        <f>IF(OR(SwitchUniverse&lt;&gt;"ON",$B1750=""),"",BDP($B1750,"GICS_SECTOR_NAME"))</f>
        <v/>
      </c>
    </row>
    <row r="1751" spans="2:4">
      <c r="B1751">
        <f>IF(TRIM(A1751&amp;"")="","",IF(RIGHT(TRIM(A1751),7)=" Equity",TRIM(A1751),TRIM(A1751)&amp;" Equity"))</f>
        <v/>
      </c>
      <c r="C1751">
        <f>IF(OR(SwitchUniverse&lt;&gt;"ON",$B1751=""),"",BDP($B1751,"NAME"))</f>
        <v/>
      </c>
      <c r="D1751">
        <f>IF(OR(SwitchUniverse&lt;&gt;"ON",$B1751=""),"",BDP($B1751,"GICS_SECTOR_NAME"))</f>
        <v/>
      </c>
    </row>
    <row r="1752" spans="2:4">
      <c r="B1752">
        <f>IF(TRIM(A1752&amp;"")="","",IF(RIGHT(TRIM(A1752),7)=" Equity",TRIM(A1752),TRIM(A1752)&amp;" Equity"))</f>
        <v/>
      </c>
      <c r="C1752">
        <f>IF(OR(SwitchUniverse&lt;&gt;"ON",$B1752=""),"",BDP($B1752,"NAME"))</f>
        <v/>
      </c>
      <c r="D1752">
        <f>IF(OR(SwitchUniverse&lt;&gt;"ON",$B1752=""),"",BDP($B1752,"GICS_SECTOR_NAME"))</f>
        <v/>
      </c>
    </row>
    <row r="1753" spans="2:4">
      <c r="B1753">
        <f>IF(TRIM(A1753&amp;"")="","",IF(RIGHT(TRIM(A1753),7)=" Equity",TRIM(A1753),TRIM(A1753)&amp;" Equity"))</f>
        <v/>
      </c>
      <c r="C1753">
        <f>IF(OR(SwitchUniverse&lt;&gt;"ON",$B1753=""),"",BDP($B1753,"NAME"))</f>
        <v/>
      </c>
      <c r="D1753">
        <f>IF(OR(SwitchUniverse&lt;&gt;"ON",$B1753=""),"",BDP($B1753,"GICS_SECTOR_NAME"))</f>
        <v/>
      </c>
    </row>
    <row r="1754" spans="2:4">
      <c r="B1754">
        <f>IF(TRIM(A1754&amp;"")="","",IF(RIGHT(TRIM(A1754),7)=" Equity",TRIM(A1754),TRIM(A1754)&amp;" Equity"))</f>
        <v/>
      </c>
      <c r="C1754">
        <f>IF(OR(SwitchUniverse&lt;&gt;"ON",$B1754=""),"",BDP($B1754,"NAME"))</f>
        <v/>
      </c>
      <c r="D1754">
        <f>IF(OR(SwitchUniverse&lt;&gt;"ON",$B1754=""),"",BDP($B1754,"GICS_SECTOR_NAME"))</f>
        <v/>
      </c>
    </row>
    <row r="1755" spans="2:4">
      <c r="B1755">
        <f>IF(TRIM(A1755&amp;"")="","",IF(RIGHT(TRIM(A1755),7)=" Equity",TRIM(A1755),TRIM(A1755)&amp;" Equity"))</f>
        <v/>
      </c>
      <c r="C1755">
        <f>IF(OR(SwitchUniverse&lt;&gt;"ON",$B1755=""),"",BDP($B1755,"NAME"))</f>
        <v/>
      </c>
      <c r="D1755">
        <f>IF(OR(SwitchUniverse&lt;&gt;"ON",$B1755=""),"",BDP($B1755,"GICS_SECTOR_NAME"))</f>
        <v/>
      </c>
    </row>
    <row r="1756" spans="2:4">
      <c r="B1756">
        <f>IF(TRIM(A1756&amp;"")="","",IF(RIGHT(TRIM(A1756),7)=" Equity",TRIM(A1756),TRIM(A1756)&amp;" Equity"))</f>
        <v/>
      </c>
      <c r="C1756">
        <f>IF(OR(SwitchUniverse&lt;&gt;"ON",$B1756=""),"",BDP($B1756,"NAME"))</f>
        <v/>
      </c>
      <c r="D1756">
        <f>IF(OR(SwitchUniverse&lt;&gt;"ON",$B1756=""),"",BDP($B1756,"GICS_SECTOR_NAME"))</f>
        <v/>
      </c>
    </row>
    <row r="1757" spans="2:4">
      <c r="B1757">
        <f>IF(TRIM(A1757&amp;"")="","",IF(RIGHT(TRIM(A1757),7)=" Equity",TRIM(A1757),TRIM(A1757)&amp;" Equity"))</f>
        <v/>
      </c>
      <c r="C1757">
        <f>IF(OR(SwitchUniverse&lt;&gt;"ON",$B1757=""),"",BDP($B1757,"NAME"))</f>
        <v/>
      </c>
      <c r="D1757">
        <f>IF(OR(SwitchUniverse&lt;&gt;"ON",$B1757=""),"",BDP($B1757,"GICS_SECTOR_NAME"))</f>
        <v/>
      </c>
    </row>
    <row r="1758" spans="2:4">
      <c r="B1758">
        <f>IF(TRIM(A1758&amp;"")="","",IF(RIGHT(TRIM(A1758),7)=" Equity",TRIM(A1758),TRIM(A1758)&amp;" Equity"))</f>
        <v/>
      </c>
      <c r="C1758">
        <f>IF(OR(SwitchUniverse&lt;&gt;"ON",$B1758=""),"",BDP($B1758,"NAME"))</f>
        <v/>
      </c>
      <c r="D1758">
        <f>IF(OR(SwitchUniverse&lt;&gt;"ON",$B1758=""),"",BDP($B1758,"GICS_SECTOR_NAME"))</f>
        <v/>
      </c>
    </row>
    <row r="1759" spans="2:4">
      <c r="B1759">
        <f>IF(TRIM(A1759&amp;"")="","",IF(RIGHT(TRIM(A1759),7)=" Equity",TRIM(A1759),TRIM(A1759)&amp;" Equity"))</f>
        <v/>
      </c>
      <c r="C1759">
        <f>IF(OR(SwitchUniverse&lt;&gt;"ON",$B1759=""),"",BDP($B1759,"NAME"))</f>
        <v/>
      </c>
      <c r="D1759">
        <f>IF(OR(SwitchUniverse&lt;&gt;"ON",$B1759=""),"",BDP($B1759,"GICS_SECTOR_NAME"))</f>
        <v/>
      </c>
    </row>
    <row r="1760" spans="2:4">
      <c r="B1760">
        <f>IF(TRIM(A1760&amp;"")="","",IF(RIGHT(TRIM(A1760),7)=" Equity",TRIM(A1760),TRIM(A1760)&amp;" Equity"))</f>
        <v/>
      </c>
      <c r="C1760">
        <f>IF(OR(SwitchUniverse&lt;&gt;"ON",$B1760=""),"",BDP($B1760,"NAME"))</f>
        <v/>
      </c>
      <c r="D1760">
        <f>IF(OR(SwitchUniverse&lt;&gt;"ON",$B1760=""),"",BDP($B1760,"GICS_SECTOR_NAME"))</f>
        <v/>
      </c>
    </row>
    <row r="1761" spans="2:4">
      <c r="B1761">
        <f>IF(TRIM(A1761&amp;"")="","",IF(RIGHT(TRIM(A1761),7)=" Equity",TRIM(A1761),TRIM(A1761)&amp;" Equity"))</f>
        <v/>
      </c>
      <c r="C1761">
        <f>IF(OR(SwitchUniverse&lt;&gt;"ON",$B1761=""),"",BDP($B1761,"NAME"))</f>
        <v/>
      </c>
      <c r="D1761">
        <f>IF(OR(SwitchUniverse&lt;&gt;"ON",$B1761=""),"",BDP($B1761,"GICS_SECTOR_NAME"))</f>
        <v/>
      </c>
    </row>
    <row r="1762" spans="2:4">
      <c r="B1762">
        <f>IF(TRIM(A1762&amp;"")="","",IF(RIGHT(TRIM(A1762),7)=" Equity",TRIM(A1762),TRIM(A1762)&amp;" Equity"))</f>
        <v/>
      </c>
      <c r="C1762">
        <f>IF(OR(SwitchUniverse&lt;&gt;"ON",$B1762=""),"",BDP($B1762,"NAME"))</f>
        <v/>
      </c>
      <c r="D1762">
        <f>IF(OR(SwitchUniverse&lt;&gt;"ON",$B1762=""),"",BDP($B1762,"GICS_SECTOR_NAME"))</f>
        <v/>
      </c>
    </row>
    <row r="1763" spans="2:4">
      <c r="B1763">
        <f>IF(TRIM(A1763&amp;"")="","",IF(RIGHT(TRIM(A1763),7)=" Equity",TRIM(A1763),TRIM(A1763)&amp;" Equity"))</f>
        <v/>
      </c>
      <c r="C1763">
        <f>IF(OR(SwitchUniverse&lt;&gt;"ON",$B1763=""),"",BDP($B1763,"NAME"))</f>
        <v/>
      </c>
      <c r="D1763">
        <f>IF(OR(SwitchUniverse&lt;&gt;"ON",$B1763=""),"",BDP($B1763,"GICS_SECTOR_NAME"))</f>
        <v/>
      </c>
    </row>
    <row r="1764" spans="2:4">
      <c r="B1764">
        <f>IF(TRIM(A1764&amp;"")="","",IF(RIGHT(TRIM(A1764),7)=" Equity",TRIM(A1764),TRIM(A1764)&amp;" Equity"))</f>
        <v/>
      </c>
      <c r="C1764">
        <f>IF(OR(SwitchUniverse&lt;&gt;"ON",$B1764=""),"",BDP($B1764,"NAME"))</f>
        <v/>
      </c>
      <c r="D1764">
        <f>IF(OR(SwitchUniverse&lt;&gt;"ON",$B1764=""),"",BDP($B1764,"GICS_SECTOR_NAME"))</f>
        <v/>
      </c>
    </row>
    <row r="1765" spans="2:4">
      <c r="B1765">
        <f>IF(TRIM(A1765&amp;"")="","",IF(RIGHT(TRIM(A1765),7)=" Equity",TRIM(A1765),TRIM(A1765)&amp;" Equity"))</f>
        <v/>
      </c>
      <c r="C1765">
        <f>IF(OR(SwitchUniverse&lt;&gt;"ON",$B1765=""),"",BDP($B1765,"NAME"))</f>
        <v/>
      </c>
      <c r="D1765">
        <f>IF(OR(SwitchUniverse&lt;&gt;"ON",$B1765=""),"",BDP($B1765,"GICS_SECTOR_NAME"))</f>
        <v/>
      </c>
    </row>
    <row r="1766" spans="2:4">
      <c r="B1766">
        <f>IF(TRIM(A1766&amp;"")="","",IF(RIGHT(TRIM(A1766),7)=" Equity",TRIM(A1766),TRIM(A1766)&amp;" Equity"))</f>
        <v/>
      </c>
      <c r="C1766">
        <f>IF(OR(SwitchUniverse&lt;&gt;"ON",$B1766=""),"",BDP($B1766,"NAME"))</f>
        <v/>
      </c>
      <c r="D1766">
        <f>IF(OR(SwitchUniverse&lt;&gt;"ON",$B1766=""),"",BDP($B1766,"GICS_SECTOR_NAME"))</f>
        <v/>
      </c>
    </row>
    <row r="1767" spans="2:4">
      <c r="B1767">
        <f>IF(TRIM(A1767&amp;"")="","",IF(RIGHT(TRIM(A1767),7)=" Equity",TRIM(A1767),TRIM(A1767)&amp;" Equity"))</f>
        <v/>
      </c>
      <c r="C1767">
        <f>IF(OR(SwitchUniverse&lt;&gt;"ON",$B1767=""),"",BDP($B1767,"NAME"))</f>
        <v/>
      </c>
      <c r="D1767">
        <f>IF(OR(SwitchUniverse&lt;&gt;"ON",$B1767=""),"",BDP($B1767,"GICS_SECTOR_NAME"))</f>
        <v/>
      </c>
    </row>
    <row r="1768" spans="2:4">
      <c r="B1768">
        <f>IF(TRIM(A1768&amp;"")="","",IF(RIGHT(TRIM(A1768),7)=" Equity",TRIM(A1768),TRIM(A1768)&amp;" Equity"))</f>
        <v/>
      </c>
      <c r="C1768">
        <f>IF(OR(SwitchUniverse&lt;&gt;"ON",$B1768=""),"",BDP($B1768,"NAME"))</f>
        <v/>
      </c>
      <c r="D1768">
        <f>IF(OR(SwitchUniverse&lt;&gt;"ON",$B1768=""),"",BDP($B1768,"GICS_SECTOR_NAME"))</f>
        <v/>
      </c>
    </row>
    <row r="1769" spans="2:4">
      <c r="B1769">
        <f>IF(TRIM(A1769&amp;"")="","",IF(RIGHT(TRIM(A1769),7)=" Equity",TRIM(A1769),TRIM(A1769)&amp;" Equity"))</f>
        <v/>
      </c>
      <c r="C1769">
        <f>IF(OR(SwitchUniverse&lt;&gt;"ON",$B1769=""),"",BDP($B1769,"NAME"))</f>
        <v/>
      </c>
      <c r="D1769">
        <f>IF(OR(SwitchUniverse&lt;&gt;"ON",$B1769=""),"",BDP($B1769,"GICS_SECTOR_NAME"))</f>
        <v/>
      </c>
    </row>
    <row r="1770" spans="2:4">
      <c r="B1770">
        <f>IF(TRIM(A1770&amp;"")="","",IF(RIGHT(TRIM(A1770),7)=" Equity",TRIM(A1770),TRIM(A1770)&amp;" Equity"))</f>
        <v/>
      </c>
      <c r="C1770">
        <f>IF(OR(SwitchUniverse&lt;&gt;"ON",$B1770=""),"",BDP($B1770,"NAME"))</f>
        <v/>
      </c>
      <c r="D1770">
        <f>IF(OR(SwitchUniverse&lt;&gt;"ON",$B1770=""),"",BDP($B1770,"GICS_SECTOR_NAME"))</f>
        <v/>
      </c>
    </row>
    <row r="1771" spans="2:4">
      <c r="B1771">
        <f>IF(TRIM(A1771&amp;"")="","",IF(RIGHT(TRIM(A1771),7)=" Equity",TRIM(A1771),TRIM(A1771)&amp;" Equity"))</f>
        <v/>
      </c>
      <c r="C1771">
        <f>IF(OR(SwitchUniverse&lt;&gt;"ON",$B1771=""),"",BDP($B1771,"NAME"))</f>
        <v/>
      </c>
      <c r="D1771">
        <f>IF(OR(SwitchUniverse&lt;&gt;"ON",$B1771=""),"",BDP($B1771,"GICS_SECTOR_NAME"))</f>
        <v/>
      </c>
    </row>
    <row r="1772" spans="2:4">
      <c r="B1772">
        <f>IF(TRIM(A1772&amp;"")="","",IF(RIGHT(TRIM(A1772),7)=" Equity",TRIM(A1772),TRIM(A1772)&amp;" Equity"))</f>
        <v/>
      </c>
      <c r="C1772">
        <f>IF(OR(SwitchUniverse&lt;&gt;"ON",$B1772=""),"",BDP($B1772,"NAME"))</f>
        <v/>
      </c>
      <c r="D1772">
        <f>IF(OR(SwitchUniverse&lt;&gt;"ON",$B1772=""),"",BDP($B1772,"GICS_SECTOR_NAME"))</f>
        <v/>
      </c>
    </row>
    <row r="1773" spans="2:4">
      <c r="B1773">
        <f>IF(TRIM(A1773&amp;"")="","",IF(RIGHT(TRIM(A1773),7)=" Equity",TRIM(A1773),TRIM(A1773)&amp;" Equity"))</f>
        <v/>
      </c>
      <c r="C1773">
        <f>IF(OR(SwitchUniverse&lt;&gt;"ON",$B1773=""),"",BDP($B1773,"NAME"))</f>
        <v/>
      </c>
      <c r="D1773">
        <f>IF(OR(SwitchUniverse&lt;&gt;"ON",$B1773=""),"",BDP($B1773,"GICS_SECTOR_NAME"))</f>
        <v/>
      </c>
    </row>
    <row r="1774" spans="2:4">
      <c r="B1774">
        <f>IF(TRIM(A1774&amp;"")="","",IF(RIGHT(TRIM(A1774),7)=" Equity",TRIM(A1774),TRIM(A1774)&amp;" Equity"))</f>
        <v/>
      </c>
      <c r="C1774">
        <f>IF(OR(SwitchUniverse&lt;&gt;"ON",$B1774=""),"",BDP($B1774,"NAME"))</f>
        <v/>
      </c>
      <c r="D1774">
        <f>IF(OR(SwitchUniverse&lt;&gt;"ON",$B1774=""),"",BDP($B1774,"GICS_SECTOR_NAME"))</f>
        <v/>
      </c>
    </row>
    <row r="1775" spans="2:4">
      <c r="B1775">
        <f>IF(TRIM(A1775&amp;"")="","",IF(RIGHT(TRIM(A1775),7)=" Equity",TRIM(A1775),TRIM(A1775)&amp;" Equity"))</f>
        <v/>
      </c>
      <c r="C1775">
        <f>IF(OR(SwitchUniverse&lt;&gt;"ON",$B1775=""),"",BDP($B1775,"NAME"))</f>
        <v/>
      </c>
      <c r="D1775">
        <f>IF(OR(SwitchUniverse&lt;&gt;"ON",$B1775=""),"",BDP($B1775,"GICS_SECTOR_NAME"))</f>
        <v/>
      </c>
    </row>
    <row r="1776" spans="2:4">
      <c r="B1776">
        <f>IF(TRIM(A1776&amp;"")="","",IF(RIGHT(TRIM(A1776),7)=" Equity",TRIM(A1776),TRIM(A1776)&amp;" Equity"))</f>
        <v/>
      </c>
      <c r="C1776">
        <f>IF(OR(SwitchUniverse&lt;&gt;"ON",$B1776=""),"",BDP($B1776,"NAME"))</f>
        <v/>
      </c>
      <c r="D1776">
        <f>IF(OR(SwitchUniverse&lt;&gt;"ON",$B1776=""),"",BDP($B1776,"GICS_SECTOR_NAME"))</f>
        <v/>
      </c>
    </row>
    <row r="1777" spans="2:4">
      <c r="B1777">
        <f>IF(TRIM(A1777&amp;"")="","",IF(RIGHT(TRIM(A1777),7)=" Equity",TRIM(A1777),TRIM(A1777)&amp;" Equity"))</f>
        <v/>
      </c>
      <c r="C1777">
        <f>IF(OR(SwitchUniverse&lt;&gt;"ON",$B1777=""),"",BDP($B1777,"NAME"))</f>
        <v/>
      </c>
      <c r="D1777">
        <f>IF(OR(SwitchUniverse&lt;&gt;"ON",$B1777=""),"",BDP($B1777,"GICS_SECTOR_NAME"))</f>
        <v/>
      </c>
    </row>
    <row r="1778" spans="2:4">
      <c r="B1778">
        <f>IF(TRIM(A1778&amp;"")="","",IF(RIGHT(TRIM(A1778),7)=" Equity",TRIM(A1778),TRIM(A1778)&amp;" Equity"))</f>
        <v/>
      </c>
      <c r="C1778">
        <f>IF(OR(SwitchUniverse&lt;&gt;"ON",$B1778=""),"",BDP($B1778,"NAME"))</f>
        <v/>
      </c>
      <c r="D1778">
        <f>IF(OR(SwitchUniverse&lt;&gt;"ON",$B1778=""),"",BDP($B1778,"GICS_SECTOR_NAME"))</f>
        <v/>
      </c>
    </row>
    <row r="1779" spans="2:4">
      <c r="B1779">
        <f>IF(TRIM(A1779&amp;"")="","",IF(RIGHT(TRIM(A1779),7)=" Equity",TRIM(A1779),TRIM(A1779)&amp;" Equity"))</f>
        <v/>
      </c>
      <c r="C1779">
        <f>IF(OR(SwitchUniverse&lt;&gt;"ON",$B1779=""),"",BDP($B1779,"NAME"))</f>
        <v/>
      </c>
      <c r="D1779">
        <f>IF(OR(SwitchUniverse&lt;&gt;"ON",$B1779=""),"",BDP($B1779,"GICS_SECTOR_NAME"))</f>
        <v/>
      </c>
    </row>
    <row r="1780" spans="2:4">
      <c r="B1780">
        <f>IF(TRIM(A1780&amp;"")="","",IF(RIGHT(TRIM(A1780),7)=" Equity",TRIM(A1780),TRIM(A1780)&amp;" Equity"))</f>
        <v/>
      </c>
      <c r="C1780">
        <f>IF(OR(SwitchUniverse&lt;&gt;"ON",$B1780=""),"",BDP($B1780,"NAME"))</f>
        <v/>
      </c>
      <c r="D1780">
        <f>IF(OR(SwitchUniverse&lt;&gt;"ON",$B1780=""),"",BDP($B1780,"GICS_SECTOR_NAME"))</f>
        <v/>
      </c>
    </row>
    <row r="1781" spans="2:4">
      <c r="B1781">
        <f>IF(TRIM(A1781&amp;"")="","",IF(RIGHT(TRIM(A1781),7)=" Equity",TRIM(A1781),TRIM(A1781)&amp;" Equity"))</f>
        <v/>
      </c>
      <c r="C1781">
        <f>IF(OR(SwitchUniverse&lt;&gt;"ON",$B1781=""),"",BDP($B1781,"NAME"))</f>
        <v/>
      </c>
      <c r="D1781">
        <f>IF(OR(SwitchUniverse&lt;&gt;"ON",$B1781=""),"",BDP($B1781,"GICS_SECTOR_NAME"))</f>
        <v/>
      </c>
    </row>
    <row r="1782" spans="2:4">
      <c r="B1782">
        <f>IF(TRIM(A1782&amp;"")="","",IF(RIGHT(TRIM(A1782),7)=" Equity",TRIM(A1782),TRIM(A1782)&amp;" Equity"))</f>
        <v/>
      </c>
      <c r="C1782">
        <f>IF(OR(SwitchUniverse&lt;&gt;"ON",$B1782=""),"",BDP($B1782,"NAME"))</f>
        <v/>
      </c>
      <c r="D1782">
        <f>IF(OR(SwitchUniverse&lt;&gt;"ON",$B1782=""),"",BDP($B1782,"GICS_SECTOR_NAME"))</f>
        <v/>
      </c>
    </row>
    <row r="1783" spans="2:4">
      <c r="B1783">
        <f>IF(TRIM(A1783&amp;"")="","",IF(RIGHT(TRIM(A1783),7)=" Equity",TRIM(A1783),TRIM(A1783)&amp;" Equity"))</f>
        <v/>
      </c>
      <c r="C1783">
        <f>IF(OR(SwitchUniverse&lt;&gt;"ON",$B1783=""),"",BDP($B1783,"NAME"))</f>
        <v/>
      </c>
      <c r="D1783">
        <f>IF(OR(SwitchUniverse&lt;&gt;"ON",$B1783=""),"",BDP($B1783,"GICS_SECTOR_NAME"))</f>
        <v/>
      </c>
    </row>
    <row r="1784" spans="2:4">
      <c r="B1784">
        <f>IF(TRIM(A1784&amp;"")="","",IF(RIGHT(TRIM(A1784),7)=" Equity",TRIM(A1784),TRIM(A1784)&amp;" Equity"))</f>
        <v/>
      </c>
      <c r="C1784">
        <f>IF(OR(SwitchUniverse&lt;&gt;"ON",$B1784=""),"",BDP($B1784,"NAME"))</f>
        <v/>
      </c>
      <c r="D1784">
        <f>IF(OR(SwitchUniverse&lt;&gt;"ON",$B1784=""),"",BDP($B1784,"GICS_SECTOR_NAME"))</f>
        <v/>
      </c>
    </row>
    <row r="1785" spans="2:4">
      <c r="B1785">
        <f>IF(TRIM(A1785&amp;"")="","",IF(RIGHT(TRIM(A1785),7)=" Equity",TRIM(A1785),TRIM(A1785)&amp;" Equity"))</f>
        <v/>
      </c>
      <c r="C1785">
        <f>IF(OR(SwitchUniverse&lt;&gt;"ON",$B1785=""),"",BDP($B1785,"NAME"))</f>
        <v/>
      </c>
      <c r="D1785">
        <f>IF(OR(SwitchUniverse&lt;&gt;"ON",$B1785=""),"",BDP($B1785,"GICS_SECTOR_NAME"))</f>
        <v/>
      </c>
    </row>
    <row r="1786" spans="2:4">
      <c r="B1786">
        <f>IF(TRIM(A1786&amp;"")="","",IF(RIGHT(TRIM(A1786),7)=" Equity",TRIM(A1786),TRIM(A1786)&amp;" Equity"))</f>
        <v/>
      </c>
      <c r="C1786">
        <f>IF(OR(SwitchUniverse&lt;&gt;"ON",$B1786=""),"",BDP($B1786,"NAME"))</f>
        <v/>
      </c>
      <c r="D1786">
        <f>IF(OR(SwitchUniverse&lt;&gt;"ON",$B1786=""),"",BDP($B1786,"GICS_SECTOR_NAME"))</f>
        <v/>
      </c>
    </row>
    <row r="1787" spans="2:4">
      <c r="B1787">
        <f>IF(TRIM(A1787&amp;"")="","",IF(RIGHT(TRIM(A1787),7)=" Equity",TRIM(A1787),TRIM(A1787)&amp;" Equity"))</f>
        <v/>
      </c>
      <c r="C1787">
        <f>IF(OR(SwitchUniverse&lt;&gt;"ON",$B1787=""),"",BDP($B1787,"NAME"))</f>
        <v/>
      </c>
      <c r="D1787">
        <f>IF(OR(SwitchUniverse&lt;&gt;"ON",$B1787=""),"",BDP($B1787,"GICS_SECTOR_NAME"))</f>
        <v/>
      </c>
    </row>
    <row r="1788" spans="2:4">
      <c r="B1788">
        <f>IF(TRIM(A1788&amp;"")="","",IF(RIGHT(TRIM(A1788),7)=" Equity",TRIM(A1788),TRIM(A1788)&amp;" Equity"))</f>
        <v/>
      </c>
      <c r="C1788">
        <f>IF(OR(SwitchUniverse&lt;&gt;"ON",$B1788=""),"",BDP($B1788,"NAME"))</f>
        <v/>
      </c>
      <c r="D1788">
        <f>IF(OR(SwitchUniverse&lt;&gt;"ON",$B1788=""),"",BDP($B1788,"GICS_SECTOR_NAME"))</f>
        <v/>
      </c>
    </row>
    <row r="1789" spans="2:4">
      <c r="B1789">
        <f>IF(TRIM(A1789&amp;"")="","",IF(RIGHT(TRIM(A1789),7)=" Equity",TRIM(A1789),TRIM(A1789)&amp;" Equity"))</f>
        <v/>
      </c>
      <c r="C1789">
        <f>IF(OR(SwitchUniverse&lt;&gt;"ON",$B1789=""),"",BDP($B1789,"NAME"))</f>
        <v/>
      </c>
      <c r="D1789">
        <f>IF(OR(SwitchUniverse&lt;&gt;"ON",$B1789=""),"",BDP($B1789,"GICS_SECTOR_NAME"))</f>
        <v/>
      </c>
    </row>
    <row r="1790" spans="2:4">
      <c r="B1790">
        <f>IF(TRIM(A1790&amp;"")="","",IF(RIGHT(TRIM(A1790),7)=" Equity",TRIM(A1790),TRIM(A1790)&amp;" Equity"))</f>
        <v/>
      </c>
      <c r="C1790">
        <f>IF(OR(SwitchUniverse&lt;&gt;"ON",$B1790=""),"",BDP($B1790,"NAME"))</f>
        <v/>
      </c>
      <c r="D1790">
        <f>IF(OR(SwitchUniverse&lt;&gt;"ON",$B1790=""),"",BDP($B1790,"GICS_SECTOR_NAME"))</f>
        <v/>
      </c>
    </row>
    <row r="1791" spans="2:4">
      <c r="B1791">
        <f>IF(TRIM(A1791&amp;"")="","",IF(RIGHT(TRIM(A1791),7)=" Equity",TRIM(A1791),TRIM(A1791)&amp;" Equity"))</f>
        <v/>
      </c>
      <c r="C1791">
        <f>IF(OR(SwitchUniverse&lt;&gt;"ON",$B1791=""),"",BDP($B1791,"NAME"))</f>
        <v/>
      </c>
      <c r="D1791">
        <f>IF(OR(SwitchUniverse&lt;&gt;"ON",$B1791=""),"",BDP($B1791,"GICS_SECTOR_NAME"))</f>
        <v/>
      </c>
    </row>
    <row r="1792" spans="2:4">
      <c r="B1792">
        <f>IF(TRIM(A1792&amp;"")="","",IF(RIGHT(TRIM(A1792),7)=" Equity",TRIM(A1792),TRIM(A1792)&amp;" Equity"))</f>
        <v/>
      </c>
      <c r="C1792">
        <f>IF(OR(SwitchUniverse&lt;&gt;"ON",$B1792=""),"",BDP($B1792,"NAME"))</f>
        <v/>
      </c>
      <c r="D1792">
        <f>IF(OR(SwitchUniverse&lt;&gt;"ON",$B1792=""),"",BDP($B1792,"GICS_SECTOR_NAME"))</f>
        <v/>
      </c>
    </row>
    <row r="1793" spans="2:4">
      <c r="B1793">
        <f>IF(TRIM(A1793&amp;"")="","",IF(RIGHT(TRIM(A1793),7)=" Equity",TRIM(A1793),TRIM(A1793)&amp;" Equity"))</f>
        <v/>
      </c>
      <c r="C1793">
        <f>IF(OR(SwitchUniverse&lt;&gt;"ON",$B1793=""),"",BDP($B1793,"NAME"))</f>
        <v/>
      </c>
      <c r="D1793">
        <f>IF(OR(SwitchUniverse&lt;&gt;"ON",$B1793=""),"",BDP($B1793,"GICS_SECTOR_NAME"))</f>
        <v/>
      </c>
    </row>
    <row r="1794" spans="2:4">
      <c r="B1794">
        <f>IF(TRIM(A1794&amp;"")="","",IF(RIGHT(TRIM(A1794),7)=" Equity",TRIM(A1794),TRIM(A1794)&amp;" Equity"))</f>
        <v/>
      </c>
      <c r="C1794">
        <f>IF(OR(SwitchUniverse&lt;&gt;"ON",$B1794=""),"",BDP($B1794,"NAME"))</f>
        <v/>
      </c>
      <c r="D1794">
        <f>IF(OR(SwitchUniverse&lt;&gt;"ON",$B1794=""),"",BDP($B1794,"GICS_SECTOR_NAME"))</f>
        <v/>
      </c>
    </row>
    <row r="1795" spans="2:4">
      <c r="B1795">
        <f>IF(TRIM(A1795&amp;"")="","",IF(RIGHT(TRIM(A1795),7)=" Equity",TRIM(A1795),TRIM(A1795)&amp;" Equity"))</f>
        <v/>
      </c>
      <c r="C1795">
        <f>IF(OR(SwitchUniverse&lt;&gt;"ON",$B1795=""),"",BDP($B1795,"NAME"))</f>
        <v/>
      </c>
      <c r="D1795">
        <f>IF(OR(SwitchUniverse&lt;&gt;"ON",$B1795=""),"",BDP($B1795,"GICS_SECTOR_NAME"))</f>
        <v/>
      </c>
    </row>
    <row r="1796" spans="2:4">
      <c r="B1796">
        <f>IF(TRIM(A1796&amp;"")="","",IF(RIGHT(TRIM(A1796),7)=" Equity",TRIM(A1796),TRIM(A1796)&amp;" Equity"))</f>
        <v/>
      </c>
      <c r="C1796">
        <f>IF(OR(SwitchUniverse&lt;&gt;"ON",$B1796=""),"",BDP($B1796,"NAME"))</f>
        <v/>
      </c>
      <c r="D1796">
        <f>IF(OR(SwitchUniverse&lt;&gt;"ON",$B1796=""),"",BDP($B1796,"GICS_SECTOR_NAME"))</f>
        <v/>
      </c>
    </row>
    <row r="1797" spans="2:4">
      <c r="B1797">
        <f>IF(TRIM(A1797&amp;"")="","",IF(RIGHT(TRIM(A1797),7)=" Equity",TRIM(A1797),TRIM(A1797)&amp;" Equity"))</f>
        <v/>
      </c>
      <c r="C1797">
        <f>IF(OR(SwitchUniverse&lt;&gt;"ON",$B1797=""),"",BDP($B1797,"NAME"))</f>
        <v/>
      </c>
      <c r="D1797">
        <f>IF(OR(SwitchUniverse&lt;&gt;"ON",$B1797=""),"",BDP($B1797,"GICS_SECTOR_NAME"))</f>
        <v/>
      </c>
    </row>
    <row r="1798" spans="2:4">
      <c r="B1798">
        <f>IF(TRIM(A1798&amp;"")="","",IF(RIGHT(TRIM(A1798),7)=" Equity",TRIM(A1798),TRIM(A1798)&amp;" Equity"))</f>
        <v/>
      </c>
      <c r="C1798">
        <f>IF(OR(SwitchUniverse&lt;&gt;"ON",$B1798=""),"",BDP($B1798,"NAME"))</f>
        <v/>
      </c>
      <c r="D1798">
        <f>IF(OR(SwitchUniverse&lt;&gt;"ON",$B1798=""),"",BDP($B1798,"GICS_SECTOR_NAME"))</f>
        <v/>
      </c>
    </row>
    <row r="1799" spans="2:4">
      <c r="B1799">
        <f>IF(TRIM(A1799&amp;"")="","",IF(RIGHT(TRIM(A1799),7)=" Equity",TRIM(A1799),TRIM(A1799)&amp;" Equity"))</f>
        <v/>
      </c>
      <c r="C1799">
        <f>IF(OR(SwitchUniverse&lt;&gt;"ON",$B1799=""),"",BDP($B1799,"NAME"))</f>
        <v/>
      </c>
      <c r="D1799">
        <f>IF(OR(SwitchUniverse&lt;&gt;"ON",$B1799=""),"",BDP($B1799,"GICS_SECTOR_NAME"))</f>
        <v/>
      </c>
    </row>
    <row r="1800" spans="2:4">
      <c r="B1800">
        <f>IF(TRIM(A1800&amp;"")="","",IF(RIGHT(TRIM(A1800),7)=" Equity",TRIM(A1800),TRIM(A1800)&amp;" Equity"))</f>
        <v/>
      </c>
      <c r="C1800">
        <f>IF(OR(SwitchUniverse&lt;&gt;"ON",$B1800=""),"",BDP($B1800,"NAME"))</f>
        <v/>
      </c>
      <c r="D1800">
        <f>IF(OR(SwitchUniverse&lt;&gt;"ON",$B1800=""),"",BDP($B1800,"GICS_SECTOR_NAME"))</f>
        <v/>
      </c>
    </row>
    <row r="1801" spans="2:4">
      <c r="B1801">
        <f>IF(TRIM(A1801&amp;"")="","",IF(RIGHT(TRIM(A1801),7)=" Equity",TRIM(A1801),TRIM(A1801)&amp;" Equity"))</f>
        <v/>
      </c>
      <c r="C1801">
        <f>IF(OR(SwitchUniverse&lt;&gt;"ON",$B1801=""),"",BDP($B1801,"NAME"))</f>
        <v/>
      </c>
      <c r="D1801">
        <f>IF(OR(SwitchUniverse&lt;&gt;"ON",$B1801=""),"",BDP($B1801,"GICS_SECTOR_NAME"))</f>
        <v/>
      </c>
    </row>
    <row r="1802" spans="2:4">
      <c r="B1802">
        <f>IF(TRIM(A1802&amp;"")="","",IF(RIGHT(TRIM(A1802),7)=" Equity",TRIM(A1802),TRIM(A1802)&amp;" Equity"))</f>
        <v/>
      </c>
      <c r="C1802">
        <f>IF(OR(SwitchUniverse&lt;&gt;"ON",$B1802=""),"",BDP($B1802,"NAME"))</f>
        <v/>
      </c>
      <c r="D1802">
        <f>IF(OR(SwitchUniverse&lt;&gt;"ON",$B1802=""),"",BDP($B1802,"GICS_SECTOR_NAME"))</f>
        <v/>
      </c>
    </row>
    <row r="1803" spans="2:4">
      <c r="B1803">
        <f>IF(TRIM(A1803&amp;"")="","",IF(RIGHT(TRIM(A1803),7)=" Equity",TRIM(A1803),TRIM(A1803)&amp;" Equity"))</f>
        <v/>
      </c>
      <c r="C1803">
        <f>IF(OR(SwitchUniverse&lt;&gt;"ON",$B1803=""),"",BDP($B1803,"NAME"))</f>
        <v/>
      </c>
      <c r="D1803">
        <f>IF(OR(SwitchUniverse&lt;&gt;"ON",$B1803=""),"",BDP($B1803,"GICS_SECTOR_NAME"))</f>
        <v/>
      </c>
    </row>
    <row r="1804" spans="2:4">
      <c r="B1804">
        <f>IF(TRIM(A1804&amp;"")="","",IF(RIGHT(TRIM(A1804),7)=" Equity",TRIM(A1804),TRIM(A1804)&amp;" Equity"))</f>
        <v/>
      </c>
      <c r="C1804">
        <f>IF(OR(SwitchUniverse&lt;&gt;"ON",$B1804=""),"",BDP($B1804,"NAME"))</f>
        <v/>
      </c>
      <c r="D1804">
        <f>IF(OR(SwitchUniverse&lt;&gt;"ON",$B1804=""),"",BDP($B1804,"GICS_SECTOR_NAME"))</f>
        <v/>
      </c>
    </row>
    <row r="1805" spans="2:4">
      <c r="B1805">
        <f>IF(TRIM(A1805&amp;"")="","",IF(RIGHT(TRIM(A1805),7)=" Equity",TRIM(A1805),TRIM(A1805)&amp;" Equity"))</f>
        <v/>
      </c>
      <c r="C1805">
        <f>IF(OR(SwitchUniverse&lt;&gt;"ON",$B1805=""),"",BDP($B1805,"NAME"))</f>
        <v/>
      </c>
      <c r="D1805">
        <f>IF(OR(SwitchUniverse&lt;&gt;"ON",$B1805=""),"",BDP($B1805,"GICS_SECTOR_NAME"))</f>
        <v/>
      </c>
    </row>
    <row r="1806" spans="2:4">
      <c r="B1806">
        <f>IF(TRIM(A1806&amp;"")="","",IF(RIGHT(TRIM(A1806),7)=" Equity",TRIM(A1806),TRIM(A1806)&amp;" Equity"))</f>
        <v/>
      </c>
      <c r="C1806">
        <f>IF(OR(SwitchUniverse&lt;&gt;"ON",$B1806=""),"",BDP($B1806,"NAME"))</f>
        <v/>
      </c>
      <c r="D1806">
        <f>IF(OR(SwitchUniverse&lt;&gt;"ON",$B1806=""),"",BDP($B1806,"GICS_SECTOR_NAME"))</f>
        <v/>
      </c>
    </row>
    <row r="1807" spans="2:4">
      <c r="B1807">
        <f>IF(TRIM(A1807&amp;"")="","",IF(RIGHT(TRIM(A1807),7)=" Equity",TRIM(A1807),TRIM(A1807)&amp;" Equity"))</f>
        <v/>
      </c>
      <c r="C1807">
        <f>IF(OR(SwitchUniverse&lt;&gt;"ON",$B1807=""),"",BDP($B1807,"NAME"))</f>
        <v/>
      </c>
      <c r="D1807">
        <f>IF(OR(SwitchUniverse&lt;&gt;"ON",$B1807=""),"",BDP($B1807,"GICS_SECTOR_NAME"))</f>
        <v/>
      </c>
    </row>
    <row r="1808" spans="2:4">
      <c r="B1808">
        <f>IF(TRIM(A1808&amp;"")="","",IF(RIGHT(TRIM(A1808),7)=" Equity",TRIM(A1808),TRIM(A1808)&amp;" Equity"))</f>
        <v/>
      </c>
      <c r="C1808">
        <f>IF(OR(SwitchUniverse&lt;&gt;"ON",$B1808=""),"",BDP($B1808,"NAME"))</f>
        <v/>
      </c>
      <c r="D1808">
        <f>IF(OR(SwitchUniverse&lt;&gt;"ON",$B1808=""),"",BDP($B1808,"GICS_SECTOR_NAME"))</f>
        <v/>
      </c>
    </row>
    <row r="1809" spans="2:4">
      <c r="B1809">
        <f>IF(TRIM(A1809&amp;"")="","",IF(RIGHT(TRIM(A1809),7)=" Equity",TRIM(A1809),TRIM(A1809)&amp;" Equity"))</f>
        <v/>
      </c>
      <c r="C1809">
        <f>IF(OR(SwitchUniverse&lt;&gt;"ON",$B1809=""),"",BDP($B1809,"NAME"))</f>
        <v/>
      </c>
      <c r="D1809">
        <f>IF(OR(SwitchUniverse&lt;&gt;"ON",$B1809=""),"",BDP($B1809,"GICS_SECTOR_NAME"))</f>
        <v/>
      </c>
    </row>
    <row r="1810" spans="2:4">
      <c r="B1810">
        <f>IF(TRIM(A1810&amp;"")="","",IF(RIGHT(TRIM(A1810),7)=" Equity",TRIM(A1810),TRIM(A1810)&amp;" Equity"))</f>
        <v/>
      </c>
      <c r="C1810">
        <f>IF(OR(SwitchUniverse&lt;&gt;"ON",$B1810=""),"",BDP($B1810,"NAME"))</f>
        <v/>
      </c>
      <c r="D1810">
        <f>IF(OR(SwitchUniverse&lt;&gt;"ON",$B1810=""),"",BDP($B1810,"GICS_SECTOR_NAME"))</f>
        <v/>
      </c>
    </row>
    <row r="1811" spans="2:4">
      <c r="B1811">
        <f>IF(TRIM(A1811&amp;"")="","",IF(RIGHT(TRIM(A1811),7)=" Equity",TRIM(A1811),TRIM(A1811)&amp;" Equity"))</f>
        <v/>
      </c>
      <c r="C1811">
        <f>IF(OR(SwitchUniverse&lt;&gt;"ON",$B1811=""),"",BDP($B1811,"NAME"))</f>
        <v/>
      </c>
      <c r="D1811">
        <f>IF(OR(SwitchUniverse&lt;&gt;"ON",$B1811=""),"",BDP($B1811,"GICS_SECTOR_NAME"))</f>
        <v/>
      </c>
    </row>
    <row r="1812" spans="2:4">
      <c r="B1812">
        <f>IF(TRIM(A1812&amp;"")="","",IF(RIGHT(TRIM(A1812),7)=" Equity",TRIM(A1812),TRIM(A1812)&amp;" Equity"))</f>
        <v/>
      </c>
      <c r="C1812">
        <f>IF(OR(SwitchUniverse&lt;&gt;"ON",$B1812=""),"",BDP($B1812,"NAME"))</f>
        <v/>
      </c>
      <c r="D1812">
        <f>IF(OR(SwitchUniverse&lt;&gt;"ON",$B1812=""),"",BDP($B1812,"GICS_SECTOR_NAME"))</f>
        <v/>
      </c>
    </row>
    <row r="1813" spans="2:4">
      <c r="B1813">
        <f>IF(TRIM(A1813&amp;"")="","",IF(RIGHT(TRIM(A1813),7)=" Equity",TRIM(A1813),TRIM(A1813)&amp;" Equity"))</f>
        <v/>
      </c>
      <c r="C1813">
        <f>IF(OR(SwitchUniverse&lt;&gt;"ON",$B1813=""),"",BDP($B1813,"NAME"))</f>
        <v/>
      </c>
      <c r="D1813">
        <f>IF(OR(SwitchUniverse&lt;&gt;"ON",$B1813=""),"",BDP($B1813,"GICS_SECTOR_NAME"))</f>
        <v/>
      </c>
    </row>
    <row r="1814" spans="2:4">
      <c r="B1814">
        <f>IF(TRIM(A1814&amp;"")="","",IF(RIGHT(TRIM(A1814),7)=" Equity",TRIM(A1814),TRIM(A1814)&amp;" Equity"))</f>
        <v/>
      </c>
      <c r="C1814">
        <f>IF(OR(SwitchUniverse&lt;&gt;"ON",$B1814=""),"",BDP($B1814,"NAME"))</f>
        <v/>
      </c>
      <c r="D1814">
        <f>IF(OR(SwitchUniverse&lt;&gt;"ON",$B1814=""),"",BDP($B1814,"GICS_SECTOR_NAME"))</f>
        <v/>
      </c>
    </row>
    <row r="1815" spans="2:4">
      <c r="B1815">
        <f>IF(TRIM(A1815&amp;"")="","",IF(RIGHT(TRIM(A1815),7)=" Equity",TRIM(A1815),TRIM(A1815)&amp;" Equity"))</f>
        <v/>
      </c>
      <c r="C1815">
        <f>IF(OR(SwitchUniverse&lt;&gt;"ON",$B1815=""),"",BDP($B1815,"NAME"))</f>
        <v/>
      </c>
      <c r="D1815">
        <f>IF(OR(SwitchUniverse&lt;&gt;"ON",$B1815=""),"",BDP($B1815,"GICS_SECTOR_NAME"))</f>
        <v/>
      </c>
    </row>
    <row r="1816" spans="2:4">
      <c r="B1816">
        <f>IF(TRIM(A1816&amp;"")="","",IF(RIGHT(TRIM(A1816),7)=" Equity",TRIM(A1816),TRIM(A1816)&amp;" Equity"))</f>
        <v/>
      </c>
      <c r="C1816">
        <f>IF(OR(SwitchUniverse&lt;&gt;"ON",$B1816=""),"",BDP($B1816,"NAME"))</f>
        <v/>
      </c>
      <c r="D1816">
        <f>IF(OR(SwitchUniverse&lt;&gt;"ON",$B1816=""),"",BDP($B1816,"GICS_SECTOR_NAME"))</f>
        <v/>
      </c>
    </row>
    <row r="1817" spans="2:4">
      <c r="B1817">
        <f>IF(TRIM(A1817&amp;"")="","",IF(RIGHT(TRIM(A1817),7)=" Equity",TRIM(A1817),TRIM(A1817)&amp;" Equity"))</f>
        <v/>
      </c>
      <c r="C1817">
        <f>IF(OR(SwitchUniverse&lt;&gt;"ON",$B1817=""),"",BDP($B1817,"NAME"))</f>
        <v/>
      </c>
      <c r="D1817">
        <f>IF(OR(SwitchUniverse&lt;&gt;"ON",$B1817=""),"",BDP($B1817,"GICS_SECTOR_NAME"))</f>
        <v/>
      </c>
    </row>
    <row r="1818" spans="2:4">
      <c r="B1818">
        <f>IF(TRIM(A1818&amp;"")="","",IF(RIGHT(TRIM(A1818),7)=" Equity",TRIM(A1818),TRIM(A1818)&amp;" Equity"))</f>
        <v/>
      </c>
      <c r="C1818">
        <f>IF(OR(SwitchUniverse&lt;&gt;"ON",$B1818=""),"",BDP($B1818,"NAME"))</f>
        <v/>
      </c>
      <c r="D1818">
        <f>IF(OR(SwitchUniverse&lt;&gt;"ON",$B1818=""),"",BDP($B1818,"GICS_SECTOR_NAME"))</f>
        <v/>
      </c>
    </row>
    <row r="1819" spans="2:4">
      <c r="B1819">
        <f>IF(TRIM(A1819&amp;"")="","",IF(RIGHT(TRIM(A1819),7)=" Equity",TRIM(A1819),TRIM(A1819)&amp;" Equity"))</f>
        <v/>
      </c>
      <c r="C1819">
        <f>IF(OR(SwitchUniverse&lt;&gt;"ON",$B1819=""),"",BDP($B1819,"NAME"))</f>
        <v/>
      </c>
      <c r="D1819">
        <f>IF(OR(SwitchUniverse&lt;&gt;"ON",$B1819=""),"",BDP($B1819,"GICS_SECTOR_NAME"))</f>
        <v/>
      </c>
    </row>
    <row r="1820" spans="2:4">
      <c r="B1820">
        <f>IF(TRIM(A1820&amp;"")="","",IF(RIGHT(TRIM(A1820),7)=" Equity",TRIM(A1820),TRIM(A1820)&amp;" Equity"))</f>
        <v/>
      </c>
      <c r="C1820">
        <f>IF(OR(SwitchUniverse&lt;&gt;"ON",$B1820=""),"",BDP($B1820,"NAME"))</f>
        <v/>
      </c>
      <c r="D1820">
        <f>IF(OR(SwitchUniverse&lt;&gt;"ON",$B1820=""),"",BDP($B1820,"GICS_SECTOR_NAME"))</f>
        <v/>
      </c>
    </row>
    <row r="1821" spans="2:4">
      <c r="B1821">
        <f>IF(TRIM(A1821&amp;"")="","",IF(RIGHT(TRIM(A1821),7)=" Equity",TRIM(A1821),TRIM(A1821)&amp;" Equity"))</f>
        <v/>
      </c>
      <c r="C1821">
        <f>IF(OR(SwitchUniverse&lt;&gt;"ON",$B1821=""),"",BDP($B1821,"NAME"))</f>
        <v/>
      </c>
      <c r="D1821">
        <f>IF(OR(SwitchUniverse&lt;&gt;"ON",$B1821=""),"",BDP($B1821,"GICS_SECTOR_NAME"))</f>
        <v/>
      </c>
    </row>
    <row r="1822" spans="2:4">
      <c r="B1822">
        <f>IF(TRIM(A1822&amp;"")="","",IF(RIGHT(TRIM(A1822),7)=" Equity",TRIM(A1822),TRIM(A1822)&amp;" Equity"))</f>
        <v/>
      </c>
      <c r="C1822">
        <f>IF(OR(SwitchUniverse&lt;&gt;"ON",$B1822=""),"",BDP($B1822,"NAME"))</f>
        <v/>
      </c>
      <c r="D1822">
        <f>IF(OR(SwitchUniverse&lt;&gt;"ON",$B1822=""),"",BDP($B1822,"GICS_SECTOR_NAME"))</f>
        <v/>
      </c>
    </row>
    <row r="1823" spans="2:4">
      <c r="B1823">
        <f>IF(TRIM(A1823&amp;"")="","",IF(RIGHT(TRIM(A1823),7)=" Equity",TRIM(A1823),TRIM(A1823)&amp;" Equity"))</f>
        <v/>
      </c>
      <c r="C1823">
        <f>IF(OR(SwitchUniverse&lt;&gt;"ON",$B1823=""),"",BDP($B1823,"NAME"))</f>
        <v/>
      </c>
      <c r="D1823">
        <f>IF(OR(SwitchUniverse&lt;&gt;"ON",$B1823=""),"",BDP($B1823,"GICS_SECTOR_NAME"))</f>
        <v/>
      </c>
    </row>
    <row r="1824" spans="2:4">
      <c r="B1824">
        <f>IF(TRIM(A1824&amp;"")="","",IF(RIGHT(TRIM(A1824),7)=" Equity",TRIM(A1824),TRIM(A1824)&amp;" Equity"))</f>
        <v/>
      </c>
      <c r="C1824">
        <f>IF(OR(SwitchUniverse&lt;&gt;"ON",$B1824=""),"",BDP($B1824,"NAME"))</f>
        <v/>
      </c>
      <c r="D1824">
        <f>IF(OR(SwitchUniverse&lt;&gt;"ON",$B1824=""),"",BDP($B1824,"GICS_SECTOR_NAME"))</f>
        <v/>
      </c>
    </row>
    <row r="1825" spans="2:4">
      <c r="B1825">
        <f>IF(TRIM(A1825&amp;"")="","",IF(RIGHT(TRIM(A1825),7)=" Equity",TRIM(A1825),TRIM(A1825)&amp;" Equity"))</f>
        <v/>
      </c>
      <c r="C1825">
        <f>IF(OR(SwitchUniverse&lt;&gt;"ON",$B1825=""),"",BDP($B1825,"NAME"))</f>
        <v/>
      </c>
      <c r="D1825">
        <f>IF(OR(SwitchUniverse&lt;&gt;"ON",$B1825=""),"",BDP($B1825,"GICS_SECTOR_NAME"))</f>
        <v/>
      </c>
    </row>
    <row r="1826" spans="2:4">
      <c r="B1826">
        <f>IF(TRIM(A1826&amp;"")="","",IF(RIGHT(TRIM(A1826),7)=" Equity",TRIM(A1826),TRIM(A1826)&amp;" Equity"))</f>
        <v/>
      </c>
      <c r="C1826">
        <f>IF(OR(SwitchUniverse&lt;&gt;"ON",$B1826=""),"",BDP($B1826,"NAME"))</f>
        <v/>
      </c>
      <c r="D1826">
        <f>IF(OR(SwitchUniverse&lt;&gt;"ON",$B1826=""),"",BDP($B1826,"GICS_SECTOR_NAME"))</f>
        <v/>
      </c>
    </row>
    <row r="1827" spans="2:4">
      <c r="B1827">
        <f>IF(TRIM(A1827&amp;"")="","",IF(RIGHT(TRIM(A1827),7)=" Equity",TRIM(A1827),TRIM(A1827)&amp;" Equity"))</f>
        <v/>
      </c>
      <c r="C1827">
        <f>IF(OR(SwitchUniverse&lt;&gt;"ON",$B1827=""),"",BDP($B1827,"NAME"))</f>
        <v/>
      </c>
      <c r="D1827">
        <f>IF(OR(SwitchUniverse&lt;&gt;"ON",$B1827=""),"",BDP($B1827,"GICS_SECTOR_NAME"))</f>
        <v/>
      </c>
    </row>
    <row r="1828" spans="2:4">
      <c r="B1828">
        <f>IF(TRIM(A1828&amp;"")="","",IF(RIGHT(TRIM(A1828),7)=" Equity",TRIM(A1828),TRIM(A1828)&amp;" Equity"))</f>
        <v/>
      </c>
      <c r="C1828">
        <f>IF(OR(SwitchUniverse&lt;&gt;"ON",$B1828=""),"",BDP($B1828,"NAME"))</f>
        <v/>
      </c>
      <c r="D1828">
        <f>IF(OR(SwitchUniverse&lt;&gt;"ON",$B1828=""),"",BDP($B1828,"GICS_SECTOR_NAME"))</f>
        <v/>
      </c>
    </row>
    <row r="1829" spans="2:4">
      <c r="B1829">
        <f>IF(TRIM(A1829&amp;"")="","",IF(RIGHT(TRIM(A1829),7)=" Equity",TRIM(A1829),TRIM(A1829)&amp;" Equity"))</f>
        <v/>
      </c>
      <c r="C1829">
        <f>IF(OR(SwitchUniverse&lt;&gt;"ON",$B1829=""),"",BDP($B1829,"NAME"))</f>
        <v/>
      </c>
      <c r="D1829">
        <f>IF(OR(SwitchUniverse&lt;&gt;"ON",$B1829=""),"",BDP($B1829,"GICS_SECTOR_NAME"))</f>
        <v/>
      </c>
    </row>
    <row r="1830" spans="2:4">
      <c r="B1830">
        <f>IF(TRIM(A1830&amp;"")="","",IF(RIGHT(TRIM(A1830),7)=" Equity",TRIM(A1830),TRIM(A1830)&amp;" Equity"))</f>
        <v/>
      </c>
      <c r="C1830">
        <f>IF(OR(SwitchUniverse&lt;&gt;"ON",$B1830=""),"",BDP($B1830,"NAME"))</f>
        <v/>
      </c>
      <c r="D1830">
        <f>IF(OR(SwitchUniverse&lt;&gt;"ON",$B1830=""),"",BDP($B1830,"GICS_SECTOR_NAME"))</f>
        <v/>
      </c>
    </row>
    <row r="1831" spans="2:4">
      <c r="B1831">
        <f>IF(TRIM(A1831&amp;"")="","",IF(RIGHT(TRIM(A1831),7)=" Equity",TRIM(A1831),TRIM(A1831)&amp;" Equity"))</f>
        <v/>
      </c>
      <c r="C1831">
        <f>IF(OR(SwitchUniverse&lt;&gt;"ON",$B1831=""),"",BDP($B1831,"NAME"))</f>
        <v/>
      </c>
      <c r="D1831">
        <f>IF(OR(SwitchUniverse&lt;&gt;"ON",$B1831=""),"",BDP($B1831,"GICS_SECTOR_NAME"))</f>
        <v/>
      </c>
    </row>
    <row r="1832" spans="2:4">
      <c r="B1832">
        <f>IF(TRIM(A1832&amp;"")="","",IF(RIGHT(TRIM(A1832),7)=" Equity",TRIM(A1832),TRIM(A1832)&amp;" Equity"))</f>
        <v/>
      </c>
      <c r="C1832">
        <f>IF(OR(SwitchUniverse&lt;&gt;"ON",$B1832=""),"",BDP($B1832,"NAME"))</f>
        <v/>
      </c>
      <c r="D1832">
        <f>IF(OR(SwitchUniverse&lt;&gt;"ON",$B1832=""),"",BDP($B1832,"GICS_SECTOR_NAME"))</f>
        <v/>
      </c>
    </row>
    <row r="1833" spans="2:4">
      <c r="B1833">
        <f>IF(TRIM(A1833&amp;"")="","",IF(RIGHT(TRIM(A1833),7)=" Equity",TRIM(A1833),TRIM(A1833)&amp;" Equity"))</f>
        <v/>
      </c>
      <c r="C1833">
        <f>IF(OR(SwitchUniverse&lt;&gt;"ON",$B1833=""),"",BDP($B1833,"NAME"))</f>
        <v/>
      </c>
      <c r="D1833">
        <f>IF(OR(SwitchUniverse&lt;&gt;"ON",$B1833=""),"",BDP($B1833,"GICS_SECTOR_NAME"))</f>
        <v/>
      </c>
    </row>
    <row r="1834" spans="2:4">
      <c r="B1834">
        <f>IF(TRIM(A1834&amp;"")="","",IF(RIGHT(TRIM(A1834),7)=" Equity",TRIM(A1834),TRIM(A1834)&amp;" Equity"))</f>
        <v/>
      </c>
      <c r="C1834">
        <f>IF(OR(SwitchUniverse&lt;&gt;"ON",$B1834=""),"",BDP($B1834,"NAME"))</f>
        <v/>
      </c>
      <c r="D1834">
        <f>IF(OR(SwitchUniverse&lt;&gt;"ON",$B1834=""),"",BDP($B1834,"GICS_SECTOR_NAME"))</f>
        <v/>
      </c>
    </row>
    <row r="1835" spans="2:4">
      <c r="B1835">
        <f>IF(TRIM(A1835&amp;"")="","",IF(RIGHT(TRIM(A1835),7)=" Equity",TRIM(A1835),TRIM(A1835)&amp;" Equity"))</f>
        <v/>
      </c>
      <c r="C1835">
        <f>IF(OR(SwitchUniverse&lt;&gt;"ON",$B1835=""),"",BDP($B1835,"NAME"))</f>
        <v/>
      </c>
      <c r="D1835">
        <f>IF(OR(SwitchUniverse&lt;&gt;"ON",$B1835=""),"",BDP($B1835,"GICS_SECTOR_NAME"))</f>
        <v/>
      </c>
    </row>
    <row r="1836" spans="2:4">
      <c r="B1836">
        <f>IF(TRIM(A1836&amp;"")="","",IF(RIGHT(TRIM(A1836),7)=" Equity",TRIM(A1836),TRIM(A1836)&amp;" Equity"))</f>
        <v/>
      </c>
      <c r="C1836">
        <f>IF(OR(SwitchUniverse&lt;&gt;"ON",$B1836=""),"",BDP($B1836,"NAME"))</f>
        <v/>
      </c>
      <c r="D1836">
        <f>IF(OR(SwitchUniverse&lt;&gt;"ON",$B1836=""),"",BDP($B1836,"GICS_SECTOR_NAME"))</f>
        <v/>
      </c>
    </row>
    <row r="1837" spans="2:4">
      <c r="B1837">
        <f>IF(TRIM(A1837&amp;"")="","",IF(RIGHT(TRIM(A1837),7)=" Equity",TRIM(A1837),TRIM(A1837)&amp;" Equity"))</f>
        <v/>
      </c>
      <c r="C1837">
        <f>IF(OR(SwitchUniverse&lt;&gt;"ON",$B1837=""),"",BDP($B1837,"NAME"))</f>
        <v/>
      </c>
      <c r="D1837">
        <f>IF(OR(SwitchUniverse&lt;&gt;"ON",$B1837=""),"",BDP($B1837,"GICS_SECTOR_NAME"))</f>
        <v/>
      </c>
    </row>
    <row r="1838" spans="2:4">
      <c r="B1838">
        <f>IF(TRIM(A1838&amp;"")="","",IF(RIGHT(TRIM(A1838),7)=" Equity",TRIM(A1838),TRIM(A1838)&amp;" Equity"))</f>
        <v/>
      </c>
      <c r="C1838">
        <f>IF(OR(SwitchUniverse&lt;&gt;"ON",$B1838=""),"",BDP($B1838,"NAME"))</f>
        <v/>
      </c>
      <c r="D1838">
        <f>IF(OR(SwitchUniverse&lt;&gt;"ON",$B1838=""),"",BDP($B1838,"GICS_SECTOR_NAME"))</f>
        <v/>
      </c>
    </row>
    <row r="1839" spans="2:4">
      <c r="B1839">
        <f>IF(TRIM(A1839&amp;"")="","",IF(RIGHT(TRIM(A1839),7)=" Equity",TRIM(A1839),TRIM(A1839)&amp;" Equity"))</f>
        <v/>
      </c>
      <c r="C1839">
        <f>IF(OR(SwitchUniverse&lt;&gt;"ON",$B1839=""),"",BDP($B1839,"NAME"))</f>
        <v/>
      </c>
      <c r="D1839">
        <f>IF(OR(SwitchUniverse&lt;&gt;"ON",$B1839=""),"",BDP($B1839,"GICS_SECTOR_NAME"))</f>
        <v/>
      </c>
    </row>
    <row r="1840" spans="2:4">
      <c r="B1840">
        <f>IF(TRIM(A1840&amp;"")="","",IF(RIGHT(TRIM(A1840),7)=" Equity",TRIM(A1840),TRIM(A1840)&amp;" Equity"))</f>
        <v/>
      </c>
      <c r="C1840">
        <f>IF(OR(SwitchUniverse&lt;&gt;"ON",$B1840=""),"",BDP($B1840,"NAME"))</f>
        <v/>
      </c>
      <c r="D1840">
        <f>IF(OR(SwitchUniverse&lt;&gt;"ON",$B1840=""),"",BDP($B1840,"GICS_SECTOR_NAME"))</f>
        <v/>
      </c>
    </row>
    <row r="1841" spans="2:4">
      <c r="B1841">
        <f>IF(TRIM(A1841&amp;"")="","",IF(RIGHT(TRIM(A1841),7)=" Equity",TRIM(A1841),TRIM(A1841)&amp;" Equity"))</f>
        <v/>
      </c>
      <c r="C1841">
        <f>IF(OR(SwitchUniverse&lt;&gt;"ON",$B1841=""),"",BDP($B1841,"NAME"))</f>
        <v/>
      </c>
      <c r="D1841">
        <f>IF(OR(SwitchUniverse&lt;&gt;"ON",$B1841=""),"",BDP($B1841,"GICS_SECTOR_NAME"))</f>
        <v/>
      </c>
    </row>
    <row r="1842" spans="2:4">
      <c r="B1842">
        <f>IF(TRIM(A1842&amp;"")="","",IF(RIGHT(TRIM(A1842),7)=" Equity",TRIM(A1842),TRIM(A1842)&amp;" Equity"))</f>
        <v/>
      </c>
      <c r="C1842">
        <f>IF(OR(SwitchUniverse&lt;&gt;"ON",$B1842=""),"",BDP($B1842,"NAME"))</f>
        <v/>
      </c>
      <c r="D1842">
        <f>IF(OR(SwitchUniverse&lt;&gt;"ON",$B1842=""),"",BDP($B1842,"GICS_SECTOR_NAME"))</f>
        <v/>
      </c>
    </row>
    <row r="1843" spans="2:4">
      <c r="B1843">
        <f>IF(TRIM(A1843&amp;"")="","",IF(RIGHT(TRIM(A1843),7)=" Equity",TRIM(A1843),TRIM(A1843)&amp;" Equity"))</f>
        <v/>
      </c>
      <c r="C1843">
        <f>IF(OR(SwitchUniverse&lt;&gt;"ON",$B1843=""),"",BDP($B1843,"NAME"))</f>
        <v/>
      </c>
      <c r="D1843">
        <f>IF(OR(SwitchUniverse&lt;&gt;"ON",$B1843=""),"",BDP($B1843,"GICS_SECTOR_NAME"))</f>
        <v/>
      </c>
    </row>
    <row r="1844" spans="2:4">
      <c r="B1844">
        <f>IF(TRIM(A1844&amp;"")="","",IF(RIGHT(TRIM(A1844),7)=" Equity",TRIM(A1844),TRIM(A1844)&amp;" Equity"))</f>
        <v/>
      </c>
      <c r="C1844">
        <f>IF(OR(SwitchUniverse&lt;&gt;"ON",$B1844=""),"",BDP($B1844,"NAME"))</f>
        <v/>
      </c>
      <c r="D1844">
        <f>IF(OR(SwitchUniverse&lt;&gt;"ON",$B1844=""),"",BDP($B1844,"GICS_SECTOR_NAME"))</f>
        <v/>
      </c>
    </row>
    <row r="1845" spans="2:4">
      <c r="B1845">
        <f>IF(TRIM(A1845&amp;"")="","",IF(RIGHT(TRIM(A1845),7)=" Equity",TRIM(A1845),TRIM(A1845)&amp;" Equity"))</f>
        <v/>
      </c>
      <c r="C1845">
        <f>IF(OR(SwitchUniverse&lt;&gt;"ON",$B1845=""),"",BDP($B1845,"NAME"))</f>
        <v/>
      </c>
      <c r="D1845">
        <f>IF(OR(SwitchUniverse&lt;&gt;"ON",$B1845=""),"",BDP($B1845,"GICS_SECTOR_NAME"))</f>
        <v/>
      </c>
    </row>
    <row r="1846" spans="2:4">
      <c r="B1846">
        <f>IF(TRIM(A1846&amp;"")="","",IF(RIGHT(TRIM(A1846),7)=" Equity",TRIM(A1846),TRIM(A1846)&amp;" Equity"))</f>
        <v/>
      </c>
      <c r="C1846">
        <f>IF(OR(SwitchUniverse&lt;&gt;"ON",$B1846=""),"",BDP($B1846,"NAME"))</f>
        <v/>
      </c>
      <c r="D1846">
        <f>IF(OR(SwitchUniverse&lt;&gt;"ON",$B1846=""),"",BDP($B1846,"GICS_SECTOR_NAME"))</f>
        <v/>
      </c>
    </row>
    <row r="1847" spans="2:4">
      <c r="B1847">
        <f>IF(TRIM(A1847&amp;"")="","",IF(RIGHT(TRIM(A1847),7)=" Equity",TRIM(A1847),TRIM(A1847)&amp;" Equity"))</f>
        <v/>
      </c>
      <c r="C1847">
        <f>IF(OR(SwitchUniverse&lt;&gt;"ON",$B1847=""),"",BDP($B1847,"NAME"))</f>
        <v/>
      </c>
      <c r="D1847">
        <f>IF(OR(SwitchUniverse&lt;&gt;"ON",$B1847=""),"",BDP($B1847,"GICS_SECTOR_NAME"))</f>
        <v/>
      </c>
    </row>
    <row r="1848" spans="2:4">
      <c r="B1848">
        <f>IF(TRIM(A1848&amp;"")="","",IF(RIGHT(TRIM(A1848),7)=" Equity",TRIM(A1848),TRIM(A1848)&amp;" Equity"))</f>
        <v/>
      </c>
      <c r="C1848">
        <f>IF(OR(SwitchUniverse&lt;&gt;"ON",$B1848=""),"",BDP($B1848,"NAME"))</f>
        <v/>
      </c>
      <c r="D1848">
        <f>IF(OR(SwitchUniverse&lt;&gt;"ON",$B1848=""),"",BDP($B1848,"GICS_SECTOR_NAME"))</f>
        <v/>
      </c>
    </row>
    <row r="1849" spans="2:4">
      <c r="B1849">
        <f>IF(TRIM(A1849&amp;"")="","",IF(RIGHT(TRIM(A1849),7)=" Equity",TRIM(A1849),TRIM(A1849)&amp;" Equity"))</f>
        <v/>
      </c>
      <c r="C1849">
        <f>IF(OR(SwitchUniverse&lt;&gt;"ON",$B1849=""),"",BDP($B1849,"NAME"))</f>
        <v/>
      </c>
      <c r="D1849">
        <f>IF(OR(SwitchUniverse&lt;&gt;"ON",$B1849=""),"",BDP($B1849,"GICS_SECTOR_NAME"))</f>
        <v/>
      </c>
    </row>
    <row r="1850" spans="2:4">
      <c r="B1850">
        <f>IF(TRIM(A1850&amp;"")="","",IF(RIGHT(TRIM(A1850),7)=" Equity",TRIM(A1850),TRIM(A1850)&amp;" Equity"))</f>
        <v/>
      </c>
      <c r="C1850">
        <f>IF(OR(SwitchUniverse&lt;&gt;"ON",$B1850=""),"",BDP($B1850,"NAME"))</f>
        <v/>
      </c>
      <c r="D1850">
        <f>IF(OR(SwitchUniverse&lt;&gt;"ON",$B1850=""),"",BDP($B1850,"GICS_SECTOR_NAME"))</f>
        <v/>
      </c>
    </row>
    <row r="1851" spans="2:4">
      <c r="B1851">
        <f>IF(TRIM(A1851&amp;"")="","",IF(RIGHT(TRIM(A1851),7)=" Equity",TRIM(A1851),TRIM(A1851)&amp;" Equity"))</f>
        <v/>
      </c>
      <c r="C1851">
        <f>IF(OR(SwitchUniverse&lt;&gt;"ON",$B1851=""),"",BDP($B1851,"NAME"))</f>
        <v/>
      </c>
      <c r="D1851">
        <f>IF(OR(SwitchUniverse&lt;&gt;"ON",$B1851=""),"",BDP($B1851,"GICS_SECTOR_NAME"))</f>
        <v/>
      </c>
    </row>
    <row r="1852" spans="2:4">
      <c r="B1852">
        <f>IF(TRIM(A1852&amp;"")="","",IF(RIGHT(TRIM(A1852),7)=" Equity",TRIM(A1852),TRIM(A1852)&amp;" Equity"))</f>
        <v/>
      </c>
      <c r="C1852">
        <f>IF(OR(SwitchUniverse&lt;&gt;"ON",$B1852=""),"",BDP($B1852,"NAME"))</f>
        <v/>
      </c>
      <c r="D1852">
        <f>IF(OR(SwitchUniverse&lt;&gt;"ON",$B1852=""),"",BDP($B1852,"GICS_SECTOR_NAME"))</f>
        <v/>
      </c>
    </row>
    <row r="1853" spans="2:4">
      <c r="B1853">
        <f>IF(TRIM(A1853&amp;"")="","",IF(RIGHT(TRIM(A1853),7)=" Equity",TRIM(A1853),TRIM(A1853)&amp;" Equity"))</f>
        <v/>
      </c>
      <c r="C1853">
        <f>IF(OR(SwitchUniverse&lt;&gt;"ON",$B1853=""),"",BDP($B1853,"NAME"))</f>
        <v/>
      </c>
      <c r="D1853">
        <f>IF(OR(SwitchUniverse&lt;&gt;"ON",$B1853=""),"",BDP($B1853,"GICS_SECTOR_NAME"))</f>
        <v/>
      </c>
    </row>
    <row r="1854" spans="2:4">
      <c r="B1854">
        <f>IF(TRIM(A1854&amp;"")="","",IF(RIGHT(TRIM(A1854),7)=" Equity",TRIM(A1854),TRIM(A1854)&amp;" Equity"))</f>
        <v/>
      </c>
      <c r="C1854">
        <f>IF(OR(SwitchUniverse&lt;&gt;"ON",$B1854=""),"",BDP($B1854,"NAME"))</f>
        <v/>
      </c>
      <c r="D1854">
        <f>IF(OR(SwitchUniverse&lt;&gt;"ON",$B1854=""),"",BDP($B1854,"GICS_SECTOR_NAME"))</f>
        <v/>
      </c>
    </row>
    <row r="1855" spans="2:4">
      <c r="B1855">
        <f>IF(TRIM(A1855&amp;"")="","",IF(RIGHT(TRIM(A1855),7)=" Equity",TRIM(A1855),TRIM(A1855)&amp;" Equity"))</f>
        <v/>
      </c>
      <c r="C1855">
        <f>IF(OR(SwitchUniverse&lt;&gt;"ON",$B1855=""),"",BDP($B1855,"NAME"))</f>
        <v/>
      </c>
      <c r="D1855">
        <f>IF(OR(SwitchUniverse&lt;&gt;"ON",$B1855=""),"",BDP($B1855,"GICS_SECTOR_NAME"))</f>
        <v/>
      </c>
    </row>
    <row r="1856" spans="2:4">
      <c r="B1856">
        <f>IF(TRIM(A1856&amp;"")="","",IF(RIGHT(TRIM(A1856),7)=" Equity",TRIM(A1856),TRIM(A1856)&amp;" Equity"))</f>
        <v/>
      </c>
      <c r="C1856">
        <f>IF(OR(SwitchUniverse&lt;&gt;"ON",$B1856=""),"",BDP($B1856,"NAME"))</f>
        <v/>
      </c>
      <c r="D1856">
        <f>IF(OR(SwitchUniverse&lt;&gt;"ON",$B1856=""),"",BDP($B1856,"GICS_SECTOR_NAME"))</f>
        <v/>
      </c>
    </row>
    <row r="1857" spans="2:4">
      <c r="B1857">
        <f>IF(TRIM(A1857&amp;"")="","",IF(RIGHT(TRIM(A1857),7)=" Equity",TRIM(A1857),TRIM(A1857)&amp;" Equity"))</f>
        <v/>
      </c>
      <c r="C1857">
        <f>IF(OR(SwitchUniverse&lt;&gt;"ON",$B1857=""),"",BDP($B1857,"NAME"))</f>
        <v/>
      </c>
      <c r="D1857">
        <f>IF(OR(SwitchUniverse&lt;&gt;"ON",$B1857=""),"",BDP($B1857,"GICS_SECTOR_NAME"))</f>
        <v/>
      </c>
    </row>
    <row r="1858" spans="2:4">
      <c r="B1858">
        <f>IF(TRIM(A1858&amp;"")="","",IF(RIGHT(TRIM(A1858),7)=" Equity",TRIM(A1858),TRIM(A1858)&amp;" Equity"))</f>
        <v/>
      </c>
      <c r="C1858">
        <f>IF(OR(SwitchUniverse&lt;&gt;"ON",$B1858=""),"",BDP($B1858,"NAME"))</f>
        <v/>
      </c>
      <c r="D1858">
        <f>IF(OR(SwitchUniverse&lt;&gt;"ON",$B1858=""),"",BDP($B1858,"GICS_SECTOR_NAME"))</f>
        <v/>
      </c>
    </row>
    <row r="1859" spans="2:4">
      <c r="B1859">
        <f>IF(TRIM(A1859&amp;"")="","",IF(RIGHT(TRIM(A1859),7)=" Equity",TRIM(A1859),TRIM(A1859)&amp;" Equity"))</f>
        <v/>
      </c>
      <c r="C1859">
        <f>IF(OR(SwitchUniverse&lt;&gt;"ON",$B1859=""),"",BDP($B1859,"NAME"))</f>
        <v/>
      </c>
      <c r="D1859">
        <f>IF(OR(SwitchUniverse&lt;&gt;"ON",$B1859=""),"",BDP($B1859,"GICS_SECTOR_NAME"))</f>
        <v/>
      </c>
    </row>
    <row r="1860" spans="2:4">
      <c r="B1860">
        <f>IF(TRIM(A1860&amp;"")="","",IF(RIGHT(TRIM(A1860),7)=" Equity",TRIM(A1860),TRIM(A1860)&amp;" Equity"))</f>
        <v/>
      </c>
      <c r="C1860">
        <f>IF(OR(SwitchUniverse&lt;&gt;"ON",$B1860=""),"",BDP($B1860,"NAME"))</f>
        <v/>
      </c>
      <c r="D1860">
        <f>IF(OR(SwitchUniverse&lt;&gt;"ON",$B1860=""),"",BDP($B1860,"GICS_SECTOR_NAME"))</f>
        <v/>
      </c>
    </row>
    <row r="1861" spans="2:4">
      <c r="B1861">
        <f>IF(TRIM(A1861&amp;"")="","",IF(RIGHT(TRIM(A1861),7)=" Equity",TRIM(A1861),TRIM(A1861)&amp;" Equity"))</f>
        <v/>
      </c>
      <c r="C1861">
        <f>IF(OR(SwitchUniverse&lt;&gt;"ON",$B1861=""),"",BDP($B1861,"NAME"))</f>
        <v/>
      </c>
      <c r="D1861">
        <f>IF(OR(SwitchUniverse&lt;&gt;"ON",$B1861=""),"",BDP($B1861,"GICS_SECTOR_NAME"))</f>
        <v/>
      </c>
    </row>
    <row r="1862" spans="2:4">
      <c r="B1862">
        <f>IF(TRIM(A1862&amp;"")="","",IF(RIGHT(TRIM(A1862),7)=" Equity",TRIM(A1862),TRIM(A1862)&amp;" Equity"))</f>
        <v/>
      </c>
      <c r="C1862">
        <f>IF(OR(SwitchUniverse&lt;&gt;"ON",$B1862=""),"",BDP($B1862,"NAME"))</f>
        <v/>
      </c>
      <c r="D1862">
        <f>IF(OR(SwitchUniverse&lt;&gt;"ON",$B1862=""),"",BDP($B1862,"GICS_SECTOR_NAME"))</f>
        <v/>
      </c>
    </row>
    <row r="1863" spans="2:4">
      <c r="B1863">
        <f>IF(TRIM(A1863&amp;"")="","",IF(RIGHT(TRIM(A1863),7)=" Equity",TRIM(A1863),TRIM(A1863)&amp;" Equity"))</f>
        <v/>
      </c>
      <c r="C1863">
        <f>IF(OR(SwitchUniverse&lt;&gt;"ON",$B1863=""),"",BDP($B1863,"NAME"))</f>
        <v/>
      </c>
      <c r="D1863">
        <f>IF(OR(SwitchUniverse&lt;&gt;"ON",$B1863=""),"",BDP($B1863,"GICS_SECTOR_NAME"))</f>
        <v/>
      </c>
    </row>
    <row r="1864" spans="2:4">
      <c r="B1864">
        <f>IF(TRIM(A1864&amp;"")="","",IF(RIGHT(TRIM(A1864),7)=" Equity",TRIM(A1864),TRIM(A1864)&amp;" Equity"))</f>
        <v/>
      </c>
      <c r="C1864">
        <f>IF(OR(SwitchUniverse&lt;&gt;"ON",$B1864=""),"",BDP($B1864,"NAME"))</f>
        <v/>
      </c>
      <c r="D1864">
        <f>IF(OR(SwitchUniverse&lt;&gt;"ON",$B1864=""),"",BDP($B1864,"GICS_SECTOR_NAME"))</f>
        <v/>
      </c>
    </row>
    <row r="1865" spans="2:4">
      <c r="B1865">
        <f>IF(TRIM(A1865&amp;"")="","",IF(RIGHT(TRIM(A1865),7)=" Equity",TRIM(A1865),TRIM(A1865)&amp;" Equity"))</f>
        <v/>
      </c>
      <c r="C1865">
        <f>IF(OR(SwitchUniverse&lt;&gt;"ON",$B1865=""),"",BDP($B1865,"NAME"))</f>
        <v/>
      </c>
      <c r="D1865">
        <f>IF(OR(SwitchUniverse&lt;&gt;"ON",$B1865=""),"",BDP($B1865,"GICS_SECTOR_NAME"))</f>
        <v/>
      </c>
    </row>
    <row r="1866" spans="2:4">
      <c r="B1866">
        <f>IF(TRIM(A1866&amp;"")="","",IF(RIGHT(TRIM(A1866),7)=" Equity",TRIM(A1866),TRIM(A1866)&amp;" Equity"))</f>
        <v/>
      </c>
      <c r="C1866">
        <f>IF(OR(SwitchUniverse&lt;&gt;"ON",$B1866=""),"",BDP($B1866,"NAME"))</f>
        <v/>
      </c>
      <c r="D1866">
        <f>IF(OR(SwitchUniverse&lt;&gt;"ON",$B1866=""),"",BDP($B1866,"GICS_SECTOR_NAME"))</f>
        <v/>
      </c>
    </row>
    <row r="1867" spans="2:4">
      <c r="B1867">
        <f>IF(TRIM(A1867&amp;"")="","",IF(RIGHT(TRIM(A1867),7)=" Equity",TRIM(A1867),TRIM(A1867)&amp;" Equity"))</f>
        <v/>
      </c>
      <c r="C1867">
        <f>IF(OR(SwitchUniverse&lt;&gt;"ON",$B1867=""),"",BDP($B1867,"NAME"))</f>
        <v/>
      </c>
      <c r="D1867">
        <f>IF(OR(SwitchUniverse&lt;&gt;"ON",$B1867=""),"",BDP($B1867,"GICS_SECTOR_NAME"))</f>
        <v/>
      </c>
    </row>
    <row r="1868" spans="2:4">
      <c r="B1868">
        <f>IF(TRIM(A1868&amp;"")="","",IF(RIGHT(TRIM(A1868),7)=" Equity",TRIM(A1868),TRIM(A1868)&amp;" Equity"))</f>
        <v/>
      </c>
      <c r="C1868">
        <f>IF(OR(SwitchUniverse&lt;&gt;"ON",$B1868=""),"",BDP($B1868,"NAME"))</f>
        <v/>
      </c>
      <c r="D1868">
        <f>IF(OR(SwitchUniverse&lt;&gt;"ON",$B1868=""),"",BDP($B1868,"GICS_SECTOR_NAME"))</f>
        <v/>
      </c>
    </row>
    <row r="1869" spans="2:4">
      <c r="B1869">
        <f>IF(TRIM(A1869&amp;"")="","",IF(RIGHT(TRIM(A1869),7)=" Equity",TRIM(A1869),TRIM(A1869)&amp;" Equity"))</f>
        <v/>
      </c>
      <c r="C1869">
        <f>IF(OR(SwitchUniverse&lt;&gt;"ON",$B1869=""),"",BDP($B1869,"NAME"))</f>
        <v/>
      </c>
      <c r="D1869">
        <f>IF(OR(SwitchUniverse&lt;&gt;"ON",$B1869=""),"",BDP($B1869,"GICS_SECTOR_NAME"))</f>
        <v/>
      </c>
    </row>
    <row r="1870" spans="2:4">
      <c r="B1870">
        <f>IF(TRIM(A1870&amp;"")="","",IF(RIGHT(TRIM(A1870),7)=" Equity",TRIM(A1870),TRIM(A1870)&amp;" Equity"))</f>
        <v/>
      </c>
      <c r="C1870">
        <f>IF(OR(SwitchUniverse&lt;&gt;"ON",$B1870=""),"",BDP($B1870,"NAME"))</f>
        <v/>
      </c>
      <c r="D1870">
        <f>IF(OR(SwitchUniverse&lt;&gt;"ON",$B1870=""),"",BDP($B1870,"GICS_SECTOR_NAME"))</f>
        <v/>
      </c>
    </row>
    <row r="1871" spans="2:4">
      <c r="B1871">
        <f>IF(TRIM(A1871&amp;"")="","",IF(RIGHT(TRIM(A1871),7)=" Equity",TRIM(A1871),TRIM(A1871)&amp;" Equity"))</f>
        <v/>
      </c>
      <c r="C1871">
        <f>IF(OR(SwitchUniverse&lt;&gt;"ON",$B1871=""),"",BDP($B1871,"NAME"))</f>
        <v/>
      </c>
      <c r="D1871">
        <f>IF(OR(SwitchUniverse&lt;&gt;"ON",$B1871=""),"",BDP($B1871,"GICS_SECTOR_NAME"))</f>
        <v/>
      </c>
    </row>
    <row r="1872" spans="2:4">
      <c r="B1872">
        <f>IF(TRIM(A1872&amp;"")="","",IF(RIGHT(TRIM(A1872),7)=" Equity",TRIM(A1872),TRIM(A1872)&amp;" Equity"))</f>
        <v/>
      </c>
      <c r="C1872">
        <f>IF(OR(SwitchUniverse&lt;&gt;"ON",$B1872=""),"",BDP($B1872,"NAME"))</f>
        <v/>
      </c>
      <c r="D1872">
        <f>IF(OR(SwitchUniverse&lt;&gt;"ON",$B1872=""),"",BDP($B1872,"GICS_SECTOR_NAME"))</f>
        <v/>
      </c>
    </row>
    <row r="1873" spans="2:4">
      <c r="B1873">
        <f>IF(TRIM(A1873&amp;"")="","",IF(RIGHT(TRIM(A1873),7)=" Equity",TRIM(A1873),TRIM(A1873)&amp;" Equity"))</f>
        <v/>
      </c>
      <c r="C1873">
        <f>IF(OR(SwitchUniverse&lt;&gt;"ON",$B1873=""),"",BDP($B1873,"NAME"))</f>
        <v/>
      </c>
      <c r="D1873">
        <f>IF(OR(SwitchUniverse&lt;&gt;"ON",$B1873=""),"",BDP($B1873,"GICS_SECTOR_NAME"))</f>
        <v/>
      </c>
    </row>
    <row r="1874" spans="2:4">
      <c r="B1874">
        <f>IF(TRIM(A1874&amp;"")="","",IF(RIGHT(TRIM(A1874),7)=" Equity",TRIM(A1874),TRIM(A1874)&amp;" Equity"))</f>
        <v/>
      </c>
      <c r="C1874">
        <f>IF(OR(SwitchUniverse&lt;&gt;"ON",$B1874=""),"",BDP($B1874,"NAME"))</f>
        <v/>
      </c>
      <c r="D1874">
        <f>IF(OR(SwitchUniverse&lt;&gt;"ON",$B1874=""),"",BDP($B1874,"GICS_SECTOR_NAME"))</f>
        <v/>
      </c>
    </row>
    <row r="1875" spans="2:4">
      <c r="B1875">
        <f>IF(TRIM(A1875&amp;"")="","",IF(RIGHT(TRIM(A1875),7)=" Equity",TRIM(A1875),TRIM(A1875)&amp;" Equity"))</f>
        <v/>
      </c>
      <c r="C1875">
        <f>IF(OR(SwitchUniverse&lt;&gt;"ON",$B1875=""),"",BDP($B1875,"NAME"))</f>
        <v/>
      </c>
      <c r="D1875">
        <f>IF(OR(SwitchUniverse&lt;&gt;"ON",$B1875=""),"",BDP($B1875,"GICS_SECTOR_NAME"))</f>
        <v/>
      </c>
    </row>
    <row r="1876" spans="2:4">
      <c r="B1876">
        <f>IF(TRIM(A1876&amp;"")="","",IF(RIGHT(TRIM(A1876),7)=" Equity",TRIM(A1876),TRIM(A1876)&amp;" Equity"))</f>
        <v/>
      </c>
      <c r="C1876">
        <f>IF(OR(SwitchUniverse&lt;&gt;"ON",$B1876=""),"",BDP($B1876,"NAME"))</f>
        <v/>
      </c>
      <c r="D1876">
        <f>IF(OR(SwitchUniverse&lt;&gt;"ON",$B1876=""),"",BDP($B1876,"GICS_SECTOR_NAME"))</f>
        <v/>
      </c>
    </row>
    <row r="1877" spans="2:4">
      <c r="B1877">
        <f>IF(TRIM(A1877&amp;"")="","",IF(RIGHT(TRIM(A1877),7)=" Equity",TRIM(A1877),TRIM(A1877)&amp;" Equity"))</f>
        <v/>
      </c>
      <c r="C1877">
        <f>IF(OR(SwitchUniverse&lt;&gt;"ON",$B1877=""),"",BDP($B1877,"NAME"))</f>
        <v/>
      </c>
      <c r="D1877">
        <f>IF(OR(SwitchUniverse&lt;&gt;"ON",$B1877=""),"",BDP($B1877,"GICS_SECTOR_NAME"))</f>
        <v/>
      </c>
    </row>
    <row r="1878" spans="2:4">
      <c r="B1878">
        <f>IF(TRIM(A1878&amp;"")="","",IF(RIGHT(TRIM(A1878),7)=" Equity",TRIM(A1878),TRIM(A1878)&amp;" Equity"))</f>
        <v/>
      </c>
      <c r="C1878">
        <f>IF(OR(SwitchUniverse&lt;&gt;"ON",$B1878=""),"",BDP($B1878,"NAME"))</f>
        <v/>
      </c>
      <c r="D1878">
        <f>IF(OR(SwitchUniverse&lt;&gt;"ON",$B1878=""),"",BDP($B1878,"GICS_SECTOR_NAME"))</f>
        <v/>
      </c>
    </row>
    <row r="1879" spans="2:4">
      <c r="B1879">
        <f>IF(TRIM(A1879&amp;"")="","",IF(RIGHT(TRIM(A1879),7)=" Equity",TRIM(A1879),TRIM(A1879)&amp;" Equity"))</f>
        <v/>
      </c>
      <c r="C1879">
        <f>IF(OR(SwitchUniverse&lt;&gt;"ON",$B1879=""),"",BDP($B1879,"NAME"))</f>
        <v/>
      </c>
      <c r="D1879">
        <f>IF(OR(SwitchUniverse&lt;&gt;"ON",$B1879=""),"",BDP($B1879,"GICS_SECTOR_NAME"))</f>
        <v/>
      </c>
    </row>
    <row r="1880" spans="2:4">
      <c r="B1880">
        <f>IF(TRIM(A1880&amp;"")="","",IF(RIGHT(TRIM(A1880),7)=" Equity",TRIM(A1880),TRIM(A1880)&amp;" Equity"))</f>
        <v/>
      </c>
      <c r="C1880">
        <f>IF(OR(SwitchUniverse&lt;&gt;"ON",$B1880=""),"",BDP($B1880,"NAME"))</f>
        <v/>
      </c>
      <c r="D1880">
        <f>IF(OR(SwitchUniverse&lt;&gt;"ON",$B1880=""),"",BDP($B1880,"GICS_SECTOR_NAME"))</f>
        <v/>
      </c>
    </row>
    <row r="1881" spans="2:4">
      <c r="B1881">
        <f>IF(TRIM(A1881&amp;"")="","",IF(RIGHT(TRIM(A1881),7)=" Equity",TRIM(A1881),TRIM(A1881)&amp;" Equity"))</f>
        <v/>
      </c>
      <c r="C1881">
        <f>IF(OR(SwitchUniverse&lt;&gt;"ON",$B1881=""),"",BDP($B1881,"NAME"))</f>
        <v/>
      </c>
      <c r="D1881">
        <f>IF(OR(SwitchUniverse&lt;&gt;"ON",$B1881=""),"",BDP($B1881,"GICS_SECTOR_NAME"))</f>
        <v/>
      </c>
    </row>
    <row r="1882" spans="2:4">
      <c r="B1882">
        <f>IF(TRIM(A1882&amp;"")="","",IF(RIGHT(TRIM(A1882),7)=" Equity",TRIM(A1882),TRIM(A1882)&amp;" Equity"))</f>
        <v/>
      </c>
      <c r="C1882">
        <f>IF(OR(SwitchUniverse&lt;&gt;"ON",$B1882=""),"",BDP($B1882,"NAME"))</f>
        <v/>
      </c>
      <c r="D1882">
        <f>IF(OR(SwitchUniverse&lt;&gt;"ON",$B1882=""),"",BDP($B1882,"GICS_SECTOR_NAME"))</f>
        <v/>
      </c>
    </row>
    <row r="1883" spans="2:4">
      <c r="B1883">
        <f>IF(TRIM(A1883&amp;"")="","",IF(RIGHT(TRIM(A1883),7)=" Equity",TRIM(A1883),TRIM(A1883)&amp;" Equity"))</f>
        <v/>
      </c>
      <c r="C1883">
        <f>IF(OR(SwitchUniverse&lt;&gt;"ON",$B1883=""),"",BDP($B1883,"NAME"))</f>
        <v/>
      </c>
      <c r="D1883">
        <f>IF(OR(SwitchUniverse&lt;&gt;"ON",$B1883=""),"",BDP($B1883,"GICS_SECTOR_NAME"))</f>
        <v/>
      </c>
    </row>
    <row r="1884" spans="2:4">
      <c r="B1884">
        <f>IF(TRIM(A1884&amp;"")="","",IF(RIGHT(TRIM(A1884),7)=" Equity",TRIM(A1884),TRIM(A1884)&amp;" Equity"))</f>
        <v/>
      </c>
      <c r="C1884">
        <f>IF(OR(SwitchUniverse&lt;&gt;"ON",$B1884=""),"",BDP($B1884,"NAME"))</f>
        <v/>
      </c>
      <c r="D1884">
        <f>IF(OR(SwitchUniverse&lt;&gt;"ON",$B1884=""),"",BDP($B1884,"GICS_SECTOR_NAME"))</f>
        <v/>
      </c>
    </row>
    <row r="1885" spans="2:4">
      <c r="B1885">
        <f>IF(TRIM(A1885&amp;"")="","",IF(RIGHT(TRIM(A1885),7)=" Equity",TRIM(A1885),TRIM(A1885)&amp;" Equity"))</f>
        <v/>
      </c>
      <c r="C1885">
        <f>IF(OR(SwitchUniverse&lt;&gt;"ON",$B1885=""),"",BDP($B1885,"NAME"))</f>
        <v/>
      </c>
      <c r="D1885">
        <f>IF(OR(SwitchUniverse&lt;&gt;"ON",$B1885=""),"",BDP($B1885,"GICS_SECTOR_NAME"))</f>
        <v/>
      </c>
    </row>
    <row r="1886" spans="2:4">
      <c r="B1886">
        <f>IF(TRIM(A1886&amp;"")="","",IF(RIGHT(TRIM(A1886),7)=" Equity",TRIM(A1886),TRIM(A1886)&amp;" Equity"))</f>
        <v/>
      </c>
      <c r="C1886">
        <f>IF(OR(SwitchUniverse&lt;&gt;"ON",$B1886=""),"",BDP($B1886,"NAME"))</f>
        <v/>
      </c>
      <c r="D1886">
        <f>IF(OR(SwitchUniverse&lt;&gt;"ON",$B1886=""),"",BDP($B1886,"GICS_SECTOR_NAME"))</f>
        <v/>
      </c>
    </row>
    <row r="1887" spans="2:4">
      <c r="B1887">
        <f>IF(TRIM(A1887&amp;"")="","",IF(RIGHT(TRIM(A1887),7)=" Equity",TRIM(A1887),TRIM(A1887)&amp;" Equity"))</f>
        <v/>
      </c>
      <c r="C1887">
        <f>IF(OR(SwitchUniverse&lt;&gt;"ON",$B1887=""),"",BDP($B1887,"NAME"))</f>
        <v/>
      </c>
      <c r="D1887">
        <f>IF(OR(SwitchUniverse&lt;&gt;"ON",$B1887=""),"",BDP($B1887,"GICS_SECTOR_NAME"))</f>
        <v/>
      </c>
    </row>
    <row r="1888" spans="2:4">
      <c r="B1888">
        <f>IF(TRIM(A1888&amp;"")="","",IF(RIGHT(TRIM(A1888),7)=" Equity",TRIM(A1888),TRIM(A1888)&amp;" Equity"))</f>
        <v/>
      </c>
      <c r="C1888">
        <f>IF(OR(SwitchUniverse&lt;&gt;"ON",$B1888=""),"",BDP($B1888,"NAME"))</f>
        <v/>
      </c>
      <c r="D1888">
        <f>IF(OR(SwitchUniverse&lt;&gt;"ON",$B1888=""),"",BDP($B1888,"GICS_SECTOR_NAME"))</f>
        <v/>
      </c>
    </row>
    <row r="1889" spans="2:4">
      <c r="B1889">
        <f>IF(TRIM(A1889&amp;"")="","",IF(RIGHT(TRIM(A1889),7)=" Equity",TRIM(A1889),TRIM(A1889)&amp;" Equity"))</f>
        <v/>
      </c>
      <c r="C1889">
        <f>IF(OR(SwitchUniverse&lt;&gt;"ON",$B1889=""),"",BDP($B1889,"NAME"))</f>
        <v/>
      </c>
      <c r="D1889">
        <f>IF(OR(SwitchUniverse&lt;&gt;"ON",$B1889=""),"",BDP($B1889,"GICS_SECTOR_NAME"))</f>
        <v/>
      </c>
    </row>
    <row r="1890" spans="2:4">
      <c r="B1890">
        <f>IF(TRIM(A1890&amp;"")="","",IF(RIGHT(TRIM(A1890),7)=" Equity",TRIM(A1890),TRIM(A1890)&amp;" Equity"))</f>
        <v/>
      </c>
      <c r="C1890">
        <f>IF(OR(SwitchUniverse&lt;&gt;"ON",$B1890=""),"",BDP($B1890,"NAME"))</f>
        <v/>
      </c>
      <c r="D1890">
        <f>IF(OR(SwitchUniverse&lt;&gt;"ON",$B1890=""),"",BDP($B1890,"GICS_SECTOR_NAME"))</f>
        <v/>
      </c>
    </row>
    <row r="1891" spans="2:4">
      <c r="B1891">
        <f>IF(TRIM(A1891&amp;"")="","",IF(RIGHT(TRIM(A1891),7)=" Equity",TRIM(A1891),TRIM(A1891)&amp;" Equity"))</f>
        <v/>
      </c>
      <c r="C1891">
        <f>IF(OR(SwitchUniverse&lt;&gt;"ON",$B1891=""),"",BDP($B1891,"NAME"))</f>
        <v/>
      </c>
      <c r="D1891">
        <f>IF(OR(SwitchUniverse&lt;&gt;"ON",$B1891=""),"",BDP($B1891,"GICS_SECTOR_NAME"))</f>
        <v/>
      </c>
    </row>
    <row r="1892" spans="2:4">
      <c r="B1892">
        <f>IF(TRIM(A1892&amp;"")="","",IF(RIGHT(TRIM(A1892),7)=" Equity",TRIM(A1892),TRIM(A1892)&amp;" Equity"))</f>
        <v/>
      </c>
      <c r="C1892">
        <f>IF(OR(SwitchUniverse&lt;&gt;"ON",$B1892=""),"",BDP($B1892,"NAME"))</f>
        <v/>
      </c>
      <c r="D1892">
        <f>IF(OR(SwitchUniverse&lt;&gt;"ON",$B1892=""),"",BDP($B1892,"GICS_SECTOR_NAME"))</f>
        <v/>
      </c>
    </row>
    <row r="1893" spans="2:4">
      <c r="B1893">
        <f>IF(TRIM(A1893&amp;"")="","",IF(RIGHT(TRIM(A1893),7)=" Equity",TRIM(A1893),TRIM(A1893)&amp;" Equity"))</f>
        <v/>
      </c>
      <c r="C1893">
        <f>IF(OR(SwitchUniverse&lt;&gt;"ON",$B1893=""),"",BDP($B1893,"NAME"))</f>
        <v/>
      </c>
      <c r="D1893">
        <f>IF(OR(SwitchUniverse&lt;&gt;"ON",$B1893=""),"",BDP($B1893,"GICS_SECTOR_NAME"))</f>
        <v/>
      </c>
    </row>
    <row r="1894" spans="2:4">
      <c r="B1894">
        <f>IF(TRIM(A1894&amp;"")="","",IF(RIGHT(TRIM(A1894),7)=" Equity",TRIM(A1894),TRIM(A1894)&amp;" Equity"))</f>
        <v/>
      </c>
      <c r="C1894">
        <f>IF(OR(SwitchUniverse&lt;&gt;"ON",$B1894=""),"",BDP($B1894,"NAME"))</f>
        <v/>
      </c>
      <c r="D1894">
        <f>IF(OR(SwitchUniverse&lt;&gt;"ON",$B1894=""),"",BDP($B1894,"GICS_SECTOR_NAME"))</f>
        <v/>
      </c>
    </row>
    <row r="1895" spans="2:4">
      <c r="B1895">
        <f>IF(TRIM(A1895&amp;"")="","",IF(RIGHT(TRIM(A1895),7)=" Equity",TRIM(A1895),TRIM(A1895)&amp;" Equity"))</f>
        <v/>
      </c>
      <c r="C1895">
        <f>IF(OR(SwitchUniverse&lt;&gt;"ON",$B1895=""),"",BDP($B1895,"NAME"))</f>
        <v/>
      </c>
      <c r="D1895">
        <f>IF(OR(SwitchUniverse&lt;&gt;"ON",$B1895=""),"",BDP($B1895,"GICS_SECTOR_NAME"))</f>
        <v/>
      </c>
    </row>
    <row r="1896" spans="2:4">
      <c r="B1896">
        <f>IF(TRIM(A1896&amp;"")="","",IF(RIGHT(TRIM(A1896),7)=" Equity",TRIM(A1896),TRIM(A1896)&amp;" Equity"))</f>
        <v/>
      </c>
      <c r="C1896">
        <f>IF(OR(SwitchUniverse&lt;&gt;"ON",$B1896=""),"",BDP($B1896,"NAME"))</f>
        <v/>
      </c>
      <c r="D1896">
        <f>IF(OR(SwitchUniverse&lt;&gt;"ON",$B1896=""),"",BDP($B1896,"GICS_SECTOR_NAME"))</f>
        <v/>
      </c>
    </row>
    <row r="1897" spans="2:4">
      <c r="B1897">
        <f>IF(TRIM(A1897&amp;"")="","",IF(RIGHT(TRIM(A1897),7)=" Equity",TRIM(A1897),TRIM(A1897)&amp;" Equity"))</f>
        <v/>
      </c>
      <c r="C1897">
        <f>IF(OR(SwitchUniverse&lt;&gt;"ON",$B1897=""),"",BDP($B1897,"NAME"))</f>
        <v/>
      </c>
      <c r="D1897">
        <f>IF(OR(SwitchUniverse&lt;&gt;"ON",$B1897=""),"",BDP($B1897,"GICS_SECTOR_NAME"))</f>
        <v/>
      </c>
    </row>
    <row r="1898" spans="2:4">
      <c r="B1898">
        <f>IF(TRIM(A1898&amp;"")="","",IF(RIGHT(TRIM(A1898),7)=" Equity",TRIM(A1898),TRIM(A1898)&amp;" Equity"))</f>
        <v/>
      </c>
      <c r="C1898">
        <f>IF(OR(SwitchUniverse&lt;&gt;"ON",$B1898=""),"",BDP($B1898,"NAME"))</f>
        <v/>
      </c>
      <c r="D1898">
        <f>IF(OR(SwitchUniverse&lt;&gt;"ON",$B1898=""),"",BDP($B1898,"GICS_SECTOR_NAME"))</f>
        <v/>
      </c>
    </row>
    <row r="1899" spans="2:4">
      <c r="B1899">
        <f>IF(TRIM(A1899&amp;"")="","",IF(RIGHT(TRIM(A1899),7)=" Equity",TRIM(A1899),TRIM(A1899)&amp;" Equity"))</f>
        <v/>
      </c>
      <c r="C1899">
        <f>IF(OR(SwitchUniverse&lt;&gt;"ON",$B1899=""),"",BDP($B1899,"NAME"))</f>
        <v/>
      </c>
      <c r="D1899">
        <f>IF(OR(SwitchUniverse&lt;&gt;"ON",$B1899=""),"",BDP($B1899,"GICS_SECTOR_NAME"))</f>
        <v/>
      </c>
    </row>
    <row r="1900" spans="2:4">
      <c r="B1900">
        <f>IF(TRIM(A1900&amp;"")="","",IF(RIGHT(TRIM(A1900),7)=" Equity",TRIM(A1900),TRIM(A1900)&amp;" Equity"))</f>
        <v/>
      </c>
      <c r="C1900">
        <f>IF(OR(SwitchUniverse&lt;&gt;"ON",$B1900=""),"",BDP($B1900,"NAME"))</f>
        <v/>
      </c>
      <c r="D1900">
        <f>IF(OR(SwitchUniverse&lt;&gt;"ON",$B1900=""),"",BDP($B1900,"GICS_SECTOR_NAME"))</f>
        <v/>
      </c>
    </row>
    <row r="1901" spans="2:4">
      <c r="B1901">
        <f>IF(TRIM(A1901&amp;"")="","",IF(RIGHT(TRIM(A1901),7)=" Equity",TRIM(A1901),TRIM(A1901)&amp;" Equity"))</f>
        <v/>
      </c>
      <c r="C1901">
        <f>IF(OR(SwitchUniverse&lt;&gt;"ON",$B1901=""),"",BDP($B1901,"NAME"))</f>
        <v/>
      </c>
      <c r="D1901">
        <f>IF(OR(SwitchUniverse&lt;&gt;"ON",$B1901=""),"",BDP($B1901,"GICS_SECTOR_NAME"))</f>
        <v/>
      </c>
    </row>
    <row r="1902" spans="2:4">
      <c r="B1902">
        <f>IF(TRIM(A1902&amp;"")="","",IF(RIGHT(TRIM(A1902),7)=" Equity",TRIM(A1902),TRIM(A1902)&amp;" Equity"))</f>
        <v/>
      </c>
      <c r="C1902">
        <f>IF(OR(SwitchUniverse&lt;&gt;"ON",$B1902=""),"",BDP($B1902,"NAME"))</f>
        <v/>
      </c>
      <c r="D1902">
        <f>IF(OR(SwitchUniverse&lt;&gt;"ON",$B1902=""),"",BDP($B1902,"GICS_SECTOR_NAME"))</f>
        <v/>
      </c>
    </row>
    <row r="1903" spans="2:4">
      <c r="B1903">
        <f>IF(TRIM(A1903&amp;"")="","",IF(RIGHT(TRIM(A1903),7)=" Equity",TRIM(A1903),TRIM(A1903)&amp;" Equity"))</f>
        <v/>
      </c>
      <c r="C1903">
        <f>IF(OR(SwitchUniverse&lt;&gt;"ON",$B1903=""),"",BDP($B1903,"NAME"))</f>
        <v/>
      </c>
      <c r="D1903">
        <f>IF(OR(SwitchUniverse&lt;&gt;"ON",$B1903=""),"",BDP($B1903,"GICS_SECTOR_NAME"))</f>
        <v/>
      </c>
    </row>
    <row r="1904" spans="2:4">
      <c r="B1904">
        <f>IF(TRIM(A1904&amp;"")="","",IF(RIGHT(TRIM(A1904),7)=" Equity",TRIM(A1904),TRIM(A1904)&amp;" Equity"))</f>
        <v/>
      </c>
      <c r="C1904">
        <f>IF(OR(SwitchUniverse&lt;&gt;"ON",$B1904=""),"",BDP($B1904,"NAME"))</f>
        <v/>
      </c>
      <c r="D1904">
        <f>IF(OR(SwitchUniverse&lt;&gt;"ON",$B1904=""),"",BDP($B1904,"GICS_SECTOR_NAME"))</f>
        <v/>
      </c>
    </row>
    <row r="1905" spans="2:4">
      <c r="B1905">
        <f>IF(TRIM(A1905&amp;"")="","",IF(RIGHT(TRIM(A1905),7)=" Equity",TRIM(A1905),TRIM(A1905)&amp;" Equity"))</f>
        <v/>
      </c>
      <c r="C1905">
        <f>IF(OR(SwitchUniverse&lt;&gt;"ON",$B1905=""),"",BDP($B1905,"NAME"))</f>
        <v/>
      </c>
      <c r="D1905">
        <f>IF(OR(SwitchUniverse&lt;&gt;"ON",$B1905=""),"",BDP($B1905,"GICS_SECTOR_NAME"))</f>
        <v/>
      </c>
    </row>
    <row r="1906" spans="2:4">
      <c r="B1906">
        <f>IF(TRIM(A1906&amp;"")="","",IF(RIGHT(TRIM(A1906),7)=" Equity",TRIM(A1906),TRIM(A1906)&amp;" Equity"))</f>
        <v/>
      </c>
      <c r="C1906">
        <f>IF(OR(SwitchUniverse&lt;&gt;"ON",$B1906=""),"",BDP($B1906,"NAME"))</f>
        <v/>
      </c>
      <c r="D1906">
        <f>IF(OR(SwitchUniverse&lt;&gt;"ON",$B1906=""),"",BDP($B1906,"GICS_SECTOR_NAME"))</f>
        <v/>
      </c>
    </row>
    <row r="1907" spans="2:4">
      <c r="B1907">
        <f>IF(TRIM(A1907&amp;"")="","",IF(RIGHT(TRIM(A1907),7)=" Equity",TRIM(A1907),TRIM(A1907)&amp;" Equity"))</f>
        <v/>
      </c>
      <c r="C1907">
        <f>IF(OR(SwitchUniverse&lt;&gt;"ON",$B1907=""),"",BDP($B1907,"NAME"))</f>
        <v/>
      </c>
      <c r="D1907">
        <f>IF(OR(SwitchUniverse&lt;&gt;"ON",$B1907=""),"",BDP($B1907,"GICS_SECTOR_NAME"))</f>
        <v/>
      </c>
    </row>
    <row r="1908" spans="2:4">
      <c r="B1908">
        <f>IF(TRIM(A1908&amp;"")="","",IF(RIGHT(TRIM(A1908),7)=" Equity",TRIM(A1908),TRIM(A1908)&amp;" Equity"))</f>
        <v/>
      </c>
      <c r="C1908">
        <f>IF(OR(SwitchUniverse&lt;&gt;"ON",$B1908=""),"",BDP($B1908,"NAME"))</f>
        <v/>
      </c>
      <c r="D1908">
        <f>IF(OR(SwitchUniverse&lt;&gt;"ON",$B1908=""),"",BDP($B1908,"GICS_SECTOR_NAME"))</f>
        <v/>
      </c>
    </row>
    <row r="1909" spans="2:4">
      <c r="B1909">
        <f>IF(TRIM(A1909&amp;"")="","",IF(RIGHT(TRIM(A1909),7)=" Equity",TRIM(A1909),TRIM(A1909)&amp;" Equity"))</f>
        <v/>
      </c>
      <c r="C1909">
        <f>IF(OR(SwitchUniverse&lt;&gt;"ON",$B1909=""),"",BDP($B1909,"NAME"))</f>
        <v/>
      </c>
      <c r="D1909">
        <f>IF(OR(SwitchUniverse&lt;&gt;"ON",$B1909=""),"",BDP($B1909,"GICS_SECTOR_NAME"))</f>
        <v/>
      </c>
    </row>
    <row r="1910" spans="2:4">
      <c r="B1910">
        <f>IF(TRIM(A1910&amp;"")="","",IF(RIGHT(TRIM(A1910),7)=" Equity",TRIM(A1910),TRIM(A1910)&amp;" Equity"))</f>
        <v/>
      </c>
      <c r="C1910">
        <f>IF(OR(SwitchUniverse&lt;&gt;"ON",$B1910=""),"",BDP($B1910,"NAME"))</f>
        <v/>
      </c>
      <c r="D1910">
        <f>IF(OR(SwitchUniverse&lt;&gt;"ON",$B1910=""),"",BDP($B1910,"GICS_SECTOR_NAME"))</f>
        <v/>
      </c>
    </row>
    <row r="1911" spans="2:4">
      <c r="B1911">
        <f>IF(TRIM(A1911&amp;"")="","",IF(RIGHT(TRIM(A1911),7)=" Equity",TRIM(A1911),TRIM(A1911)&amp;" Equity"))</f>
        <v/>
      </c>
      <c r="C1911">
        <f>IF(OR(SwitchUniverse&lt;&gt;"ON",$B1911=""),"",BDP($B1911,"NAME"))</f>
        <v/>
      </c>
      <c r="D1911">
        <f>IF(OR(SwitchUniverse&lt;&gt;"ON",$B1911=""),"",BDP($B1911,"GICS_SECTOR_NAME"))</f>
        <v/>
      </c>
    </row>
    <row r="1912" spans="2:4">
      <c r="B1912">
        <f>IF(TRIM(A1912&amp;"")="","",IF(RIGHT(TRIM(A1912),7)=" Equity",TRIM(A1912),TRIM(A1912)&amp;" Equity"))</f>
        <v/>
      </c>
      <c r="C1912">
        <f>IF(OR(SwitchUniverse&lt;&gt;"ON",$B1912=""),"",BDP($B1912,"NAME"))</f>
        <v/>
      </c>
      <c r="D1912">
        <f>IF(OR(SwitchUniverse&lt;&gt;"ON",$B1912=""),"",BDP($B1912,"GICS_SECTOR_NAME"))</f>
        <v/>
      </c>
    </row>
    <row r="1913" spans="2:4">
      <c r="B1913">
        <f>IF(TRIM(A1913&amp;"")="","",IF(RIGHT(TRIM(A1913),7)=" Equity",TRIM(A1913),TRIM(A1913)&amp;" Equity"))</f>
        <v/>
      </c>
      <c r="C1913">
        <f>IF(OR(SwitchUniverse&lt;&gt;"ON",$B1913=""),"",BDP($B1913,"NAME"))</f>
        <v/>
      </c>
      <c r="D1913">
        <f>IF(OR(SwitchUniverse&lt;&gt;"ON",$B1913=""),"",BDP($B1913,"GICS_SECTOR_NAME"))</f>
        <v/>
      </c>
    </row>
    <row r="1914" spans="2:4">
      <c r="B1914">
        <f>IF(TRIM(A1914&amp;"")="","",IF(RIGHT(TRIM(A1914),7)=" Equity",TRIM(A1914),TRIM(A1914)&amp;" Equity"))</f>
        <v/>
      </c>
      <c r="C1914">
        <f>IF(OR(SwitchUniverse&lt;&gt;"ON",$B1914=""),"",BDP($B1914,"NAME"))</f>
        <v/>
      </c>
      <c r="D1914">
        <f>IF(OR(SwitchUniverse&lt;&gt;"ON",$B1914=""),"",BDP($B1914,"GICS_SECTOR_NAME"))</f>
        <v/>
      </c>
    </row>
    <row r="1915" spans="2:4">
      <c r="B1915">
        <f>IF(TRIM(A1915&amp;"")="","",IF(RIGHT(TRIM(A1915),7)=" Equity",TRIM(A1915),TRIM(A1915)&amp;" Equity"))</f>
        <v/>
      </c>
      <c r="C1915">
        <f>IF(OR(SwitchUniverse&lt;&gt;"ON",$B1915=""),"",BDP($B1915,"NAME"))</f>
        <v/>
      </c>
      <c r="D1915">
        <f>IF(OR(SwitchUniverse&lt;&gt;"ON",$B1915=""),"",BDP($B1915,"GICS_SECTOR_NAME"))</f>
        <v/>
      </c>
    </row>
    <row r="1916" spans="2:4">
      <c r="B1916">
        <f>IF(TRIM(A1916&amp;"")="","",IF(RIGHT(TRIM(A1916),7)=" Equity",TRIM(A1916),TRIM(A1916)&amp;" Equity"))</f>
        <v/>
      </c>
      <c r="C1916">
        <f>IF(OR(SwitchUniverse&lt;&gt;"ON",$B1916=""),"",BDP($B1916,"NAME"))</f>
        <v/>
      </c>
      <c r="D1916">
        <f>IF(OR(SwitchUniverse&lt;&gt;"ON",$B1916=""),"",BDP($B1916,"GICS_SECTOR_NAME"))</f>
        <v/>
      </c>
    </row>
    <row r="1917" spans="2:4">
      <c r="B1917">
        <f>IF(TRIM(A1917&amp;"")="","",IF(RIGHT(TRIM(A1917),7)=" Equity",TRIM(A1917),TRIM(A1917)&amp;" Equity"))</f>
        <v/>
      </c>
      <c r="C1917">
        <f>IF(OR(SwitchUniverse&lt;&gt;"ON",$B1917=""),"",BDP($B1917,"NAME"))</f>
        <v/>
      </c>
      <c r="D1917">
        <f>IF(OR(SwitchUniverse&lt;&gt;"ON",$B1917=""),"",BDP($B1917,"GICS_SECTOR_NAME"))</f>
        <v/>
      </c>
    </row>
    <row r="1918" spans="2:4">
      <c r="B1918">
        <f>IF(TRIM(A1918&amp;"")="","",IF(RIGHT(TRIM(A1918),7)=" Equity",TRIM(A1918),TRIM(A1918)&amp;" Equity"))</f>
        <v/>
      </c>
      <c r="C1918">
        <f>IF(OR(SwitchUniverse&lt;&gt;"ON",$B1918=""),"",BDP($B1918,"NAME"))</f>
        <v/>
      </c>
      <c r="D1918">
        <f>IF(OR(SwitchUniverse&lt;&gt;"ON",$B1918=""),"",BDP($B1918,"GICS_SECTOR_NAME"))</f>
        <v/>
      </c>
    </row>
    <row r="1919" spans="2:4">
      <c r="B1919">
        <f>IF(TRIM(A1919&amp;"")="","",IF(RIGHT(TRIM(A1919),7)=" Equity",TRIM(A1919),TRIM(A1919)&amp;" Equity"))</f>
        <v/>
      </c>
      <c r="C1919">
        <f>IF(OR(SwitchUniverse&lt;&gt;"ON",$B1919=""),"",BDP($B1919,"NAME"))</f>
        <v/>
      </c>
      <c r="D1919">
        <f>IF(OR(SwitchUniverse&lt;&gt;"ON",$B1919=""),"",BDP($B1919,"GICS_SECTOR_NAME"))</f>
        <v/>
      </c>
    </row>
    <row r="1920" spans="2:4">
      <c r="B1920">
        <f>IF(TRIM(A1920&amp;"")="","",IF(RIGHT(TRIM(A1920),7)=" Equity",TRIM(A1920),TRIM(A1920)&amp;" Equity"))</f>
        <v/>
      </c>
      <c r="C1920">
        <f>IF(OR(SwitchUniverse&lt;&gt;"ON",$B1920=""),"",BDP($B1920,"NAME"))</f>
        <v/>
      </c>
      <c r="D1920">
        <f>IF(OR(SwitchUniverse&lt;&gt;"ON",$B1920=""),"",BDP($B1920,"GICS_SECTOR_NAME"))</f>
        <v/>
      </c>
    </row>
    <row r="1921" spans="2:4">
      <c r="B1921">
        <f>IF(TRIM(A1921&amp;"")="","",IF(RIGHT(TRIM(A1921),7)=" Equity",TRIM(A1921),TRIM(A1921)&amp;" Equity"))</f>
        <v/>
      </c>
      <c r="C1921">
        <f>IF(OR(SwitchUniverse&lt;&gt;"ON",$B1921=""),"",BDP($B1921,"NAME"))</f>
        <v/>
      </c>
      <c r="D1921">
        <f>IF(OR(SwitchUniverse&lt;&gt;"ON",$B1921=""),"",BDP($B1921,"GICS_SECTOR_NAME"))</f>
        <v/>
      </c>
    </row>
    <row r="1922" spans="2:4">
      <c r="B1922">
        <f>IF(TRIM(A1922&amp;"")="","",IF(RIGHT(TRIM(A1922),7)=" Equity",TRIM(A1922),TRIM(A1922)&amp;" Equity"))</f>
        <v/>
      </c>
      <c r="C1922">
        <f>IF(OR(SwitchUniverse&lt;&gt;"ON",$B1922=""),"",BDP($B1922,"NAME"))</f>
        <v/>
      </c>
      <c r="D1922">
        <f>IF(OR(SwitchUniverse&lt;&gt;"ON",$B1922=""),"",BDP($B1922,"GICS_SECTOR_NAME"))</f>
        <v/>
      </c>
    </row>
    <row r="1923" spans="2:4">
      <c r="B1923">
        <f>IF(TRIM(A1923&amp;"")="","",IF(RIGHT(TRIM(A1923),7)=" Equity",TRIM(A1923),TRIM(A1923)&amp;" Equity"))</f>
        <v/>
      </c>
      <c r="C1923">
        <f>IF(OR(SwitchUniverse&lt;&gt;"ON",$B1923=""),"",BDP($B1923,"NAME"))</f>
        <v/>
      </c>
      <c r="D1923">
        <f>IF(OR(SwitchUniverse&lt;&gt;"ON",$B1923=""),"",BDP($B1923,"GICS_SECTOR_NAME"))</f>
        <v/>
      </c>
    </row>
    <row r="1924" spans="2:4">
      <c r="B1924">
        <f>IF(TRIM(A1924&amp;"")="","",IF(RIGHT(TRIM(A1924),7)=" Equity",TRIM(A1924),TRIM(A1924)&amp;" Equity"))</f>
        <v/>
      </c>
      <c r="C1924">
        <f>IF(OR(SwitchUniverse&lt;&gt;"ON",$B1924=""),"",BDP($B1924,"NAME"))</f>
        <v/>
      </c>
      <c r="D1924">
        <f>IF(OR(SwitchUniverse&lt;&gt;"ON",$B1924=""),"",BDP($B1924,"GICS_SECTOR_NAME"))</f>
        <v/>
      </c>
    </row>
    <row r="1925" spans="2:4">
      <c r="B1925">
        <f>IF(TRIM(A1925&amp;"")="","",IF(RIGHT(TRIM(A1925),7)=" Equity",TRIM(A1925),TRIM(A1925)&amp;" Equity"))</f>
        <v/>
      </c>
      <c r="C1925">
        <f>IF(OR(SwitchUniverse&lt;&gt;"ON",$B1925=""),"",BDP($B1925,"NAME"))</f>
        <v/>
      </c>
      <c r="D1925">
        <f>IF(OR(SwitchUniverse&lt;&gt;"ON",$B1925=""),"",BDP($B1925,"GICS_SECTOR_NAME"))</f>
        <v/>
      </c>
    </row>
    <row r="1926" spans="2:4">
      <c r="B1926">
        <f>IF(TRIM(A1926&amp;"")="","",IF(RIGHT(TRIM(A1926),7)=" Equity",TRIM(A1926),TRIM(A1926)&amp;" Equity"))</f>
        <v/>
      </c>
      <c r="C1926">
        <f>IF(OR(SwitchUniverse&lt;&gt;"ON",$B1926=""),"",BDP($B1926,"NAME"))</f>
        <v/>
      </c>
      <c r="D1926">
        <f>IF(OR(SwitchUniverse&lt;&gt;"ON",$B1926=""),"",BDP($B1926,"GICS_SECTOR_NAME"))</f>
        <v/>
      </c>
    </row>
    <row r="1927" spans="2:4">
      <c r="B1927">
        <f>IF(TRIM(A1927&amp;"")="","",IF(RIGHT(TRIM(A1927),7)=" Equity",TRIM(A1927),TRIM(A1927)&amp;" Equity"))</f>
        <v/>
      </c>
      <c r="C1927">
        <f>IF(OR(SwitchUniverse&lt;&gt;"ON",$B1927=""),"",BDP($B1927,"NAME"))</f>
        <v/>
      </c>
      <c r="D1927">
        <f>IF(OR(SwitchUniverse&lt;&gt;"ON",$B1927=""),"",BDP($B1927,"GICS_SECTOR_NAME"))</f>
        <v/>
      </c>
    </row>
    <row r="1928" spans="2:4">
      <c r="B1928">
        <f>IF(TRIM(A1928&amp;"")="","",IF(RIGHT(TRIM(A1928),7)=" Equity",TRIM(A1928),TRIM(A1928)&amp;" Equity"))</f>
        <v/>
      </c>
      <c r="C1928">
        <f>IF(OR(SwitchUniverse&lt;&gt;"ON",$B1928=""),"",BDP($B1928,"NAME"))</f>
        <v/>
      </c>
      <c r="D1928">
        <f>IF(OR(SwitchUniverse&lt;&gt;"ON",$B1928=""),"",BDP($B1928,"GICS_SECTOR_NAME"))</f>
        <v/>
      </c>
    </row>
    <row r="1929" spans="2:4">
      <c r="B1929">
        <f>IF(TRIM(A1929&amp;"")="","",IF(RIGHT(TRIM(A1929),7)=" Equity",TRIM(A1929),TRIM(A1929)&amp;" Equity"))</f>
        <v/>
      </c>
      <c r="C1929">
        <f>IF(OR(SwitchUniverse&lt;&gt;"ON",$B1929=""),"",BDP($B1929,"NAME"))</f>
        <v/>
      </c>
      <c r="D1929">
        <f>IF(OR(SwitchUniverse&lt;&gt;"ON",$B1929=""),"",BDP($B1929,"GICS_SECTOR_NAME"))</f>
        <v/>
      </c>
    </row>
    <row r="1930" spans="2:4">
      <c r="B1930">
        <f>IF(TRIM(A1930&amp;"")="","",IF(RIGHT(TRIM(A1930),7)=" Equity",TRIM(A1930),TRIM(A1930)&amp;" Equity"))</f>
        <v/>
      </c>
      <c r="C1930">
        <f>IF(OR(SwitchUniverse&lt;&gt;"ON",$B1930=""),"",BDP($B1930,"NAME"))</f>
        <v/>
      </c>
      <c r="D1930">
        <f>IF(OR(SwitchUniverse&lt;&gt;"ON",$B1930=""),"",BDP($B1930,"GICS_SECTOR_NAME"))</f>
        <v/>
      </c>
    </row>
    <row r="1931" spans="2:4">
      <c r="B1931">
        <f>IF(TRIM(A1931&amp;"")="","",IF(RIGHT(TRIM(A1931),7)=" Equity",TRIM(A1931),TRIM(A1931)&amp;" Equity"))</f>
        <v/>
      </c>
      <c r="C1931">
        <f>IF(OR(SwitchUniverse&lt;&gt;"ON",$B1931=""),"",BDP($B1931,"NAME"))</f>
        <v/>
      </c>
      <c r="D1931">
        <f>IF(OR(SwitchUniverse&lt;&gt;"ON",$B1931=""),"",BDP($B1931,"GICS_SECTOR_NAME"))</f>
        <v/>
      </c>
    </row>
    <row r="1932" spans="2:4">
      <c r="B1932">
        <f>IF(TRIM(A1932&amp;"")="","",IF(RIGHT(TRIM(A1932),7)=" Equity",TRIM(A1932),TRIM(A1932)&amp;" Equity"))</f>
        <v/>
      </c>
      <c r="C1932">
        <f>IF(OR(SwitchUniverse&lt;&gt;"ON",$B1932=""),"",BDP($B1932,"NAME"))</f>
        <v/>
      </c>
      <c r="D1932">
        <f>IF(OR(SwitchUniverse&lt;&gt;"ON",$B1932=""),"",BDP($B1932,"GICS_SECTOR_NAME"))</f>
        <v/>
      </c>
    </row>
    <row r="1933" spans="2:4">
      <c r="B1933">
        <f>IF(TRIM(A1933&amp;"")="","",IF(RIGHT(TRIM(A1933),7)=" Equity",TRIM(A1933),TRIM(A1933)&amp;" Equity"))</f>
        <v/>
      </c>
      <c r="C1933">
        <f>IF(OR(SwitchUniverse&lt;&gt;"ON",$B1933=""),"",BDP($B1933,"NAME"))</f>
        <v/>
      </c>
      <c r="D1933">
        <f>IF(OR(SwitchUniverse&lt;&gt;"ON",$B1933=""),"",BDP($B1933,"GICS_SECTOR_NAME"))</f>
        <v/>
      </c>
    </row>
    <row r="1934" spans="2:4">
      <c r="B1934">
        <f>IF(TRIM(A1934&amp;"")="","",IF(RIGHT(TRIM(A1934),7)=" Equity",TRIM(A1934),TRIM(A1934)&amp;" Equity"))</f>
        <v/>
      </c>
      <c r="C1934">
        <f>IF(OR(SwitchUniverse&lt;&gt;"ON",$B1934=""),"",BDP($B1934,"NAME"))</f>
        <v/>
      </c>
      <c r="D1934">
        <f>IF(OR(SwitchUniverse&lt;&gt;"ON",$B1934=""),"",BDP($B1934,"GICS_SECTOR_NAME"))</f>
        <v/>
      </c>
    </row>
    <row r="1935" spans="2:4">
      <c r="B1935">
        <f>IF(TRIM(A1935&amp;"")="","",IF(RIGHT(TRIM(A1935),7)=" Equity",TRIM(A1935),TRIM(A1935)&amp;" Equity"))</f>
        <v/>
      </c>
      <c r="C1935">
        <f>IF(OR(SwitchUniverse&lt;&gt;"ON",$B1935=""),"",BDP($B1935,"NAME"))</f>
        <v/>
      </c>
      <c r="D1935">
        <f>IF(OR(SwitchUniverse&lt;&gt;"ON",$B1935=""),"",BDP($B1935,"GICS_SECTOR_NAME"))</f>
        <v/>
      </c>
    </row>
    <row r="1936" spans="2:4">
      <c r="B1936">
        <f>IF(TRIM(A1936&amp;"")="","",IF(RIGHT(TRIM(A1936),7)=" Equity",TRIM(A1936),TRIM(A1936)&amp;" Equity"))</f>
        <v/>
      </c>
      <c r="C1936">
        <f>IF(OR(SwitchUniverse&lt;&gt;"ON",$B1936=""),"",BDP($B1936,"NAME"))</f>
        <v/>
      </c>
      <c r="D1936">
        <f>IF(OR(SwitchUniverse&lt;&gt;"ON",$B1936=""),"",BDP($B1936,"GICS_SECTOR_NAME"))</f>
        <v/>
      </c>
    </row>
    <row r="1937" spans="2:4">
      <c r="B1937">
        <f>IF(TRIM(A1937&amp;"")="","",IF(RIGHT(TRIM(A1937),7)=" Equity",TRIM(A1937),TRIM(A1937)&amp;" Equity"))</f>
        <v/>
      </c>
      <c r="C1937">
        <f>IF(OR(SwitchUniverse&lt;&gt;"ON",$B1937=""),"",BDP($B1937,"NAME"))</f>
        <v/>
      </c>
      <c r="D1937">
        <f>IF(OR(SwitchUniverse&lt;&gt;"ON",$B1937=""),"",BDP($B1937,"GICS_SECTOR_NAME"))</f>
        <v/>
      </c>
    </row>
    <row r="1938" spans="2:4">
      <c r="B1938">
        <f>IF(TRIM(A1938&amp;"")="","",IF(RIGHT(TRIM(A1938),7)=" Equity",TRIM(A1938),TRIM(A1938)&amp;" Equity"))</f>
        <v/>
      </c>
      <c r="C1938">
        <f>IF(OR(SwitchUniverse&lt;&gt;"ON",$B1938=""),"",BDP($B1938,"NAME"))</f>
        <v/>
      </c>
      <c r="D1938">
        <f>IF(OR(SwitchUniverse&lt;&gt;"ON",$B1938=""),"",BDP($B1938,"GICS_SECTOR_NAME"))</f>
        <v/>
      </c>
    </row>
    <row r="1939" spans="2:4">
      <c r="B1939">
        <f>IF(TRIM(A1939&amp;"")="","",IF(RIGHT(TRIM(A1939),7)=" Equity",TRIM(A1939),TRIM(A1939)&amp;" Equity"))</f>
        <v/>
      </c>
      <c r="C1939">
        <f>IF(OR(SwitchUniverse&lt;&gt;"ON",$B1939=""),"",BDP($B1939,"NAME"))</f>
        <v/>
      </c>
      <c r="D1939">
        <f>IF(OR(SwitchUniverse&lt;&gt;"ON",$B1939=""),"",BDP($B1939,"GICS_SECTOR_NAME"))</f>
        <v/>
      </c>
    </row>
    <row r="1940" spans="2:4">
      <c r="B1940">
        <f>IF(TRIM(A1940&amp;"")="","",IF(RIGHT(TRIM(A1940),7)=" Equity",TRIM(A1940),TRIM(A1940)&amp;" Equity"))</f>
        <v/>
      </c>
      <c r="C1940">
        <f>IF(OR(SwitchUniverse&lt;&gt;"ON",$B1940=""),"",BDP($B1940,"NAME"))</f>
        <v/>
      </c>
      <c r="D1940">
        <f>IF(OR(SwitchUniverse&lt;&gt;"ON",$B1940=""),"",BDP($B1940,"GICS_SECTOR_NAME"))</f>
        <v/>
      </c>
    </row>
    <row r="1941" spans="2:4">
      <c r="B1941">
        <f>IF(TRIM(A1941&amp;"")="","",IF(RIGHT(TRIM(A1941),7)=" Equity",TRIM(A1941),TRIM(A1941)&amp;" Equity"))</f>
        <v/>
      </c>
      <c r="C1941">
        <f>IF(OR(SwitchUniverse&lt;&gt;"ON",$B1941=""),"",BDP($B1941,"NAME"))</f>
        <v/>
      </c>
      <c r="D1941">
        <f>IF(OR(SwitchUniverse&lt;&gt;"ON",$B1941=""),"",BDP($B1941,"GICS_SECTOR_NAME"))</f>
        <v/>
      </c>
    </row>
    <row r="1942" spans="2:4">
      <c r="B1942">
        <f>IF(TRIM(A1942&amp;"")="","",IF(RIGHT(TRIM(A1942),7)=" Equity",TRIM(A1942),TRIM(A1942)&amp;" Equity"))</f>
        <v/>
      </c>
      <c r="C1942">
        <f>IF(OR(SwitchUniverse&lt;&gt;"ON",$B1942=""),"",BDP($B1942,"NAME"))</f>
        <v/>
      </c>
      <c r="D1942">
        <f>IF(OR(SwitchUniverse&lt;&gt;"ON",$B1942=""),"",BDP($B1942,"GICS_SECTOR_NAME"))</f>
        <v/>
      </c>
    </row>
    <row r="1943" spans="2:4">
      <c r="B1943">
        <f>IF(TRIM(A1943&amp;"")="","",IF(RIGHT(TRIM(A1943),7)=" Equity",TRIM(A1943),TRIM(A1943)&amp;" Equity"))</f>
        <v/>
      </c>
      <c r="C1943">
        <f>IF(OR(SwitchUniverse&lt;&gt;"ON",$B1943=""),"",BDP($B1943,"NAME"))</f>
        <v/>
      </c>
      <c r="D1943">
        <f>IF(OR(SwitchUniverse&lt;&gt;"ON",$B1943=""),"",BDP($B1943,"GICS_SECTOR_NAME"))</f>
        <v/>
      </c>
    </row>
    <row r="1944" spans="2:4">
      <c r="B1944">
        <f>IF(TRIM(A1944&amp;"")="","",IF(RIGHT(TRIM(A1944),7)=" Equity",TRIM(A1944),TRIM(A1944)&amp;" Equity"))</f>
        <v/>
      </c>
      <c r="C1944">
        <f>IF(OR(SwitchUniverse&lt;&gt;"ON",$B1944=""),"",BDP($B1944,"NAME"))</f>
        <v/>
      </c>
      <c r="D1944">
        <f>IF(OR(SwitchUniverse&lt;&gt;"ON",$B1944=""),"",BDP($B1944,"GICS_SECTOR_NAME"))</f>
        <v/>
      </c>
    </row>
    <row r="1945" spans="2:4">
      <c r="B1945">
        <f>IF(TRIM(A1945&amp;"")="","",IF(RIGHT(TRIM(A1945),7)=" Equity",TRIM(A1945),TRIM(A1945)&amp;" Equity"))</f>
        <v/>
      </c>
      <c r="C1945">
        <f>IF(OR(SwitchUniverse&lt;&gt;"ON",$B1945=""),"",BDP($B1945,"NAME"))</f>
        <v/>
      </c>
      <c r="D1945">
        <f>IF(OR(SwitchUniverse&lt;&gt;"ON",$B1945=""),"",BDP($B1945,"GICS_SECTOR_NAME"))</f>
        <v/>
      </c>
    </row>
    <row r="1946" spans="2:4">
      <c r="B1946">
        <f>IF(TRIM(A1946&amp;"")="","",IF(RIGHT(TRIM(A1946),7)=" Equity",TRIM(A1946),TRIM(A1946)&amp;" Equity"))</f>
        <v/>
      </c>
      <c r="C1946">
        <f>IF(OR(SwitchUniverse&lt;&gt;"ON",$B1946=""),"",BDP($B1946,"NAME"))</f>
        <v/>
      </c>
      <c r="D1946">
        <f>IF(OR(SwitchUniverse&lt;&gt;"ON",$B1946=""),"",BDP($B1946,"GICS_SECTOR_NAME"))</f>
        <v/>
      </c>
    </row>
    <row r="1947" spans="2:4">
      <c r="B1947">
        <f>IF(TRIM(A1947&amp;"")="","",IF(RIGHT(TRIM(A1947),7)=" Equity",TRIM(A1947),TRIM(A1947)&amp;" Equity"))</f>
        <v/>
      </c>
      <c r="C1947">
        <f>IF(OR(SwitchUniverse&lt;&gt;"ON",$B1947=""),"",BDP($B1947,"NAME"))</f>
        <v/>
      </c>
      <c r="D1947">
        <f>IF(OR(SwitchUniverse&lt;&gt;"ON",$B1947=""),"",BDP($B1947,"GICS_SECTOR_NAME"))</f>
        <v/>
      </c>
    </row>
    <row r="1948" spans="2:4">
      <c r="B1948">
        <f>IF(TRIM(A1948&amp;"")="","",IF(RIGHT(TRIM(A1948),7)=" Equity",TRIM(A1948),TRIM(A1948)&amp;" Equity"))</f>
        <v/>
      </c>
      <c r="C1948">
        <f>IF(OR(SwitchUniverse&lt;&gt;"ON",$B1948=""),"",BDP($B1948,"NAME"))</f>
        <v/>
      </c>
      <c r="D1948">
        <f>IF(OR(SwitchUniverse&lt;&gt;"ON",$B1948=""),"",BDP($B1948,"GICS_SECTOR_NAME"))</f>
        <v/>
      </c>
    </row>
    <row r="1949" spans="2:4">
      <c r="B1949">
        <f>IF(TRIM(A1949&amp;"")="","",IF(RIGHT(TRIM(A1949),7)=" Equity",TRIM(A1949),TRIM(A1949)&amp;" Equity"))</f>
        <v/>
      </c>
      <c r="C1949">
        <f>IF(OR(SwitchUniverse&lt;&gt;"ON",$B1949=""),"",BDP($B1949,"NAME"))</f>
        <v/>
      </c>
      <c r="D1949">
        <f>IF(OR(SwitchUniverse&lt;&gt;"ON",$B1949=""),"",BDP($B1949,"GICS_SECTOR_NAME"))</f>
        <v/>
      </c>
    </row>
    <row r="1950" spans="2:4">
      <c r="B1950">
        <f>IF(TRIM(A1950&amp;"")="","",IF(RIGHT(TRIM(A1950),7)=" Equity",TRIM(A1950),TRIM(A1950)&amp;" Equity"))</f>
        <v/>
      </c>
      <c r="C1950">
        <f>IF(OR(SwitchUniverse&lt;&gt;"ON",$B1950=""),"",BDP($B1950,"NAME"))</f>
        <v/>
      </c>
      <c r="D1950">
        <f>IF(OR(SwitchUniverse&lt;&gt;"ON",$B1950=""),"",BDP($B1950,"GICS_SECTOR_NAME"))</f>
        <v/>
      </c>
    </row>
    <row r="1951" spans="2:4">
      <c r="B1951">
        <f>IF(TRIM(A1951&amp;"")="","",IF(RIGHT(TRIM(A1951),7)=" Equity",TRIM(A1951),TRIM(A1951)&amp;" Equity"))</f>
        <v/>
      </c>
      <c r="C1951">
        <f>IF(OR(SwitchUniverse&lt;&gt;"ON",$B1951=""),"",BDP($B1951,"NAME"))</f>
        <v/>
      </c>
      <c r="D1951">
        <f>IF(OR(SwitchUniverse&lt;&gt;"ON",$B1951=""),"",BDP($B1951,"GICS_SECTOR_NAME"))</f>
        <v/>
      </c>
    </row>
    <row r="1952" spans="2:4">
      <c r="B1952">
        <f>IF(TRIM(A1952&amp;"")="","",IF(RIGHT(TRIM(A1952),7)=" Equity",TRIM(A1952),TRIM(A1952)&amp;" Equity"))</f>
        <v/>
      </c>
      <c r="C1952">
        <f>IF(OR(SwitchUniverse&lt;&gt;"ON",$B1952=""),"",BDP($B1952,"NAME"))</f>
        <v/>
      </c>
      <c r="D1952">
        <f>IF(OR(SwitchUniverse&lt;&gt;"ON",$B1952=""),"",BDP($B1952,"GICS_SECTOR_NAME"))</f>
        <v/>
      </c>
    </row>
    <row r="1953" spans="2:4">
      <c r="B1953">
        <f>IF(TRIM(A1953&amp;"")="","",IF(RIGHT(TRIM(A1953),7)=" Equity",TRIM(A1953),TRIM(A1953)&amp;" Equity"))</f>
        <v/>
      </c>
      <c r="C1953">
        <f>IF(OR(SwitchUniverse&lt;&gt;"ON",$B1953=""),"",BDP($B1953,"NAME"))</f>
        <v/>
      </c>
      <c r="D1953">
        <f>IF(OR(SwitchUniverse&lt;&gt;"ON",$B1953=""),"",BDP($B1953,"GICS_SECTOR_NAME"))</f>
        <v/>
      </c>
    </row>
    <row r="1954" spans="2:4">
      <c r="B1954">
        <f>IF(TRIM(A1954&amp;"")="","",IF(RIGHT(TRIM(A1954),7)=" Equity",TRIM(A1954),TRIM(A1954)&amp;" Equity"))</f>
        <v/>
      </c>
      <c r="C1954">
        <f>IF(OR(SwitchUniverse&lt;&gt;"ON",$B1954=""),"",BDP($B1954,"NAME"))</f>
        <v/>
      </c>
      <c r="D1954">
        <f>IF(OR(SwitchUniverse&lt;&gt;"ON",$B1954=""),"",BDP($B1954,"GICS_SECTOR_NAME"))</f>
        <v/>
      </c>
    </row>
    <row r="1955" spans="2:4">
      <c r="B1955">
        <f>IF(TRIM(A1955&amp;"")="","",IF(RIGHT(TRIM(A1955),7)=" Equity",TRIM(A1955),TRIM(A1955)&amp;" Equity"))</f>
        <v/>
      </c>
      <c r="C1955">
        <f>IF(OR(SwitchUniverse&lt;&gt;"ON",$B1955=""),"",BDP($B1955,"NAME"))</f>
        <v/>
      </c>
      <c r="D1955">
        <f>IF(OR(SwitchUniverse&lt;&gt;"ON",$B1955=""),"",BDP($B1955,"GICS_SECTOR_NAME"))</f>
        <v/>
      </c>
    </row>
    <row r="1956" spans="2:4">
      <c r="B1956">
        <f>IF(TRIM(A1956&amp;"")="","",IF(RIGHT(TRIM(A1956),7)=" Equity",TRIM(A1956),TRIM(A1956)&amp;" Equity"))</f>
        <v/>
      </c>
      <c r="C1956">
        <f>IF(OR(SwitchUniverse&lt;&gt;"ON",$B1956=""),"",BDP($B1956,"NAME"))</f>
        <v/>
      </c>
      <c r="D1956">
        <f>IF(OR(SwitchUniverse&lt;&gt;"ON",$B1956=""),"",BDP($B1956,"GICS_SECTOR_NAME"))</f>
        <v/>
      </c>
    </row>
    <row r="1957" spans="2:4">
      <c r="B1957">
        <f>IF(TRIM(A1957&amp;"")="","",IF(RIGHT(TRIM(A1957),7)=" Equity",TRIM(A1957),TRIM(A1957)&amp;" Equity"))</f>
        <v/>
      </c>
      <c r="C1957">
        <f>IF(OR(SwitchUniverse&lt;&gt;"ON",$B1957=""),"",BDP($B1957,"NAME"))</f>
        <v/>
      </c>
      <c r="D1957">
        <f>IF(OR(SwitchUniverse&lt;&gt;"ON",$B1957=""),"",BDP($B1957,"GICS_SECTOR_NAME"))</f>
        <v/>
      </c>
    </row>
    <row r="1958" spans="2:4">
      <c r="B1958">
        <f>IF(TRIM(A1958&amp;"")="","",IF(RIGHT(TRIM(A1958),7)=" Equity",TRIM(A1958),TRIM(A1958)&amp;" Equity"))</f>
        <v/>
      </c>
      <c r="C1958">
        <f>IF(OR(SwitchUniverse&lt;&gt;"ON",$B1958=""),"",BDP($B1958,"NAME"))</f>
        <v/>
      </c>
      <c r="D1958">
        <f>IF(OR(SwitchUniverse&lt;&gt;"ON",$B1958=""),"",BDP($B1958,"GICS_SECTOR_NAME"))</f>
        <v/>
      </c>
    </row>
    <row r="1959" spans="2:4">
      <c r="B1959">
        <f>IF(TRIM(A1959&amp;"")="","",IF(RIGHT(TRIM(A1959),7)=" Equity",TRIM(A1959),TRIM(A1959)&amp;" Equity"))</f>
        <v/>
      </c>
      <c r="C1959">
        <f>IF(OR(SwitchUniverse&lt;&gt;"ON",$B1959=""),"",BDP($B1959,"NAME"))</f>
        <v/>
      </c>
      <c r="D1959">
        <f>IF(OR(SwitchUniverse&lt;&gt;"ON",$B1959=""),"",BDP($B1959,"GICS_SECTOR_NAME"))</f>
        <v/>
      </c>
    </row>
    <row r="1960" spans="2:4">
      <c r="B1960">
        <f>IF(TRIM(A1960&amp;"")="","",IF(RIGHT(TRIM(A1960),7)=" Equity",TRIM(A1960),TRIM(A1960)&amp;" Equity"))</f>
        <v/>
      </c>
      <c r="C1960">
        <f>IF(OR(SwitchUniverse&lt;&gt;"ON",$B1960=""),"",BDP($B1960,"NAME"))</f>
        <v/>
      </c>
      <c r="D1960">
        <f>IF(OR(SwitchUniverse&lt;&gt;"ON",$B1960=""),"",BDP($B1960,"GICS_SECTOR_NAME"))</f>
        <v/>
      </c>
    </row>
    <row r="1961" spans="2:4">
      <c r="B1961">
        <f>IF(TRIM(A1961&amp;"")="","",IF(RIGHT(TRIM(A1961),7)=" Equity",TRIM(A1961),TRIM(A1961)&amp;" Equity"))</f>
        <v/>
      </c>
      <c r="C1961">
        <f>IF(OR(SwitchUniverse&lt;&gt;"ON",$B1961=""),"",BDP($B1961,"NAME"))</f>
        <v/>
      </c>
      <c r="D1961">
        <f>IF(OR(SwitchUniverse&lt;&gt;"ON",$B1961=""),"",BDP($B1961,"GICS_SECTOR_NAME"))</f>
        <v/>
      </c>
    </row>
    <row r="1962" spans="2:4">
      <c r="B1962">
        <f>IF(TRIM(A1962&amp;"")="","",IF(RIGHT(TRIM(A1962),7)=" Equity",TRIM(A1962),TRIM(A1962)&amp;" Equity"))</f>
        <v/>
      </c>
      <c r="C1962">
        <f>IF(OR(SwitchUniverse&lt;&gt;"ON",$B1962=""),"",BDP($B1962,"NAME"))</f>
        <v/>
      </c>
      <c r="D1962">
        <f>IF(OR(SwitchUniverse&lt;&gt;"ON",$B1962=""),"",BDP($B1962,"GICS_SECTOR_NAME"))</f>
        <v/>
      </c>
    </row>
    <row r="1963" spans="2:4">
      <c r="B1963">
        <f>IF(TRIM(A1963&amp;"")="","",IF(RIGHT(TRIM(A1963),7)=" Equity",TRIM(A1963),TRIM(A1963)&amp;" Equity"))</f>
        <v/>
      </c>
      <c r="C1963">
        <f>IF(OR(SwitchUniverse&lt;&gt;"ON",$B1963=""),"",BDP($B1963,"NAME"))</f>
        <v/>
      </c>
      <c r="D1963">
        <f>IF(OR(SwitchUniverse&lt;&gt;"ON",$B1963=""),"",BDP($B1963,"GICS_SECTOR_NAME"))</f>
        <v/>
      </c>
    </row>
    <row r="1964" spans="2:4">
      <c r="B1964">
        <f>IF(TRIM(A1964&amp;"")="","",IF(RIGHT(TRIM(A1964),7)=" Equity",TRIM(A1964),TRIM(A1964)&amp;" Equity"))</f>
        <v/>
      </c>
      <c r="C1964">
        <f>IF(OR(SwitchUniverse&lt;&gt;"ON",$B1964=""),"",BDP($B1964,"NAME"))</f>
        <v/>
      </c>
      <c r="D1964">
        <f>IF(OR(SwitchUniverse&lt;&gt;"ON",$B1964=""),"",BDP($B1964,"GICS_SECTOR_NAME"))</f>
        <v/>
      </c>
    </row>
    <row r="1965" spans="2:4">
      <c r="B1965">
        <f>IF(TRIM(A1965&amp;"")="","",IF(RIGHT(TRIM(A1965),7)=" Equity",TRIM(A1965),TRIM(A1965)&amp;" Equity"))</f>
        <v/>
      </c>
      <c r="C1965">
        <f>IF(OR(SwitchUniverse&lt;&gt;"ON",$B1965=""),"",BDP($B1965,"NAME"))</f>
        <v/>
      </c>
      <c r="D1965">
        <f>IF(OR(SwitchUniverse&lt;&gt;"ON",$B1965=""),"",BDP($B1965,"GICS_SECTOR_NAME"))</f>
        <v/>
      </c>
    </row>
    <row r="1966" spans="2:4">
      <c r="B1966">
        <f>IF(TRIM(A1966&amp;"")="","",IF(RIGHT(TRIM(A1966),7)=" Equity",TRIM(A1966),TRIM(A1966)&amp;" Equity"))</f>
        <v/>
      </c>
      <c r="C1966">
        <f>IF(OR(SwitchUniverse&lt;&gt;"ON",$B1966=""),"",BDP($B1966,"NAME"))</f>
        <v/>
      </c>
      <c r="D1966">
        <f>IF(OR(SwitchUniverse&lt;&gt;"ON",$B1966=""),"",BDP($B1966,"GICS_SECTOR_NAME"))</f>
        <v/>
      </c>
    </row>
    <row r="1967" spans="2:4">
      <c r="B1967">
        <f>IF(TRIM(A1967&amp;"")="","",IF(RIGHT(TRIM(A1967),7)=" Equity",TRIM(A1967),TRIM(A1967)&amp;" Equity"))</f>
        <v/>
      </c>
      <c r="C1967">
        <f>IF(OR(SwitchUniverse&lt;&gt;"ON",$B1967=""),"",BDP($B1967,"NAME"))</f>
        <v/>
      </c>
      <c r="D1967">
        <f>IF(OR(SwitchUniverse&lt;&gt;"ON",$B1967=""),"",BDP($B1967,"GICS_SECTOR_NAME"))</f>
        <v/>
      </c>
    </row>
    <row r="1968" spans="2:4">
      <c r="B1968">
        <f>IF(TRIM(A1968&amp;"")="","",IF(RIGHT(TRIM(A1968),7)=" Equity",TRIM(A1968),TRIM(A1968)&amp;" Equity"))</f>
        <v/>
      </c>
      <c r="C1968">
        <f>IF(OR(SwitchUniverse&lt;&gt;"ON",$B1968=""),"",BDP($B1968,"NAME"))</f>
        <v/>
      </c>
      <c r="D1968">
        <f>IF(OR(SwitchUniverse&lt;&gt;"ON",$B1968=""),"",BDP($B1968,"GICS_SECTOR_NAME"))</f>
        <v/>
      </c>
    </row>
    <row r="1969" spans="2:4">
      <c r="B1969">
        <f>IF(TRIM(A1969&amp;"")="","",IF(RIGHT(TRIM(A1969),7)=" Equity",TRIM(A1969),TRIM(A1969)&amp;" Equity"))</f>
        <v/>
      </c>
      <c r="C1969">
        <f>IF(OR(SwitchUniverse&lt;&gt;"ON",$B1969=""),"",BDP($B1969,"NAME"))</f>
        <v/>
      </c>
      <c r="D1969">
        <f>IF(OR(SwitchUniverse&lt;&gt;"ON",$B1969=""),"",BDP($B1969,"GICS_SECTOR_NAME"))</f>
        <v/>
      </c>
    </row>
    <row r="1970" spans="2:4">
      <c r="B1970">
        <f>IF(TRIM(A1970&amp;"")="","",IF(RIGHT(TRIM(A1970),7)=" Equity",TRIM(A1970),TRIM(A1970)&amp;" Equity"))</f>
        <v/>
      </c>
      <c r="C1970">
        <f>IF(OR(SwitchUniverse&lt;&gt;"ON",$B1970=""),"",BDP($B1970,"NAME"))</f>
        <v/>
      </c>
      <c r="D1970">
        <f>IF(OR(SwitchUniverse&lt;&gt;"ON",$B1970=""),"",BDP($B1970,"GICS_SECTOR_NAME"))</f>
        <v/>
      </c>
    </row>
    <row r="1971" spans="2:4">
      <c r="B1971">
        <f>IF(TRIM(A1971&amp;"")="","",IF(RIGHT(TRIM(A1971),7)=" Equity",TRIM(A1971),TRIM(A1971)&amp;" Equity"))</f>
        <v/>
      </c>
      <c r="C1971">
        <f>IF(OR(SwitchUniverse&lt;&gt;"ON",$B1971=""),"",BDP($B1971,"NAME"))</f>
        <v/>
      </c>
      <c r="D1971">
        <f>IF(OR(SwitchUniverse&lt;&gt;"ON",$B1971=""),"",BDP($B1971,"GICS_SECTOR_NAME"))</f>
        <v/>
      </c>
    </row>
    <row r="1972" spans="2:4">
      <c r="B1972">
        <f>IF(TRIM(A1972&amp;"")="","",IF(RIGHT(TRIM(A1972),7)=" Equity",TRIM(A1972),TRIM(A1972)&amp;" Equity"))</f>
        <v/>
      </c>
      <c r="C1972">
        <f>IF(OR(SwitchUniverse&lt;&gt;"ON",$B1972=""),"",BDP($B1972,"NAME"))</f>
        <v/>
      </c>
      <c r="D1972">
        <f>IF(OR(SwitchUniverse&lt;&gt;"ON",$B1972=""),"",BDP($B1972,"GICS_SECTOR_NAME"))</f>
        <v/>
      </c>
    </row>
    <row r="1973" spans="2:4">
      <c r="B1973">
        <f>IF(TRIM(A1973&amp;"")="","",IF(RIGHT(TRIM(A1973),7)=" Equity",TRIM(A1973),TRIM(A1973)&amp;" Equity"))</f>
        <v/>
      </c>
      <c r="C1973">
        <f>IF(OR(SwitchUniverse&lt;&gt;"ON",$B1973=""),"",BDP($B1973,"NAME"))</f>
        <v/>
      </c>
      <c r="D1973">
        <f>IF(OR(SwitchUniverse&lt;&gt;"ON",$B1973=""),"",BDP($B1973,"GICS_SECTOR_NAME"))</f>
        <v/>
      </c>
    </row>
    <row r="1974" spans="2:4">
      <c r="B1974">
        <f>IF(TRIM(A1974&amp;"")="","",IF(RIGHT(TRIM(A1974),7)=" Equity",TRIM(A1974),TRIM(A1974)&amp;" Equity"))</f>
        <v/>
      </c>
      <c r="C1974">
        <f>IF(OR(SwitchUniverse&lt;&gt;"ON",$B1974=""),"",BDP($B1974,"NAME"))</f>
        <v/>
      </c>
      <c r="D1974">
        <f>IF(OR(SwitchUniverse&lt;&gt;"ON",$B1974=""),"",BDP($B1974,"GICS_SECTOR_NAME"))</f>
        <v/>
      </c>
    </row>
    <row r="1975" spans="2:4">
      <c r="B1975">
        <f>IF(TRIM(A1975&amp;"")="","",IF(RIGHT(TRIM(A1975),7)=" Equity",TRIM(A1975),TRIM(A1975)&amp;" Equity"))</f>
        <v/>
      </c>
      <c r="C1975">
        <f>IF(OR(SwitchUniverse&lt;&gt;"ON",$B1975=""),"",BDP($B1975,"NAME"))</f>
        <v/>
      </c>
      <c r="D1975">
        <f>IF(OR(SwitchUniverse&lt;&gt;"ON",$B1975=""),"",BDP($B1975,"GICS_SECTOR_NAME"))</f>
        <v/>
      </c>
    </row>
    <row r="1976" spans="2:4">
      <c r="B1976">
        <f>IF(TRIM(A1976&amp;"")="","",IF(RIGHT(TRIM(A1976),7)=" Equity",TRIM(A1976),TRIM(A1976)&amp;" Equity"))</f>
        <v/>
      </c>
      <c r="C1976">
        <f>IF(OR(SwitchUniverse&lt;&gt;"ON",$B1976=""),"",BDP($B1976,"NAME"))</f>
        <v/>
      </c>
      <c r="D1976">
        <f>IF(OR(SwitchUniverse&lt;&gt;"ON",$B1976=""),"",BDP($B1976,"GICS_SECTOR_NAME"))</f>
        <v/>
      </c>
    </row>
    <row r="1977" spans="2:4">
      <c r="B1977">
        <f>IF(TRIM(A1977&amp;"")="","",IF(RIGHT(TRIM(A1977),7)=" Equity",TRIM(A1977),TRIM(A1977)&amp;" Equity"))</f>
        <v/>
      </c>
      <c r="C1977">
        <f>IF(OR(SwitchUniverse&lt;&gt;"ON",$B1977=""),"",BDP($B1977,"NAME"))</f>
        <v/>
      </c>
      <c r="D1977">
        <f>IF(OR(SwitchUniverse&lt;&gt;"ON",$B1977=""),"",BDP($B1977,"GICS_SECTOR_NAME"))</f>
        <v/>
      </c>
    </row>
    <row r="1978" spans="2:4">
      <c r="B1978">
        <f>IF(TRIM(A1978&amp;"")="","",IF(RIGHT(TRIM(A1978),7)=" Equity",TRIM(A1978),TRIM(A1978)&amp;" Equity"))</f>
        <v/>
      </c>
      <c r="C1978">
        <f>IF(OR(SwitchUniverse&lt;&gt;"ON",$B1978=""),"",BDP($B1978,"NAME"))</f>
        <v/>
      </c>
      <c r="D1978">
        <f>IF(OR(SwitchUniverse&lt;&gt;"ON",$B1978=""),"",BDP($B1978,"GICS_SECTOR_NAME"))</f>
        <v/>
      </c>
    </row>
    <row r="1979" spans="2:4">
      <c r="B1979">
        <f>IF(TRIM(A1979&amp;"")="","",IF(RIGHT(TRIM(A1979),7)=" Equity",TRIM(A1979),TRIM(A1979)&amp;" Equity"))</f>
        <v/>
      </c>
      <c r="C1979">
        <f>IF(OR(SwitchUniverse&lt;&gt;"ON",$B1979=""),"",BDP($B1979,"NAME"))</f>
        <v/>
      </c>
      <c r="D1979">
        <f>IF(OR(SwitchUniverse&lt;&gt;"ON",$B1979=""),"",BDP($B1979,"GICS_SECTOR_NAME"))</f>
        <v/>
      </c>
    </row>
    <row r="1980" spans="2:4">
      <c r="B1980">
        <f>IF(TRIM(A1980&amp;"")="","",IF(RIGHT(TRIM(A1980),7)=" Equity",TRIM(A1980),TRIM(A1980)&amp;" Equity"))</f>
        <v/>
      </c>
      <c r="C1980">
        <f>IF(OR(SwitchUniverse&lt;&gt;"ON",$B1980=""),"",BDP($B1980,"NAME"))</f>
        <v/>
      </c>
      <c r="D1980">
        <f>IF(OR(SwitchUniverse&lt;&gt;"ON",$B1980=""),"",BDP($B1980,"GICS_SECTOR_NAME"))</f>
        <v/>
      </c>
    </row>
    <row r="1981" spans="2:4">
      <c r="B1981">
        <f>IF(TRIM(A1981&amp;"")="","",IF(RIGHT(TRIM(A1981),7)=" Equity",TRIM(A1981),TRIM(A1981)&amp;" Equity"))</f>
        <v/>
      </c>
      <c r="C1981">
        <f>IF(OR(SwitchUniverse&lt;&gt;"ON",$B1981=""),"",BDP($B1981,"NAME"))</f>
        <v/>
      </c>
      <c r="D1981">
        <f>IF(OR(SwitchUniverse&lt;&gt;"ON",$B1981=""),"",BDP($B1981,"GICS_SECTOR_NAME"))</f>
        <v/>
      </c>
    </row>
    <row r="1982" spans="2:4">
      <c r="B1982">
        <f>IF(TRIM(A1982&amp;"")="","",IF(RIGHT(TRIM(A1982),7)=" Equity",TRIM(A1982),TRIM(A1982)&amp;" Equity"))</f>
        <v/>
      </c>
      <c r="C1982">
        <f>IF(OR(SwitchUniverse&lt;&gt;"ON",$B1982=""),"",BDP($B1982,"NAME"))</f>
        <v/>
      </c>
      <c r="D1982">
        <f>IF(OR(SwitchUniverse&lt;&gt;"ON",$B1982=""),"",BDP($B1982,"GICS_SECTOR_NAME"))</f>
        <v/>
      </c>
    </row>
    <row r="1983" spans="2:4">
      <c r="B1983">
        <f>IF(TRIM(A1983&amp;"")="","",IF(RIGHT(TRIM(A1983),7)=" Equity",TRIM(A1983),TRIM(A1983)&amp;" Equity"))</f>
        <v/>
      </c>
      <c r="C1983">
        <f>IF(OR(SwitchUniverse&lt;&gt;"ON",$B1983=""),"",BDP($B1983,"NAME"))</f>
        <v/>
      </c>
      <c r="D1983">
        <f>IF(OR(SwitchUniverse&lt;&gt;"ON",$B1983=""),"",BDP($B1983,"GICS_SECTOR_NAME"))</f>
        <v/>
      </c>
    </row>
    <row r="1984" spans="2:4">
      <c r="B1984">
        <f>IF(TRIM(A1984&amp;"")="","",IF(RIGHT(TRIM(A1984),7)=" Equity",TRIM(A1984),TRIM(A1984)&amp;" Equity"))</f>
        <v/>
      </c>
      <c r="C1984">
        <f>IF(OR(SwitchUniverse&lt;&gt;"ON",$B1984=""),"",BDP($B1984,"NAME"))</f>
        <v/>
      </c>
      <c r="D1984">
        <f>IF(OR(SwitchUniverse&lt;&gt;"ON",$B1984=""),"",BDP($B1984,"GICS_SECTOR_NAME"))</f>
        <v/>
      </c>
    </row>
    <row r="1985" spans="2:4">
      <c r="B1985">
        <f>IF(TRIM(A1985&amp;"")="","",IF(RIGHT(TRIM(A1985),7)=" Equity",TRIM(A1985),TRIM(A1985)&amp;" Equity"))</f>
        <v/>
      </c>
      <c r="C1985">
        <f>IF(OR(SwitchUniverse&lt;&gt;"ON",$B1985=""),"",BDP($B1985,"NAME"))</f>
        <v/>
      </c>
      <c r="D1985">
        <f>IF(OR(SwitchUniverse&lt;&gt;"ON",$B1985=""),"",BDP($B1985,"GICS_SECTOR_NAME"))</f>
        <v/>
      </c>
    </row>
    <row r="1986" spans="2:4">
      <c r="B1986">
        <f>IF(TRIM(A1986&amp;"")="","",IF(RIGHT(TRIM(A1986),7)=" Equity",TRIM(A1986),TRIM(A1986)&amp;" Equity"))</f>
        <v/>
      </c>
      <c r="C1986">
        <f>IF(OR(SwitchUniverse&lt;&gt;"ON",$B1986=""),"",BDP($B1986,"NAME"))</f>
        <v/>
      </c>
      <c r="D1986">
        <f>IF(OR(SwitchUniverse&lt;&gt;"ON",$B1986=""),"",BDP($B1986,"GICS_SECTOR_NAME"))</f>
        <v/>
      </c>
    </row>
    <row r="1987" spans="2:4">
      <c r="B1987">
        <f>IF(TRIM(A1987&amp;"")="","",IF(RIGHT(TRIM(A1987),7)=" Equity",TRIM(A1987),TRIM(A1987)&amp;" Equity"))</f>
        <v/>
      </c>
      <c r="C1987">
        <f>IF(OR(SwitchUniverse&lt;&gt;"ON",$B1987=""),"",BDP($B1987,"NAME"))</f>
        <v/>
      </c>
      <c r="D1987">
        <f>IF(OR(SwitchUniverse&lt;&gt;"ON",$B1987=""),"",BDP($B1987,"GICS_SECTOR_NAME"))</f>
        <v/>
      </c>
    </row>
    <row r="1988" spans="2:4">
      <c r="B1988">
        <f>IF(TRIM(A1988&amp;"")="","",IF(RIGHT(TRIM(A1988),7)=" Equity",TRIM(A1988),TRIM(A1988)&amp;" Equity"))</f>
        <v/>
      </c>
      <c r="C1988">
        <f>IF(OR(SwitchUniverse&lt;&gt;"ON",$B1988=""),"",BDP($B1988,"NAME"))</f>
        <v/>
      </c>
      <c r="D1988">
        <f>IF(OR(SwitchUniverse&lt;&gt;"ON",$B1988=""),"",BDP($B1988,"GICS_SECTOR_NAME"))</f>
        <v/>
      </c>
    </row>
    <row r="1989" spans="2:4">
      <c r="B1989">
        <f>IF(TRIM(A1989&amp;"")="","",IF(RIGHT(TRIM(A1989),7)=" Equity",TRIM(A1989),TRIM(A1989)&amp;" Equity"))</f>
        <v/>
      </c>
      <c r="C1989">
        <f>IF(OR(SwitchUniverse&lt;&gt;"ON",$B1989=""),"",BDP($B1989,"NAME"))</f>
        <v/>
      </c>
      <c r="D1989">
        <f>IF(OR(SwitchUniverse&lt;&gt;"ON",$B1989=""),"",BDP($B1989,"GICS_SECTOR_NAME"))</f>
        <v/>
      </c>
    </row>
    <row r="1990" spans="2:4">
      <c r="B1990">
        <f>IF(TRIM(A1990&amp;"")="","",IF(RIGHT(TRIM(A1990),7)=" Equity",TRIM(A1990),TRIM(A1990)&amp;" Equity"))</f>
        <v/>
      </c>
      <c r="C1990">
        <f>IF(OR(SwitchUniverse&lt;&gt;"ON",$B1990=""),"",BDP($B1990,"NAME"))</f>
        <v/>
      </c>
      <c r="D1990">
        <f>IF(OR(SwitchUniverse&lt;&gt;"ON",$B1990=""),"",BDP($B1990,"GICS_SECTOR_NAME"))</f>
        <v/>
      </c>
    </row>
    <row r="1991" spans="2:4">
      <c r="B1991">
        <f>IF(TRIM(A1991&amp;"")="","",IF(RIGHT(TRIM(A1991),7)=" Equity",TRIM(A1991),TRIM(A1991)&amp;" Equity"))</f>
        <v/>
      </c>
      <c r="C1991">
        <f>IF(OR(SwitchUniverse&lt;&gt;"ON",$B1991=""),"",BDP($B1991,"NAME"))</f>
        <v/>
      </c>
      <c r="D1991">
        <f>IF(OR(SwitchUniverse&lt;&gt;"ON",$B1991=""),"",BDP($B1991,"GICS_SECTOR_NAME"))</f>
        <v/>
      </c>
    </row>
    <row r="1992" spans="2:4">
      <c r="B1992">
        <f>IF(TRIM(A1992&amp;"")="","",IF(RIGHT(TRIM(A1992),7)=" Equity",TRIM(A1992),TRIM(A1992)&amp;" Equity"))</f>
        <v/>
      </c>
      <c r="C1992">
        <f>IF(OR(SwitchUniverse&lt;&gt;"ON",$B1992=""),"",BDP($B1992,"NAME"))</f>
        <v/>
      </c>
      <c r="D1992">
        <f>IF(OR(SwitchUniverse&lt;&gt;"ON",$B1992=""),"",BDP($B1992,"GICS_SECTOR_NAME"))</f>
        <v/>
      </c>
    </row>
    <row r="1993" spans="2:4">
      <c r="B1993">
        <f>IF(TRIM(A1993&amp;"")="","",IF(RIGHT(TRIM(A1993),7)=" Equity",TRIM(A1993),TRIM(A1993)&amp;" Equity"))</f>
        <v/>
      </c>
      <c r="C1993">
        <f>IF(OR(SwitchUniverse&lt;&gt;"ON",$B1993=""),"",BDP($B1993,"NAME"))</f>
        <v/>
      </c>
      <c r="D1993">
        <f>IF(OR(SwitchUniverse&lt;&gt;"ON",$B1993=""),"",BDP($B1993,"GICS_SECTOR_NAME"))</f>
        <v/>
      </c>
    </row>
    <row r="1994" spans="2:4">
      <c r="B1994">
        <f>IF(TRIM(A1994&amp;"")="","",IF(RIGHT(TRIM(A1994),7)=" Equity",TRIM(A1994),TRIM(A1994)&amp;" Equity"))</f>
        <v/>
      </c>
      <c r="C1994">
        <f>IF(OR(SwitchUniverse&lt;&gt;"ON",$B1994=""),"",BDP($B1994,"NAME"))</f>
        <v/>
      </c>
      <c r="D1994">
        <f>IF(OR(SwitchUniverse&lt;&gt;"ON",$B1994=""),"",BDP($B1994,"GICS_SECTOR_NAME"))</f>
        <v/>
      </c>
    </row>
    <row r="1995" spans="2:4">
      <c r="B1995">
        <f>IF(TRIM(A1995&amp;"")="","",IF(RIGHT(TRIM(A1995),7)=" Equity",TRIM(A1995),TRIM(A1995)&amp;" Equity"))</f>
        <v/>
      </c>
      <c r="C1995">
        <f>IF(OR(SwitchUniverse&lt;&gt;"ON",$B1995=""),"",BDP($B1995,"NAME"))</f>
        <v/>
      </c>
      <c r="D1995">
        <f>IF(OR(SwitchUniverse&lt;&gt;"ON",$B1995=""),"",BDP($B1995,"GICS_SECTOR_NAME"))</f>
        <v/>
      </c>
    </row>
    <row r="1996" spans="2:4">
      <c r="B1996">
        <f>IF(TRIM(A1996&amp;"")="","",IF(RIGHT(TRIM(A1996),7)=" Equity",TRIM(A1996),TRIM(A1996)&amp;" Equity"))</f>
        <v/>
      </c>
      <c r="C1996">
        <f>IF(OR(SwitchUniverse&lt;&gt;"ON",$B1996=""),"",BDP($B1996,"NAME"))</f>
        <v/>
      </c>
      <c r="D1996">
        <f>IF(OR(SwitchUniverse&lt;&gt;"ON",$B1996=""),"",BDP($B1996,"GICS_SECTOR_NAME"))</f>
        <v/>
      </c>
    </row>
    <row r="1997" spans="2:4">
      <c r="B1997">
        <f>IF(TRIM(A1997&amp;"")="","",IF(RIGHT(TRIM(A1997),7)=" Equity",TRIM(A1997),TRIM(A1997)&amp;" Equity"))</f>
        <v/>
      </c>
      <c r="C1997">
        <f>IF(OR(SwitchUniverse&lt;&gt;"ON",$B1997=""),"",BDP($B1997,"NAME"))</f>
        <v/>
      </c>
      <c r="D1997">
        <f>IF(OR(SwitchUniverse&lt;&gt;"ON",$B1997=""),"",BDP($B1997,"GICS_SECTOR_NAME"))</f>
        <v/>
      </c>
    </row>
    <row r="1998" spans="2:4">
      <c r="B1998">
        <f>IF(TRIM(A1998&amp;"")="","",IF(RIGHT(TRIM(A1998),7)=" Equity",TRIM(A1998),TRIM(A1998)&amp;" Equity"))</f>
        <v/>
      </c>
      <c r="C1998">
        <f>IF(OR(SwitchUniverse&lt;&gt;"ON",$B1998=""),"",BDP($B1998,"NAME"))</f>
        <v/>
      </c>
      <c r="D1998">
        <f>IF(OR(SwitchUniverse&lt;&gt;"ON",$B1998=""),"",BDP($B1998,"GICS_SECTOR_NAME"))</f>
        <v/>
      </c>
    </row>
    <row r="1999" spans="2:4">
      <c r="B1999">
        <f>IF(TRIM(A1999&amp;"")="","",IF(RIGHT(TRIM(A1999),7)=" Equity",TRIM(A1999),TRIM(A1999)&amp;" Equity"))</f>
        <v/>
      </c>
      <c r="C1999">
        <f>IF(OR(SwitchUniverse&lt;&gt;"ON",$B1999=""),"",BDP($B1999,"NAME"))</f>
        <v/>
      </c>
      <c r="D1999">
        <f>IF(OR(SwitchUniverse&lt;&gt;"ON",$B1999=""),"",BDP($B1999,"GICS_SECTOR_NAME"))</f>
        <v/>
      </c>
    </row>
    <row r="2000" spans="2:4">
      <c r="B2000">
        <f>IF(TRIM(A2000&amp;"")="","",IF(RIGHT(TRIM(A2000),7)=" Equity",TRIM(A2000),TRIM(A2000)&amp;" Equity"))</f>
        <v/>
      </c>
      <c r="C2000">
        <f>IF(OR(SwitchUniverse&lt;&gt;"ON",$B2000=""),"",BDP($B2000,"NAME"))</f>
        <v/>
      </c>
      <c r="D2000">
        <f>IF(OR(SwitchUniverse&lt;&gt;"ON",$B2000=""),"",BDP($B2000,"GICS_SECTOR_NAME"))</f>
        <v/>
      </c>
    </row>
    <row r="2001" spans="2:4">
      <c r="B2001">
        <f>IF(TRIM(A2001&amp;"")="","",IF(RIGHT(TRIM(A2001),7)=" Equity",TRIM(A2001),TRIM(A2001)&amp;" Equity"))</f>
        <v/>
      </c>
      <c r="C2001">
        <f>IF(OR(SwitchUniverse&lt;&gt;"ON",$B2001=""),"",BDP($B2001,"NAME"))</f>
        <v/>
      </c>
      <c r="D2001">
        <f>IF(OR(SwitchUniverse&lt;&gt;"ON",$B2001=""),"",BDP($B2001,"GICS_SECTOR_NAME"))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WV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1.7109375" style="9" customWidth="1"/>
    <col min="2" max="2" width="10.7109375" customWidth="1"/>
    <col min="3" max="3" width="11.7109375" style="9" customWidth="1"/>
    <col min="4" max="4" width="10.7109375" customWidth="1"/>
    <col min="5" max="5" width="11.7109375" style="9" customWidth="1"/>
    <col min="6" max="6" width="10.7109375" customWidth="1"/>
    <col min="7" max="7" width="11.7109375" style="9" customWidth="1"/>
    <col min="8" max="8" width="10.7109375" customWidth="1"/>
    <col min="9" max="9" width="11.7109375" style="9" customWidth="1"/>
    <col min="10" max="10" width="10.7109375" customWidth="1"/>
    <col min="11" max="11" width="11.7109375" style="9" customWidth="1"/>
    <col min="12" max="12" width="10.7109375" customWidth="1"/>
    <col min="13" max="13" width="11.7109375" style="9" customWidth="1"/>
    <col min="14" max="14" width="10.7109375" customWidth="1"/>
    <col min="15" max="15" width="11.7109375" style="9" customWidth="1"/>
    <col min="16" max="16" width="10.7109375" customWidth="1"/>
    <col min="17" max="17" width="11.7109375" style="9" customWidth="1"/>
    <col min="18" max="18" width="10.7109375" customWidth="1"/>
    <col min="19" max="19" width="11.7109375" style="9" customWidth="1"/>
    <col min="20" max="20" width="10.7109375" customWidth="1"/>
    <col min="21" max="21" width="11.7109375" style="9" customWidth="1"/>
    <col min="22" max="22" width="10.7109375" customWidth="1"/>
    <col min="23" max="23" width="11.7109375" style="9" customWidth="1"/>
    <col min="24" max="24" width="10.7109375" customWidth="1"/>
    <col min="25" max="25" width="11.7109375" style="9" customWidth="1"/>
    <col min="26" max="26" width="10.7109375" customWidth="1"/>
    <col min="27" max="27" width="11.7109375" style="9" customWidth="1"/>
    <col min="28" max="28" width="10.7109375" customWidth="1"/>
    <col min="29" max="29" width="11.7109375" style="9" customWidth="1"/>
    <col min="30" max="30" width="10.7109375" customWidth="1"/>
    <col min="31" max="31" width="11.7109375" style="9" customWidth="1"/>
    <col min="32" max="32" width="10.7109375" customWidth="1"/>
    <col min="33" max="33" width="11.7109375" style="9" customWidth="1"/>
    <col min="34" max="34" width="10.7109375" customWidth="1"/>
    <col min="35" max="35" width="11.7109375" style="9" customWidth="1"/>
    <col min="36" max="36" width="10.7109375" customWidth="1"/>
    <col min="37" max="37" width="11.7109375" style="9" customWidth="1"/>
    <col min="38" max="38" width="10.7109375" customWidth="1"/>
    <col min="39" max="39" width="11.7109375" style="9" customWidth="1"/>
    <col min="40" max="40" width="10.7109375" customWidth="1"/>
    <col min="41" max="41" width="11.7109375" style="9" customWidth="1"/>
    <col min="42" max="42" width="10.7109375" customWidth="1"/>
    <col min="43" max="43" width="11.7109375" style="9" customWidth="1"/>
    <col min="44" max="44" width="10.7109375" customWidth="1"/>
    <col min="45" max="45" width="11.7109375" style="9" customWidth="1"/>
    <col min="46" max="46" width="10.7109375" customWidth="1"/>
    <col min="47" max="47" width="11.7109375" style="9" customWidth="1"/>
    <col min="48" max="48" width="10.7109375" customWidth="1"/>
    <col min="49" max="49" width="11.7109375" style="9" customWidth="1"/>
    <col min="50" max="50" width="10.7109375" customWidth="1"/>
    <col min="51" max="51" width="11.7109375" style="9" customWidth="1"/>
    <col min="52" max="52" width="10.7109375" customWidth="1"/>
    <col min="53" max="53" width="11.7109375" style="9" customWidth="1"/>
    <col min="54" max="54" width="10.7109375" customWidth="1"/>
    <col min="55" max="55" width="11.7109375" style="9" customWidth="1"/>
    <col min="56" max="56" width="10.7109375" customWidth="1"/>
    <col min="57" max="57" width="11.7109375" style="9" customWidth="1"/>
    <col min="58" max="58" width="10.7109375" customWidth="1"/>
    <col min="59" max="59" width="11.7109375" style="9" customWidth="1"/>
    <col min="60" max="60" width="10.7109375" customWidth="1"/>
    <col min="61" max="61" width="11.7109375" style="9" customWidth="1"/>
    <col min="62" max="62" width="10.7109375" customWidth="1"/>
    <col min="63" max="63" width="11.7109375" style="9" customWidth="1"/>
    <col min="64" max="64" width="10.7109375" customWidth="1"/>
    <col min="65" max="65" width="11.7109375" style="9" customWidth="1"/>
    <col min="66" max="66" width="10.7109375" customWidth="1"/>
    <col min="67" max="67" width="11.7109375" style="9" customWidth="1"/>
    <col min="68" max="68" width="10.7109375" customWidth="1"/>
    <col min="69" max="69" width="11.7109375" style="9" customWidth="1"/>
    <col min="70" max="70" width="10.7109375" customWidth="1"/>
    <col min="71" max="71" width="11.7109375" style="9" customWidth="1"/>
    <col min="72" max="72" width="10.7109375" customWidth="1"/>
    <col min="73" max="73" width="11.7109375" style="9" customWidth="1"/>
    <col min="74" max="74" width="10.7109375" customWidth="1"/>
    <col min="75" max="75" width="11.7109375" style="9" customWidth="1"/>
    <col min="76" max="76" width="10.7109375" customWidth="1"/>
    <col min="77" max="77" width="11.7109375" style="9" customWidth="1"/>
    <col min="78" max="78" width="10.7109375" customWidth="1"/>
    <col min="79" max="79" width="11.7109375" style="9" customWidth="1"/>
    <col min="80" max="80" width="10.7109375" customWidth="1"/>
    <col min="81" max="81" width="11.7109375" style="9" customWidth="1"/>
    <col min="82" max="82" width="10.7109375" customWidth="1"/>
    <col min="83" max="83" width="11.7109375" style="9" customWidth="1"/>
    <col min="84" max="84" width="10.7109375" customWidth="1"/>
    <col min="85" max="85" width="11.7109375" style="9" customWidth="1"/>
    <col min="86" max="86" width="10.7109375" customWidth="1"/>
    <col min="87" max="87" width="11.7109375" style="9" customWidth="1"/>
    <col min="88" max="88" width="10.7109375" customWidth="1"/>
    <col min="89" max="89" width="11.7109375" style="9" customWidth="1"/>
    <col min="90" max="90" width="10.7109375" customWidth="1"/>
    <col min="91" max="91" width="11.7109375" style="9" customWidth="1"/>
    <col min="92" max="92" width="10.7109375" customWidth="1"/>
    <col min="93" max="93" width="11.7109375" style="9" customWidth="1"/>
    <col min="94" max="94" width="10.7109375" customWidth="1"/>
    <col min="95" max="95" width="11.7109375" style="9" customWidth="1"/>
    <col min="96" max="96" width="10.7109375" customWidth="1"/>
    <col min="97" max="97" width="11.7109375" style="9" customWidth="1"/>
    <col min="98" max="98" width="10.7109375" customWidth="1"/>
    <col min="99" max="99" width="11.7109375" style="9" customWidth="1"/>
    <col min="100" max="100" width="10.7109375" customWidth="1"/>
    <col min="101" max="101" width="11.7109375" style="9" customWidth="1"/>
    <col min="102" max="102" width="10.7109375" customWidth="1"/>
    <col min="103" max="103" width="11.7109375" style="9" customWidth="1"/>
    <col min="104" max="104" width="10.7109375" customWidth="1"/>
    <col min="105" max="105" width="11.7109375" style="9" customWidth="1"/>
    <col min="106" max="106" width="10.7109375" customWidth="1"/>
    <col min="107" max="107" width="11.7109375" style="9" customWidth="1"/>
    <col min="108" max="108" width="10.7109375" customWidth="1"/>
    <col min="109" max="109" width="11.7109375" style="9" customWidth="1"/>
    <col min="110" max="110" width="10.7109375" customWidth="1"/>
    <col min="111" max="111" width="11.7109375" style="9" customWidth="1"/>
    <col min="112" max="112" width="10.7109375" customWidth="1"/>
    <col min="113" max="113" width="11.7109375" style="9" customWidth="1"/>
    <col min="114" max="114" width="10.7109375" customWidth="1"/>
    <col min="115" max="115" width="11.7109375" style="9" customWidth="1"/>
    <col min="116" max="116" width="10.7109375" customWidth="1"/>
    <col min="117" max="117" width="11.7109375" style="9" customWidth="1"/>
    <col min="118" max="118" width="10.7109375" customWidth="1"/>
    <col min="119" max="119" width="11.7109375" style="9" customWidth="1"/>
    <col min="120" max="120" width="10.7109375" customWidth="1"/>
    <col min="121" max="121" width="11.7109375" style="9" customWidth="1"/>
    <col min="122" max="122" width="10.7109375" customWidth="1"/>
    <col min="123" max="123" width="11.7109375" style="9" customWidth="1"/>
    <col min="124" max="124" width="10.7109375" customWidth="1"/>
    <col min="125" max="125" width="11.7109375" style="9" customWidth="1"/>
    <col min="126" max="126" width="10.7109375" customWidth="1"/>
    <col min="127" max="127" width="11.7109375" style="9" customWidth="1"/>
    <col min="128" max="128" width="10.7109375" customWidth="1"/>
    <col min="129" max="129" width="11.7109375" style="9" customWidth="1"/>
    <col min="130" max="130" width="10.7109375" customWidth="1"/>
    <col min="131" max="131" width="11.7109375" style="9" customWidth="1"/>
    <col min="132" max="132" width="10.7109375" customWidth="1"/>
    <col min="133" max="133" width="11.7109375" style="9" customWidth="1"/>
    <col min="134" max="134" width="10.7109375" customWidth="1"/>
    <col min="135" max="135" width="11.7109375" style="9" customWidth="1"/>
    <col min="136" max="136" width="10.7109375" customWidth="1"/>
    <col min="137" max="137" width="11.7109375" style="9" customWidth="1"/>
    <col min="138" max="138" width="10.7109375" customWidth="1"/>
    <col min="139" max="139" width="11.7109375" style="9" customWidth="1"/>
    <col min="140" max="140" width="10.7109375" customWidth="1"/>
    <col min="141" max="141" width="11.7109375" style="9" customWidth="1"/>
    <col min="142" max="142" width="10.7109375" customWidth="1"/>
    <col min="143" max="143" width="11.7109375" style="9" customWidth="1"/>
    <col min="144" max="144" width="10.7109375" customWidth="1"/>
    <col min="145" max="145" width="11.7109375" style="9" customWidth="1"/>
    <col min="146" max="146" width="10.7109375" customWidth="1"/>
    <col min="147" max="147" width="11.7109375" style="9" customWidth="1"/>
    <col min="148" max="148" width="10.7109375" customWidth="1"/>
    <col min="149" max="149" width="11.7109375" style="9" customWidth="1"/>
    <col min="150" max="150" width="10.7109375" customWidth="1"/>
    <col min="151" max="151" width="11.7109375" style="9" customWidth="1"/>
    <col min="152" max="152" width="10.7109375" customWidth="1"/>
    <col min="153" max="153" width="11.7109375" style="9" customWidth="1"/>
    <col min="154" max="154" width="10.7109375" customWidth="1"/>
    <col min="155" max="155" width="11.7109375" style="9" customWidth="1"/>
    <col min="156" max="156" width="10.7109375" customWidth="1"/>
    <col min="157" max="157" width="11.7109375" style="9" customWidth="1"/>
    <col min="158" max="158" width="10.7109375" customWidth="1"/>
    <col min="159" max="159" width="11.7109375" style="9" customWidth="1"/>
    <col min="160" max="160" width="10.7109375" customWidth="1"/>
    <col min="161" max="161" width="11.7109375" style="9" customWidth="1"/>
    <col min="162" max="162" width="10.7109375" customWidth="1"/>
    <col min="163" max="163" width="11.7109375" style="9" customWidth="1"/>
    <col min="164" max="164" width="10.7109375" customWidth="1"/>
    <col min="165" max="165" width="11.7109375" style="9" customWidth="1"/>
    <col min="166" max="166" width="10.7109375" customWidth="1"/>
    <col min="167" max="167" width="11.7109375" style="9" customWidth="1"/>
    <col min="168" max="168" width="10.7109375" customWidth="1"/>
    <col min="169" max="169" width="11.7109375" style="9" customWidth="1"/>
    <col min="170" max="170" width="10.7109375" customWidth="1"/>
    <col min="171" max="171" width="11.7109375" style="9" customWidth="1"/>
    <col min="172" max="172" width="10.7109375" customWidth="1"/>
    <col min="173" max="173" width="11.7109375" style="9" customWidth="1"/>
    <col min="174" max="174" width="10.7109375" customWidth="1"/>
    <col min="175" max="175" width="11.7109375" style="9" customWidth="1"/>
    <col min="176" max="176" width="10.7109375" customWidth="1"/>
    <col min="177" max="177" width="11.7109375" style="9" customWidth="1"/>
    <col min="178" max="178" width="10.7109375" customWidth="1"/>
    <col min="179" max="179" width="11.7109375" style="9" customWidth="1"/>
    <col min="180" max="180" width="10.7109375" customWidth="1"/>
    <col min="181" max="181" width="11.7109375" style="9" customWidth="1"/>
    <col min="182" max="182" width="10.7109375" customWidth="1"/>
    <col min="183" max="183" width="11.7109375" style="9" customWidth="1"/>
    <col min="184" max="184" width="10.7109375" customWidth="1"/>
    <col min="185" max="185" width="11.7109375" style="9" customWidth="1"/>
    <col min="186" max="186" width="10.7109375" customWidth="1"/>
    <col min="187" max="187" width="11.7109375" style="9" customWidth="1"/>
    <col min="188" max="188" width="10.7109375" customWidth="1"/>
    <col min="189" max="189" width="11.7109375" style="9" customWidth="1"/>
    <col min="190" max="190" width="10.7109375" customWidth="1"/>
    <col min="191" max="191" width="11.7109375" style="9" customWidth="1"/>
    <col min="192" max="192" width="10.7109375" customWidth="1"/>
    <col min="193" max="193" width="11.7109375" style="9" customWidth="1"/>
    <col min="194" max="194" width="10.7109375" customWidth="1"/>
    <col min="195" max="195" width="11.7109375" style="9" customWidth="1"/>
    <col min="196" max="196" width="10.7109375" customWidth="1"/>
    <col min="197" max="197" width="11.7109375" style="9" customWidth="1"/>
    <col min="198" max="198" width="10.7109375" customWidth="1"/>
    <col min="199" max="199" width="11.7109375" style="9" customWidth="1"/>
    <col min="200" max="200" width="10.7109375" customWidth="1"/>
    <col min="201" max="201" width="11.7109375" style="9" customWidth="1"/>
    <col min="202" max="202" width="10.7109375" customWidth="1"/>
    <col min="203" max="203" width="11.7109375" style="9" customWidth="1"/>
    <col min="204" max="204" width="10.7109375" customWidth="1"/>
    <col min="205" max="205" width="11.7109375" style="9" customWidth="1"/>
    <col min="206" max="206" width="10.7109375" customWidth="1"/>
    <col min="207" max="207" width="11.7109375" style="9" customWidth="1"/>
    <col min="208" max="208" width="10.7109375" customWidth="1"/>
    <col min="209" max="209" width="11.7109375" style="9" customWidth="1"/>
    <col min="210" max="210" width="10.7109375" customWidth="1"/>
    <col min="211" max="211" width="11.7109375" style="9" customWidth="1"/>
    <col min="212" max="212" width="10.7109375" customWidth="1"/>
    <col min="213" max="213" width="11.7109375" style="9" customWidth="1"/>
    <col min="214" max="214" width="10.7109375" customWidth="1"/>
    <col min="215" max="215" width="11.7109375" style="9" customWidth="1"/>
    <col min="216" max="216" width="10.7109375" customWidth="1"/>
    <col min="217" max="217" width="11.7109375" style="9" customWidth="1"/>
    <col min="218" max="218" width="10.7109375" customWidth="1"/>
    <col min="219" max="219" width="11.7109375" style="9" customWidth="1"/>
    <col min="220" max="220" width="10.7109375" customWidth="1"/>
    <col min="221" max="221" width="11.7109375" style="9" customWidth="1"/>
    <col min="222" max="222" width="10.7109375" customWidth="1"/>
    <col min="223" max="223" width="11.7109375" style="9" customWidth="1"/>
    <col min="224" max="224" width="10.7109375" customWidth="1"/>
    <col min="225" max="225" width="11.7109375" style="9" customWidth="1"/>
    <col min="226" max="226" width="10.7109375" customWidth="1"/>
    <col min="227" max="227" width="11.7109375" style="9" customWidth="1"/>
    <col min="228" max="228" width="10.7109375" customWidth="1"/>
    <col min="229" max="229" width="11.7109375" style="9" customWidth="1"/>
    <col min="230" max="230" width="10.7109375" customWidth="1"/>
    <col min="231" max="231" width="11.7109375" style="9" customWidth="1"/>
    <col min="232" max="232" width="10.7109375" customWidth="1"/>
    <col min="233" max="233" width="11.7109375" style="9" customWidth="1"/>
    <col min="234" max="234" width="10.7109375" customWidth="1"/>
    <col min="235" max="235" width="11.7109375" style="9" customWidth="1"/>
    <col min="236" max="236" width="10.7109375" customWidth="1"/>
    <col min="237" max="237" width="11.7109375" style="9" customWidth="1"/>
    <col min="238" max="238" width="10.7109375" customWidth="1"/>
    <col min="239" max="239" width="11.7109375" style="9" customWidth="1"/>
    <col min="240" max="240" width="10.7109375" customWidth="1"/>
    <col min="241" max="241" width="11.7109375" style="9" customWidth="1"/>
    <col min="242" max="242" width="10.7109375" customWidth="1"/>
    <col min="243" max="243" width="11.7109375" style="9" customWidth="1"/>
    <col min="244" max="244" width="10.7109375" customWidth="1"/>
    <col min="245" max="245" width="11.7109375" style="9" customWidth="1"/>
    <col min="246" max="246" width="10.7109375" customWidth="1"/>
    <col min="247" max="247" width="11.7109375" style="9" customWidth="1"/>
    <col min="248" max="248" width="10.7109375" customWidth="1"/>
    <col min="249" max="249" width="11.7109375" style="9" customWidth="1"/>
    <col min="250" max="250" width="10.7109375" customWidth="1"/>
    <col min="251" max="251" width="11.7109375" style="9" customWidth="1"/>
    <col min="252" max="252" width="10.7109375" customWidth="1"/>
    <col min="253" max="253" width="11.7109375" style="9" customWidth="1"/>
    <col min="254" max="254" width="10.7109375" customWidth="1"/>
    <col min="255" max="255" width="11.7109375" style="9" customWidth="1"/>
    <col min="256" max="256" width="10.7109375" customWidth="1"/>
    <col min="257" max="257" width="11.7109375" style="9" customWidth="1"/>
    <col min="258" max="258" width="10.7109375" customWidth="1"/>
    <col min="259" max="259" width="11.7109375" style="9" customWidth="1"/>
    <col min="260" max="260" width="10.7109375" customWidth="1"/>
    <col min="261" max="261" width="11.7109375" style="9" customWidth="1"/>
    <col min="262" max="262" width="10.7109375" customWidth="1"/>
    <col min="263" max="263" width="11.7109375" style="9" customWidth="1"/>
    <col min="264" max="264" width="10.7109375" customWidth="1"/>
    <col min="265" max="265" width="11.7109375" style="9" customWidth="1"/>
    <col min="266" max="266" width="10.7109375" customWidth="1"/>
    <col min="267" max="267" width="11.7109375" style="9" customWidth="1"/>
    <col min="268" max="268" width="10.7109375" customWidth="1"/>
    <col min="269" max="269" width="11.7109375" style="9" customWidth="1"/>
    <col min="270" max="270" width="10.7109375" customWidth="1"/>
    <col min="271" max="271" width="11.7109375" style="9" customWidth="1"/>
    <col min="272" max="272" width="10.7109375" customWidth="1"/>
    <col min="273" max="273" width="11.7109375" style="9" customWidth="1"/>
    <col min="274" max="274" width="10.7109375" customWidth="1"/>
    <col min="275" max="275" width="11.7109375" style="9" customWidth="1"/>
    <col min="276" max="276" width="10.7109375" customWidth="1"/>
    <col min="277" max="277" width="11.7109375" style="9" customWidth="1"/>
    <col min="278" max="278" width="10.7109375" customWidth="1"/>
    <col min="279" max="279" width="11.7109375" style="9" customWidth="1"/>
    <col min="280" max="280" width="10.7109375" customWidth="1"/>
    <col min="281" max="281" width="11.7109375" style="9" customWidth="1"/>
    <col min="282" max="282" width="10.7109375" customWidth="1"/>
    <col min="283" max="283" width="11.7109375" style="9" customWidth="1"/>
    <col min="284" max="284" width="10.7109375" customWidth="1"/>
    <col min="285" max="285" width="11.7109375" style="9" customWidth="1"/>
    <col min="286" max="286" width="10.7109375" customWidth="1"/>
    <col min="287" max="287" width="11.7109375" style="9" customWidth="1"/>
    <col min="288" max="288" width="10.7109375" customWidth="1"/>
    <col min="289" max="289" width="11.7109375" style="9" customWidth="1"/>
    <col min="290" max="290" width="10.7109375" customWidth="1"/>
    <col min="291" max="291" width="11.7109375" style="9" customWidth="1"/>
    <col min="292" max="292" width="10.7109375" customWidth="1"/>
    <col min="293" max="293" width="11.7109375" style="9" customWidth="1"/>
    <col min="294" max="294" width="10.7109375" customWidth="1"/>
    <col min="295" max="295" width="11.7109375" style="9" customWidth="1"/>
    <col min="296" max="296" width="10.7109375" customWidth="1"/>
    <col min="297" max="297" width="11.7109375" style="9" customWidth="1"/>
    <col min="298" max="298" width="10.7109375" customWidth="1"/>
    <col min="299" max="299" width="11.7109375" style="9" customWidth="1"/>
    <col min="300" max="300" width="10.7109375" customWidth="1"/>
    <col min="301" max="301" width="11.7109375" style="9" customWidth="1"/>
    <col min="302" max="302" width="10.7109375" customWidth="1"/>
    <col min="303" max="303" width="11.7109375" style="9" customWidth="1"/>
    <col min="304" max="304" width="10.7109375" customWidth="1"/>
    <col min="305" max="305" width="11.7109375" style="9" customWidth="1"/>
    <col min="306" max="306" width="10.7109375" customWidth="1"/>
    <col min="307" max="307" width="11.7109375" style="9" customWidth="1"/>
    <col min="308" max="308" width="10.7109375" customWidth="1"/>
    <col min="309" max="309" width="11.7109375" style="9" customWidth="1"/>
    <col min="310" max="310" width="10.7109375" customWidth="1"/>
    <col min="311" max="311" width="11.7109375" style="9" customWidth="1"/>
    <col min="312" max="312" width="10.7109375" customWidth="1"/>
    <col min="313" max="313" width="11.7109375" style="9" customWidth="1"/>
    <col min="314" max="314" width="10.7109375" customWidth="1"/>
    <col min="315" max="315" width="11.7109375" style="9" customWidth="1"/>
    <col min="316" max="316" width="10.7109375" customWidth="1"/>
    <col min="317" max="317" width="11.7109375" style="9" customWidth="1"/>
    <col min="318" max="318" width="10.7109375" customWidth="1"/>
    <col min="319" max="319" width="11.7109375" style="9" customWidth="1"/>
    <col min="320" max="320" width="10.7109375" customWidth="1"/>
    <col min="321" max="321" width="11.7109375" style="9" customWidth="1"/>
    <col min="322" max="322" width="10.7109375" customWidth="1"/>
    <col min="323" max="323" width="11.7109375" style="9" customWidth="1"/>
    <col min="324" max="324" width="10.7109375" customWidth="1"/>
    <col min="325" max="325" width="11.7109375" style="9" customWidth="1"/>
    <col min="326" max="326" width="10.7109375" customWidth="1"/>
    <col min="327" max="327" width="11.7109375" style="9" customWidth="1"/>
    <col min="328" max="328" width="10.7109375" customWidth="1"/>
    <col min="329" max="329" width="11.7109375" style="9" customWidth="1"/>
    <col min="330" max="330" width="10.7109375" customWidth="1"/>
    <col min="331" max="331" width="11.7109375" style="9" customWidth="1"/>
    <col min="332" max="332" width="10.7109375" customWidth="1"/>
    <col min="333" max="333" width="11.7109375" style="9" customWidth="1"/>
    <col min="334" max="334" width="10.7109375" customWidth="1"/>
    <col min="335" max="335" width="11.7109375" style="9" customWidth="1"/>
    <col min="336" max="336" width="10.7109375" customWidth="1"/>
    <col min="337" max="337" width="11.7109375" style="9" customWidth="1"/>
    <col min="338" max="338" width="10.7109375" customWidth="1"/>
    <col min="339" max="339" width="11.7109375" style="9" customWidth="1"/>
    <col min="340" max="340" width="10.7109375" customWidth="1"/>
    <col min="341" max="341" width="11.7109375" style="9" customWidth="1"/>
    <col min="342" max="342" width="10.7109375" customWidth="1"/>
    <col min="343" max="343" width="11.7109375" style="9" customWidth="1"/>
    <col min="344" max="344" width="10.7109375" customWidth="1"/>
    <col min="345" max="345" width="11.7109375" style="9" customWidth="1"/>
    <col min="346" max="346" width="10.7109375" customWidth="1"/>
    <col min="347" max="347" width="11.7109375" style="9" customWidth="1"/>
    <col min="348" max="348" width="10.7109375" customWidth="1"/>
    <col min="349" max="349" width="11.7109375" style="9" customWidth="1"/>
    <col min="350" max="350" width="10.7109375" customWidth="1"/>
    <col min="351" max="351" width="11.7109375" style="9" customWidth="1"/>
    <col min="352" max="352" width="10.7109375" customWidth="1"/>
    <col min="353" max="353" width="11.7109375" style="9" customWidth="1"/>
    <col min="354" max="354" width="10.7109375" customWidth="1"/>
    <col min="355" max="355" width="11.7109375" style="9" customWidth="1"/>
    <col min="356" max="356" width="10.7109375" customWidth="1"/>
    <col min="357" max="357" width="11.7109375" style="9" customWidth="1"/>
    <col min="358" max="358" width="10.7109375" customWidth="1"/>
    <col min="359" max="359" width="11.7109375" style="9" customWidth="1"/>
    <col min="360" max="360" width="10.7109375" customWidth="1"/>
    <col min="361" max="361" width="11.7109375" style="9" customWidth="1"/>
    <col min="362" max="362" width="10.7109375" customWidth="1"/>
    <col min="363" max="363" width="11.7109375" style="9" customWidth="1"/>
    <col min="364" max="364" width="10.7109375" customWidth="1"/>
    <col min="365" max="365" width="11.7109375" style="9" customWidth="1"/>
    <col min="366" max="366" width="10.7109375" customWidth="1"/>
    <col min="367" max="367" width="11.7109375" style="9" customWidth="1"/>
    <col min="368" max="368" width="10.7109375" customWidth="1"/>
    <col min="369" max="369" width="11.7109375" style="9" customWidth="1"/>
    <col min="370" max="370" width="10.7109375" customWidth="1"/>
    <col min="371" max="371" width="11.7109375" style="9" customWidth="1"/>
    <col min="372" max="372" width="10.7109375" customWidth="1"/>
    <col min="373" max="373" width="11.7109375" style="9" customWidth="1"/>
    <col min="374" max="374" width="10.7109375" customWidth="1"/>
    <col min="375" max="375" width="11.7109375" style="9" customWidth="1"/>
    <col min="376" max="376" width="10.7109375" customWidth="1"/>
    <col min="377" max="377" width="11.7109375" style="9" customWidth="1"/>
    <col min="378" max="378" width="10.7109375" customWidth="1"/>
    <col min="379" max="379" width="11.7109375" style="9" customWidth="1"/>
    <col min="380" max="380" width="10.7109375" customWidth="1"/>
    <col min="381" max="381" width="11.7109375" style="9" customWidth="1"/>
    <col min="382" max="382" width="10.7109375" customWidth="1"/>
    <col min="383" max="383" width="11.7109375" style="9" customWidth="1"/>
    <col min="384" max="384" width="10.7109375" customWidth="1"/>
    <col min="385" max="385" width="11.7109375" style="9" customWidth="1"/>
    <col min="386" max="386" width="10.7109375" customWidth="1"/>
    <col min="387" max="387" width="11.7109375" style="9" customWidth="1"/>
    <col min="388" max="388" width="10.7109375" customWidth="1"/>
    <col min="389" max="389" width="11.7109375" style="9" customWidth="1"/>
    <col min="390" max="390" width="10.7109375" customWidth="1"/>
    <col min="391" max="391" width="11.7109375" style="9" customWidth="1"/>
    <col min="392" max="392" width="10.7109375" customWidth="1"/>
    <col min="393" max="393" width="11.7109375" style="9" customWidth="1"/>
    <col min="394" max="394" width="10.7109375" customWidth="1"/>
    <col min="395" max="395" width="11.7109375" style="9" customWidth="1"/>
    <col min="396" max="396" width="10.7109375" customWidth="1"/>
    <col min="397" max="397" width="11.7109375" style="9" customWidth="1"/>
    <col min="398" max="398" width="10.7109375" customWidth="1"/>
    <col min="399" max="399" width="11.7109375" style="9" customWidth="1"/>
    <col min="400" max="400" width="10.7109375" customWidth="1"/>
    <col min="401" max="401" width="11.7109375" style="9" customWidth="1"/>
    <col min="402" max="402" width="10.7109375" customWidth="1"/>
    <col min="403" max="403" width="11.7109375" style="9" customWidth="1"/>
    <col min="404" max="404" width="10.7109375" customWidth="1"/>
    <col min="405" max="405" width="11.7109375" style="9" customWidth="1"/>
    <col min="406" max="406" width="10.7109375" customWidth="1"/>
    <col min="407" max="407" width="11.7109375" style="9" customWidth="1"/>
    <col min="408" max="408" width="10.7109375" customWidth="1"/>
    <col min="409" max="409" width="11.7109375" style="9" customWidth="1"/>
    <col min="410" max="410" width="10.7109375" customWidth="1"/>
    <col min="411" max="411" width="11.7109375" style="9" customWidth="1"/>
    <col min="412" max="412" width="10.7109375" customWidth="1"/>
    <col min="413" max="413" width="11.7109375" style="9" customWidth="1"/>
    <col min="414" max="414" width="10.7109375" customWidth="1"/>
    <col min="415" max="415" width="11.7109375" style="9" customWidth="1"/>
    <col min="416" max="416" width="10.7109375" customWidth="1"/>
    <col min="417" max="417" width="11.7109375" style="9" customWidth="1"/>
    <col min="418" max="418" width="10.7109375" customWidth="1"/>
    <col min="419" max="419" width="11.7109375" style="9" customWidth="1"/>
    <col min="420" max="420" width="10.7109375" customWidth="1"/>
    <col min="421" max="421" width="11.7109375" style="9" customWidth="1"/>
    <col min="422" max="422" width="10.7109375" customWidth="1"/>
    <col min="423" max="423" width="11.7109375" style="9" customWidth="1"/>
    <col min="424" max="424" width="10.7109375" customWidth="1"/>
    <col min="425" max="425" width="11.7109375" style="9" customWidth="1"/>
    <col min="426" max="426" width="10.7109375" customWidth="1"/>
    <col min="427" max="427" width="11.7109375" style="9" customWidth="1"/>
    <col min="428" max="428" width="10.7109375" customWidth="1"/>
    <col min="429" max="429" width="11.7109375" style="9" customWidth="1"/>
    <col min="430" max="430" width="10.7109375" customWidth="1"/>
    <col min="431" max="431" width="11.7109375" style="9" customWidth="1"/>
    <col min="432" max="432" width="10.7109375" customWidth="1"/>
    <col min="433" max="433" width="11.7109375" style="9" customWidth="1"/>
    <col min="434" max="434" width="10.7109375" customWidth="1"/>
    <col min="435" max="435" width="11.7109375" style="9" customWidth="1"/>
    <col min="436" max="436" width="10.7109375" customWidth="1"/>
    <col min="437" max="437" width="11.7109375" style="9" customWidth="1"/>
    <col min="438" max="438" width="10.7109375" customWidth="1"/>
    <col min="439" max="439" width="11.7109375" style="9" customWidth="1"/>
    <col min="440" max="440" width="10.7109375" customWidth="1"/>
    <col min="441" max="441" width="11.7109375" style="9" customWidth="1"/>
    <col min="442" max="442" width="10.7109375" customWidth="1"/>
    <col min="443" max="443" width="11.7109375" style="9" customWidth="1"/>
    <col min="444" max="444" width="10.7109375" customWidth="1"/>
    <col min="445" max="445" width="11.7109375" style="9" customWidth="1"/>
    <col min="446" max="446" width="10.7109375" customWidth="1"/>
    <col min="447" max="447" width="11.7109375" style="9" customWidth="1"/>
    <col min="448" max="448" width="10.7109375" customWidth="1"/>
    <col min="449" max="449" width="11.7109375" style="9" customWidth="1"/>
    <col min="450" max="450" width="10.7109375" customWidth="1"/>
    <col min="451" max="451" width="11.7109375" style="9" customWidth="1"/>
    <col min="452" max="452" width="10.7109375" customWidth="1"/>
    <col min="453" max="453" width="11.7109375" style="9" customWidth="1"/>
    <col min="454" max="454" width="10.7109375" customWidth="1"/>
    <col min="455" max="455" width="11.7109375" style="9" customWidth="1"/>
    <col min="456" max="456" width="10.7109375" customWidth="1"/>
    <col min="457" max="457" width="11.7109375" style="9" customWidth="1"/>
    <col min="458" max="458" width="10.7109375" customWidth="1"/>
    <col min="459" max="459" width="11.7109375" style="9" customWidth="1"/>
    <col min="460" max="460" width="10.7109375" customWidth="1"/>
    <col min="461" max="461" width="11.7109375" style="9" customWidth="1"/>
    <col min="462" max="462" width="10.7109375" customWidth="1"/>
    <col min="463" max="463" width="11.7109375" style="9" customWidth="1"/>
    <col min="464" max="464" width="10.7109375" customWidth="1"/>
    <col min="465" max="465" width="11.7109375" style="9" customWidth="1"/>
    <col min="466" max="466" width="10.7109375" customWidth="1"/>
    <col min="467" max="467" width="11.7109375" style="9" customWidth="1"/>
    <col min="468" max="468" width="10.7109375" customWidth="1"/>
    <col min="469" max="469" width="11.7109375" style="9" customWidth="1"/>
    <col min="470" max="470" width="10.7109375" customWidth="1"/>
    <col min="471" max="471" width="11.7109375" style="9" customWidth="1"/>
    <col min="472" max="472" width="10.7109375" customWidth="1"/>
    <col min="473" max="473" width="11.7109375" style="9" customWidth="1"/>
    <col min="474" max="474" width="10.7109375" customWidth="1"/>
    <col min="475" max="475" width="11.7109375" style="9" customWidth="1"/>
    <col min="476" max="476" width="10.7109375" customWidth="1"/>
    <col min="477" max="477" width="11.7109375" style="9" customWidth="1"/>
    <col min="478" max="478" width="10.7109375" customWidth="1"/>
    <col min="479" max="479" width="11.7109375" style="9" customWidth="1"/>
    <col min="480" max="480" width="10.7109375" customWidth="1"/>
    <col min="481" max="481" width="11.7109375" style="9" customWidth="1"/>
    <col min="482" max="482" width="10.7109375" customWidth="1"/>
    <col min="483" max="483" width="11.7109375" style="9" customWidth="1"/>
    <col min="484" max="484" width="10.7109375" customWidth="1"/>
    <col min="485" max="485" width="11.7109375" style="9" customWidth="1"/>
    <col min="486" max="486" width="10.7109375" customWidth="1"/>
    <col min="487" max="487" width="11.7109375" style="9" customWidth="1"/>
    <col min="488" max="488" width="10.7109375" customWidth="1"/>
    <col min="489" max="489" width="11.7109375" style="9" customWidth="1"/>
    <col min="490" max="490" width="10.7109375" customWidth="1"/>
    <col min="491" max="491" width="11.7109375" style="9" customWidth="1"/>
    <col min="492" max="492" width="10.7109375" customWidth="1"/>
    <col min="493" max="493" width="11.7109375" style="9" customWidth="1"/>
    <col min="494" max="494" width="10.7109375" customWidth="1"/>
    <col min="495" max="495" width="11.7109375" style="9" customWidth="1"/>
    <col min="496" max="496" width="10.7109375" customWidth="1"/>
    <col min="497" max="497" width="11.7109375" style="9" customWidth="1"/>
    <col min="498" max="498" width="10.7109375" customWidth="1"/>
    <col min="499" max="499" width="11.7109375" style="9" customWidth="1"/>
    <col min="500" max="500" width="10.7109375" customWidth="1"/>
    <col min="501" max="501" width="11.7109375" style="9" customWidth="1"/>
    <col min="502" max="502" width="10.7109375" customWidth="1"/>
    <col min="503" max="503" width="11.7109375" style="9" customWidth="1"/>
    <col min="504" max="504" width="10.7109375" customWidth="1"/>
    <col min="505" max="505" width="11.7109375" style="9" customWidth="1"/>
    <col min="506" max="506" width="10.7109375" customWidth="1"/>
    <col min="507" max="507" width="11.7109375" style="9" customWidth="1"/>
    <col min="508" max="508" width="10.7109375" customWidth="1"/>
    <col min="509" max="509" width="11.7109375" style="9" customWidth="1"/>
    <col min="510" max="510" width="10.7109375" customWidth="1"/>
    <col min="511" max="511" width="11.7109375" style="9" customWidth="1"/>
    <col min="512" max="512" width="10.7109375" customWidth="1"/>
    <col min="513" max="513" width="11.7109375" style="9" customWidth="1"/>
    <col min="514" max="514" width="10.7109375" customWidth="1"/>
    <col min="515" max="515" width="11.7109375" style="9" customWidth="1"/>
    <col min="516" max="516" width="10.7109375" customWidth="1"/>
    <col min="517" max="517" width="11.7109375" style="9" customWidth="1"/>
    <col min="518" max="518" width="10.7109375" customWidth="1"/>
    <col min="519" max="519" width="11.7109375" style="9" customWidth="1"/>
    <col min="520" max="520" width="10.7109375" customWidth="1"/>
    <col min="521" max="521" width="11.7109375" style="9" customWidth="1"/>
    <col min="522" max="522" width="10.7109375" customWidth="1"/>
    <col min="523" max="523" width="11.7109375" style="9" customWidth="1"/>
    <col min="524" max="524" width="10.7109375" customWidth="1"/>
    <col min="525" max="525" width="11.7109375" style="9" customWidth="1"/>
    <col min="526" max="526" width="10.7109375" customWidth="1"/>
    <col min="527" max="527" width="11.7109375" style="9" customWidth="1"/>
    <col min="528" max="528" width="10.7109375" customWidth="1"/>
    <col min="529" max="529" width="11.7109375" style="9" customWidth="1"/>
    <col min="530" max="530" width="10.7109375" customWidth="1"/>
    <col min="531" max="531" width="11.7109375" style="9" customWidth="1"/>
    <col min="532" max="532" width="10.7109375" customWidth="1"/>
    <col min="533" max="533" width="11.7109375" style="9" customWidth="1"/>
    <col min="534" max="534" width="10.7109375" customWidth="1"/>
    <col min="535" max="535" width="11.7109375" style="9" customWidth="1"/>
    <col min="536" max="536" width="10.7109375" customWidth="1"/>
    <col min="537" max="537" width="11.7109375" style="9" customWidth="1"/>
    <col min="538" max="538" width="10.7109375" customWidth="1"/>
    <col min="539" max="539" width="11.7109375" style="9" customWidth="1"/>
    <col min="540" max="540" width="10.7109375" customWidth="1"/>
    <col min="541" max="541" width="11.7109375" style="9" customWidth="1"/>
    <col min="542" max="542" width="10.7109375" customWidth="1"/>
    <col min="543" max="543" width="11.7109375" style="9" customWidth="1"/>
    <col min="544" max="544" width="10.7109375" customWidth="1"/>
    <col min="545" max="545" width="11.7109375" style="9" customWidth="1"/>
    <col min="546" max="546" width="10.7109375" customWidth="1"/>
    <col min="547" max="547" width="11.7109375" style="9" customWidth="1"/>
    <col min="548" max="548" width="10.7109375" customWidth="1"/>
    <col min="549" max="549" width="11.7109375" style="9" customWidth="1"/>
    <col min="550" max="550" width="10.7109375" customWidth="1"/>
    <col min="551" max="551" width="11.7109375" style="9" customWidth="1"/>
    <col min="552" max="552" width="10.7109375" customWidth="1"/>
    <col min="553" max="553" width="11.7109375" style="9" customWidth="1"/>
    <col min="554" max="554" width="10.7109375" customWidth="1"/>
    <col min="555" max="555" width="11.7109375" style="9" customWidth="1"/>
    <col min="556" max="556" width="10.7109375" customWidth="1"/>
    <col min="557" max="557" width="11.7109375" style="9" customWidth="1"/>
    <col min="558" max="558" width="10.7109375" customWidth="1"/>
    <col min="559" max="559" width="11.7109375" style="9" customWidth="1"/>
    <col min="560" max="560" width="10.7109375" customWidth="1"/>
    <col min="561" max="561" width="11.7109375" style="9" customWidth="1"/>
    <col min="562" max="562" width="10.7109375" customWidth="1"/>
    <col min="563" max="563" width="11.7109375" style="9" customWidth="1"/>
    <col min="564" max="564" width="10.7109375" customWidth="1"/>
    <col min="565" max="565" width="11.7109375" style="9" customWidth="1"/>
    <col min="566" max="566" width="10.7109375" customWidth="1"/>
    <col min="567" max="567" width="11.7109375" style="9" customWidth="1"/>
    <col min="568" max="568" width="10.7109375" customWidth="1"/>
    <col min="569" max="569" width="11.7109375" style="9" customWidth="1"/>
    <col min="570" max="570" width="10.7109375" customWidth="1"/>
    <col min="571" max="571" width="11.7109375" style="9" customWidth="1"/>
    <col min="572" max="572" width="10.7109375" customWidth="1"/>
    <col min="573" max="573" width="11.7109375" style="9" customWidth="1"/>
    <col min="574" max="574" width="10.7109375" customWidth="1"/>
    <col min="575" max="575" width="11.7109375" style="9" customWidth="1"/>
    <col min="576" max="576" width="10.7109375" customWidth="1"/>
    <col min="577" max="577" width="11.7109375" style="9" customWidth="1"/>
    <col min="578" max="578" width="10.7109375" customWidth="1"/>
    <col min="579" max="579" width="11.7109375" style="9" customWidth="1"/>
    <col min="580" max="580" width="10.7109375" customWidth="1"/>
    <col min="581" max="581" width="11.7109375" style="9" customWidth="1"/>
    <col min="582" max="582" width="10.7109375" customWidth="1"/>
    <col min="583" max="583" width="11.7109375" style="9" customWidth="1"/>
    <col min="584" max="584" width="10.7109375" customWidth="1"/>
    <col min="585" max="585" width="11.7109375" style="9" customWidth="1"/>
    <col min="586" max="586" width="10.7109375" customWidth="1"/>
    <col min="587" max="587" width="11.7109375" style="9" customWidth="1"/>
    <col min="588" max="588" width="10.7109375" customWidth="1"/>
    <col min="589" max="589" width="11.7109375" style="9" customWidth="1"/>
    <col min="590" max="590" width="10.7109375" customWidth="1"/>
    <col min="591" max="591" width="11.7109375" style="9" customWidth="1"/>
    <col min="592" max="592" width="10.7109375" customWidth="1"/>
    <col min="593" max="593" width="11.7109375" style="9" customWidth="1"/>
    <col min="594" max="594" width="10.7109375" customWidth="1"/>
    <col min="595" max="595" width="11.7109375" style="9" customWidth="1"/>
    <col min="596" max="596" width="10.7109375" customWidth="1"/>
    <col min="597" max="597" width="11.7109375" style="9" customWidth="1"/>
    <col min="598" max="598" width="10.7109375" customWidth="1"/>
    <col min="599" max="599" width="11.7109375" style="9" customWidth="1"/>
    <col min="600" max="600" width="10.7109375" customWidth="1"/>
    <col min="601" max="601" width="11.7109375" style="9" customWidth="1"/>
    <col min="602" max="602" width="10.7109375" customWidth="1"/>
    <col min="603" max="603" width="11.7109375" style="9" customWidth="1"/>
    <col min="604" max="604" width="10.7109375" customWidth="1"/>
    <col min="605" max="605" width="11.7109375" style="9" customWidth="1"/>
    <col min="606" max="606" width="10.7109375" customWidth="1"/>
    <col min="607" max="607" width="11.7109375" style="9" customWidth="1"/>
    <col min="608" max="608" width="10.7109375" customWidth="1"/>
    <col min="609" max="609" width="11.7109375" style="9" customWidth="1"/>
    <col min="610" max="610" width="10.7109375" customWidth="1"/>
    <col min="611" max="611" width="11.7109375" style="9" customWidth="1"/>
    <col min="612" max="612" width="10.7109375" customWidth="1"/>
    <col min="613" max="613" width="11.7109375" style="9" customWidth="1"/>
    <col min="614" max="614" width="10.7109375" customWidth="1"/>
    <col min="615" max="615" width="11.7109375" style="9" customWidth="1"/>
    <col min="616" max="616" width="10.7109375" customWidth="1"/>
    <col min="617" max="617" width="11.7109375" style="9" customWidth="1"/>
    <col min="618" max="618" width="10.7109375" customWidth="1"/>
    <col min="619" max="619" width="11.7109375" style="9" customWidth="1"/>
    <col min="620" max="620" width="10.7109375" customWidth="1"/>
    <col min="621" max="621" width="11.7109375" style="9" customWidth="1"/>
    <col min="622" max="622" width="10.7109375" customWidth="1"/>
    <col min="623" max="623" width="11.7109375" style="9" customWidth="1"/>
    <col min="624" max="624" width="10.7109375" customWidth="1"/>
    <col min="625" max="625" width="11.7109375" style="9" customWidth="1"/>
    <col min="626" max="626" width="10.7109375" customWidth="1"/>
    <col min="627" max="627" width="11.7109375" style="9" customWidth="1"/>
    <col min="628" max="628" width="10.7109375" customWidth="1"/>
    <col min="629" max="629" width="11.7109375" style="9" customWidth="1"/>
    <col min="630" max="630" width="10.7109375" customWidth="1"/>
    <col min="631" max="631" width="11.7109375" style="9" customWidth="1"/>
    <col min="632" max="632" width="10.7109375" customWidth="1"/>
    <col min="633" max="633" width="11.7109375" style="9" customWidth="1"/>
    <col min="634" max="634" width="10.7109375" customWidth="1"/>
    <col min="635" max="635" width="11.7109375" style="9" customWidth="1"/>
    <col min="636" max="636" width="10.7109375" customWidth="1"/>
    <col min="637" max="637" width="11.7109375" style="9" customWidth="1"/>
    <col min="638" max="638" width="10.7109375" customWidth="1"/>
    <col min="639" max="639" width="11.7109375" style="9" customWidth="1"/>
    <col min="640" max="640" width="10.7109375" customWidth="1"/>
    <col min="641" max="641" width="11.7109375" style="9" customWidth="1"/>
    <col min="642" max="642" width="10.7109375" customWidth="1"/>
    <col min="643" max="643" width="11.7109375" style="9" customWidth="1"/>
    <col min="644" max="644" width="10.7109375" customWidth="1"/>
    <col min="645" max="645" width="11.7109375" style="9" customWidth="1"/>
    <col min="646" max="646" width="10.7109375" customWidth="1"/>
    <col min="647" max="647" width="11.7109375" style="9" customWidth="1"/>
    <col min="648" max="648" width="10.7109375" customWidth="1"/>
    <col min="649" max="649" width="11.7109375" style="9" customWidth="1"/>
    <col min="650" max="650" width="10.7109375" customWidth="1"/>
    <col min="651" max="651" width="11.7109375" style="9" customWidth="1"/>
    <col min="652" max="652" width="10.7109375" customWidth="1"/>
    <col min="653" max="653" width="11.7109375" style="9" customWidth="1"/>
    <col min="654" max="654" width="10.7109375" customWidth="1"/>
    <col min="655" max="655" width="11.7109375" style="9" customWidth="1"/>
    <col min="656" max="656" width="10.7109375" customWidth="1"/>
    <col min="657" max="657" width="11.7109375" style="9" customWidth="1"/>
    <col min="658" max="658" width="10.7109375" customWidth="1"/>
    <col min="659" max="659" width="11.7109375" style="9" customWidth="1"/>
    <col min="660" max="660" width="10.7109375" customWidth="1"/>
    <col min="661" max="661" width="11.7109375" style="9" customWidth="1"/>
    <col min="662" max="662" width="10.7109375" customWidth="1"/>
    <col min="663" max="663" width="11.7109375" style="9" customWidth="1"/>
    <col min="664" max="664" width="10.7109375" customWidth="1"/>
    <col min="665" max="665" width="11.7109375" style="9" customWidth="1"/>
    <col min="666" max="666" width="10.7109375" customWidth="1"/>
    <col min="667" max="667" width="11.7109375" style="9" customWidth="1"/>
    <col min="668" max="668" width="10.7109375" customWidth="1"/>
    <col min="669" max="669" width="11.7109375" style="9" customWidth="1"/>
    <col min="670" max="670" width="10.7109375" customWidth="1"/>
    <col min="671" max="671" width="11.7109375" style="9" customWidth="1"/>
    <col min="672" max="672" width="10.7109375" customWidth="1"/>
    <col min="673" max="673" width="11.7109375" style="9" customWidth="1"/>
    <col min="674" max="674" width="10.7109375" customWidth="1"/>
    <col min="675" max="675" width="11.7109375" style="9" customWidth="1"/>
    <col min="676" max="676" width="10.7109375" customWidth="1"/>
    <col min="677" max="677" width="11.7109375" style="9" customWidth="1"/>
    <col min="678" max="678" width="10.7109375" customWidth="1"/>
    <col min="679" max="679" width="11.7109375" style="9" customWidth="1"/>
    <col min="680" max="680" width="10.7109375" customWidth="1"/>
    <col min="681" max="681" width="11.7109375" style="9" customWidth="1"/>
    <col min="682" max="682" width="10.7109375" customWidth="1"/>
    <col min="683" max="683" width="11.7109375" style="9" customWidth="1"/>
    <col min="684" max="684" width="10.7109375" customWidth="1"/>
    <col min="685" max="685" width="11.7109375" style="9" customWidth="1"/>
    <col min="686" max="686" width="10.7109375" customWidth="1"/>
    <col min="687" max="687" width="11.7109375" style="9" customWidth="1"/>
    <col min="688" max="688" width="10.7109375" customWidth="1"/>
    <col min="689" max="689" width="11.7109375" style="9" customWidth="1"/>
    <col min="690" max="690" width="10.7109375" customWidth="1"/>
    <col min="691" max="691" width="11.7109375" style="9" customWidth="1"/>
    <col min="692" max="692" width="10.7109375" customWidth="1"/>
    <col min="693" max="693" width="11.7109375" style="9" customWidth="1"/>
    <col min="694" max="694" width="10.7109375" customWidth="1"/>
    <col min="695" max="695" width="11.7109375" style="9" customWidth="1"/>
    <col min="696" max="696" width="10.7109375" customWidth="1"/>
    <col min="697" max="697" width="11.7109375" style="9" customWidth="1"/>
    <col min="698" max="698" width="10.7109375" customWidth="1"/>
    <col min="699" max="699" width="11.7109375" style="9" customWidth="1"/>
    <col min="700" max="700" width="10.7109375" customWidth="1"/>
    <col min="701" max="701" width="11.7109375" style="9" customWidth="1"/>
    <col min="702" max="702" width="10.7109375" customWidth="1"/>
    <col min="703" max="703" width="11.7109375" style="9" customWidth="1"/>
    <col min="704" max="704" width="10.7109375" customWidth="1"/>
    <col min="705" max="705" width="11.7109375" style="9" customWidth="1"/>
    <col min="706" max="706" width="10.7109375" customWidth="1"/>
    <col min="707" max="707" width="11.7109375" style="9" customWidth="1"/>
    <col min="708" max="708" width="10.7109375" customWidth="1"/>
    <col min="709" max="709" width="11.7109375" style="9" customWidth="1"/>
    <col min="710" max="710" width="10.7109375" customWidth="1"/>
    <col min="711" max="711" width="11.7109375" style="9" customWidth="1"/>
    <col min="712" max="712" width="10.7109375" customWidth="1"/>
    <col min="713" max="713" width="11.7109375" style="9" customWidth="1"/>
    <col min="714" max="714" width="10.7109375" customWidth="1"/>
    <col min="715" max="715" width="11.7109375" style="9" customWidth="1"/>
    <col min="716" max="716" width="10.7109375" customWidth="1"/>
    <col min="717" max="717" width="11.7109375" style="9" customWidth="1"/>
    <col min="718" max="718" width="10.7109375" customWidth="1"/>
    <col min="719" max="719" width="11.7109375" style="9" customWidth="1"/>
    <col min="720" max="720" width="10.7109375" customWidth="1"/>
    <col min="721" max="721" width="11.7109375" style="9" customWidth="1"/>
    <col min="722" max="722" width="10.7109375" customWidth="1"/>
    <col min="723" max="723" width="11.7109375" style="9" customWidth="1"/>
    <col min="724" max="724" width="10.7109375" customWidth="1"/>
    <col min="725" max="725" width="11.7109375" style="9" customWidth="1"/>
    <col min="726" max="726" width="10.7109375" customWidth="1"/>
    <col min="727" max="727" width="11.7109375" style="9" customWidth="1"/>
    <col min="728" max="728" width="10.7109375" customWidth="1"/>
    <col min="729" max="729" width="11.7109375" style="9" customWidth="1"/>
    <col min="730" max="730" width="10.7109375" customWidth="1"/>
    <col min="731" max="731" width="11.7109375" style="9" customWidth="1"/>
    <col min="732" max="732" width="10.7109375" customWidth="1"/>
    <col min="733" max="733" width="11.7109375" style="9" customWidth="1"/>
    <col min="734" max="734" width="10.7109375" customWidth="1"/>
    <col min="735" max="735" width="11.7109375" style="9" customWidth="1"/>
    <col min="736" max="736" width="10.7109375" customWidth="1"/>
    <col min="737" max="737" width="11.7109375" style="9" customWidth="1"/>
    <col min="738" max="738" width="10.7109375" customWidth="1"/>
    <col min="739" max="739" width="11.7109375" style="9" customWidth="1"/>
    <col min="740" max="740" width="10.7109375" customWidth="1"/>
    <col min="741" max="741" width="11.7109375" style="9" customWidth="1"/>
    <col min="742" max="742" width="10.7109375" customWidth="1"/>
    <col min="743" max="743" width="11.7109375" style="9" customWidth="1"/>
    <col min="744" max="744" width="10.7109375" customWidth="1"/>
    <col min="745" max="745" width="11.7109375" style="9" customWidth="1"/>
    <col min="746" max="746" width="10.7109375" customWidth="1"/>
    <col min="747" max="747" width="11.7109375" style="9" customWidth="1"/>
    <col min="748" max="748" width="10.7109375" customWidth="1"/>
    <col min="749" max="749" width="11.7109375" style="9" customWidth="1"/>
    <col min="750" max="750" width="10.7109375" customWidth="1"/>
    <col min="751" max="751" width="11.7109375" style="9" customWidth="1"/>
    <col min="752" max="752" width="10.7109375" customWidth="1"/>
    <col min="753" max="753" width="11.7109375" style="9" customWidth="1"/>
    <col min="754" max="754" width="10.7109375" customWidth="1"/>
    <col min="755" max="755" width="11.7109375" style="9" customWidth="1"/>
    <col min="756" max="756" width="10.7109375" customWidth="1"/>
    <col min="757" max="757" width="11.7109375" style="9" customWidth="1"/>
    <col min="758" max="758" width="10.7109375" customWidth="1"/>
    <col min="759" max="759" width="11.7109375" style="9" customWidth="1"/>
    <col min="760" max="760" width="10.7109375" customWidth="1"/>
    <col min="761" max="761" width="11.7109375" style="9" customWidth="1"/>
    <col min="762" max="762" width="10.7109375" customWidth="1"/>
    <col min="763" max="763" width="11.7109375" style="9" customWidth="1"/>
    <col min="764" max="764" width="10.7109375" customWidth="1"/>
    <col min="765" max="765" width="11.7109375" style="9" customWidth="1"/>
    <col min="766" max="766" width="10.7109375" customWidth="1"/>
    <col min="767" max="767" width="11.7109375" style="9" customWidth="1"/>
    <col min="768" max="768" width="10.7109375" customWidth="1"/>
    <col min="769" max="769" width="11.7109375" style="9" customWidth="1"/>
    <col min="770" max="770" width="10.7109375" customWidth="1"/>
    <col min="771" max="771" width="11.7109375" style="9" customWidth="1"/>
    <col min="772" max="772" width="10.7109375" customWidth="1"/>
    <col min="773" max="773" width="11.7109375" style="9" customWidth="1"/>
    <col min="774" max="774" width="10.7109375" customWidth="1"/>
    <col min="775" max="775" width="11.7109375" style="9" customWidth="1"/>
    <col min="776" max="776" width="10.7109375" customWidth="1"/>
    <col min="777" max="777" width="11.7109375" style="9" customWidth="1"/>
    <col min="778" max="778" width="10.7109375" customWidth="1"/>
    <col min="779" max="779" width="11.7109375" style="9" customWidth="1"/>
    <col min="780" max="780" width="10.7109375" customWidth="1"/>
    <col min="781" max="781" width="11.7109375" style="9" customWidth="1"/>
    <col min="782" max="782" width="10.7109375" customWidth="1"/>
    <col min="783" max="783" width="11.7109375" style="9" customWidth="1"/>
    <col min="784" max="784" width="10.7109375" customWidth="1"/>
    <col min="785" max="785" width="11.7109375" style="9" customWidth="1"/>
    <col min="786" max="786" width="10.7109375" customWidth="1"/>
    <col min="787" max="787" width="11.7109375" style="9" customWidth="1"/>
    <col min="788" max="788" width="10.7109375" customWidth="1"/>
    <col min="789" max="789" width="11.7109375" style="9" customWidth="1"/>
    <col min="790" max="790" width="10.7109375" customWidth="1"/>
    <col min="791" max="791" width="11.7109375" style="9" customWidth="1"/>
    <col min="792" max="792" width="10.7109375" customWidth="1"/>
    <col min="793" max="793" width="11.7109375" style="9" customWidth="1"/>
    <col min="794" max="794" width="10.7109375" customWidth="1"/>
    <col min="795" max="795" width="11.7109375" style="9" customWidth="1"/>
    <col min="796" max="796" width="10.7109375" customWidth="1"/>
    <col min="797" max="797" width="11.7109375" style="9" customWidth="1"/>
    <col min="798" max="798" width="10.7109375" customWidth="1"/>
    <col min="799" max="799" width="11.7109375" style="9" customWidth="1"/>
    <col min="800" max="800" width="10.7109375" customWidth="1"/>
    <col min="801" max="801" width="11.7109375" style="9" customWidth="1"/>
    <col min="802" max="802" width="10.7109375" customWidth="1"/>
    <col min="803" max="803" width="11.7109375" style="9" customWidth="1"/>
    <col min="804" max="804" width="10.7109375" customWidth="1"/>
    <col min="805" max="805" width="11.7109375" style="9" customWidth="1"/>
    <col min="806" max="806" width="10.7109375" customWidth="1"/>
    <col min="807" max="807" width="11.7109375" style="9" customWidth="1"/>
    <col min="808" max="808" width="10.7109375" customWidth="1"/>
    <col min="809" max="809" width="11.7109375" style="9" customWidth="1"/>
    <col min="810" max="810" width="10.7109375" customWidth="1"/>
    <col min="811" max="811" width="11.7109375" style="9" customWidth="1"/>
    <col min="812" max="812" width="10.7109375" customWidth="1"/>
    <col min="813" max="813" width="11.7109375" style="9" customWidth="1"/>
    <col min="814" max="814" width="10.7109375" customWidth="1"/>
    <col min="815" max="815" width="11.7109375" style="9" customWidth="1"/>
    <col min="816" max="816" width="10.7109375" customWidth="1"/>
    <col min="817" max="817" width="11.7109375" style="9" customWidth="1"/>
    <col min="818" max="818" width="10.7109375" customWidth="1"/>
    <col min="819" max="819" width="11.7109375" style="9" customWidth="1"/>
    <col min="820" max="820" width="10.7109375" customWidth="1"/>
    <col min="821" max="821" width="11.7109375" style="9" customWidth="1"/>
    <col min="822" max="822" width="10.7109375" customWidth="1"/>
    <col min="823" max="823" width="11.7109375" style="9" customWidth="1"/>
    <col min="824" max="824" width="10.7109375" customWidth="1"/>
    <col min="825" max="825" width="11.7109375" style="9" customWidth="1"/>
    <col min="826" max="826" width="10.7109375" customWidth="1"/>
    <col min="827" max="827" width="11.7109375" style="9" customWidth="1"/>
    <col min="828" max="828" width="10.7109375" customWidth="1"/>
    <col min="829" max="829" width="11.7109375" style="9" customWidth="1"/>
    <col min="830" max="830" width="10.7109375" customWidth="1"/>
    <col min="831" max="831" width="11.7109375" style="9" customWidth="1"/>
    <col min="832" max="832" width="10.7109375" customWidth="1"/>
    <col min="833" max="833" width="11.7109375" style="9" customWidth="1"/>
    <col min="834" max="834" width="10.7109375" customWidth="1"/>
    <col min="835" max="835" width="11.7109375" style="9" customWidth="1"/>
    <col min="836" max="836" width="10.7109375" customWidth="1"/>
    <col min="837" max="837" width="11.7109375" style="9" customWidth="1"/>
    <col min="838" max="838" width="10.7109375" customWidth="1"/>
    <col min="839" max="839" width="11.7109375" style="9" customWidth="1"/>
    <col min="840" max="840" width="10.7109375" customWidth="1"/>
    <col min="841" max="841" width="11.7109375" style="9" customWidth="1"/>
    <col min="842" max="842" width="10.7109375" customWidth="1"/>
    <col min="843" max="843" width="11.7109375" style="9" customWidth="1"/>
    <col min="844" max="844" width="10.7109375" customWidth="1"/>
    <col min="845" max="845" width="11.7109375" style="9" customWidth="1"/>
    <col min="846" max="846" width="10.7109375" customWidth="1"/>
    <col min="847" max="847" width="11.7109375" style="9" customWidth="1"/>
    <col min="848" max="848" width="10.7109375" customWidth="1"/>
    <col min="849" max="849" width="11.7109375" style="9" customWidth="1"/>
    <col min="850" max="850" width="10.7109375" customWidth="1"/>
    <col min="851" max="851" width="11.7109375" style="9" customWidth="1"/>
    <col min="852" max="852" width="10.7109375" customWidth="1"/>
    <col min="853" max="853" width="11.7109375" style="9" customWidth="1"/>
    <col min="854" max="854" width="10.7109375" customWidth="1"/>
    <col min="855" max="855" width="11.7109375" style="9" customWidth="1"/>
    <col min="856" max="856" width="10.7109375" customWidth="1"/>
    <col min="857" max="857" width="11.7109375" style="9" customWidth="1"/>
    <col min="858" max="858" width="10.7109375" customWidth="1"/>
    <col min="859" max="859" width="11.7109375" style="9" customWidth="1"/>
    <col min="860" max="860" width="10.7109375" customWidth="1"/>
    <col min="861" max="861" width="11.7109375" style="9" customWidth="1"/>
    <col min="862" max="862" width="10.7109375" customWidth="1"/>
    <col min="863" max="863" width="11.7109375" style="9" customWidth="1"/>
    <col min="864" max="864" width="10.7109375" customWidth="1"/>
    <col min="865" max="865" width="11.7109375" style="9" customWidth="1"/>
    <col min="866" max="866" width="10.7109375" customWidth="1"/>
    <col min="867" max="867" width="11.7109375" style="9" customWidth="1"/>
    <col min="868" max="868" width="10.7109375" customWidth="1"/>
    <col min="869" max="869" width="11.7109375" style="9" customWidth="1"/>
    <col min="870" max="870" width="10.7109375" customWidth="1"/>
    <col min="871" max="871" width="11.7109375" style="9" customWidth="1"/>
    <col min="872" max="872" width="10.7109375" customWidth="1"/>
    <col min="873" max="873" width="11.7109375" style="9" customWidth="1"/>
    <col min="874" max="874" width="10.7109375" customWidth="1"/>
    <col min="875" max="875" width="11.7109375" style="9" customWidth="1"/>
    <col min="876" max="876" width="10.7109375" customWidth="1"/>
    <col min="877" max="877" width="11.7109375" style="9" customWidth="1"/>
    <col min="878" max="878" width="10.7109375" customWidth="1"/>
    <col min="879" max="879" width="11.7109375" style="9" customWidth="1"/>
    <col min="880" max="880" width="10.7109375" customWidth="1"/>
    <col min="881" max="881" width="11.7109375" style="9" customWidth="1"/>
    <col min="882" max="882" width="10.7109375" customWidth="1"/>
    <col min="883" max="883" width="11.7109375" style="9" customWidth="1"/>
    <col min="884" max="884" width="10.7109375" customWidth="1"/>
    <col min="885" max="885" width="11.7109375" style="9" customWidth="1"/>
    <col min="886" max="886" width="10.7109375" customWidth="1"/>
    <col min="887" max="887" width="11.7109375" style="9" customWidth="1"/>
    <col min="888" max="888" width="10.7109375" customWidth="1"/>
    <col min="889" max="889" width="11.7109375" style="9" customWidth="1"/>
    <col min="890" max="890" width="10.7109375" customWidth="1"/>
    <col min="891" max="891" width="11.7109375" style="9" customWidth="1"/>
    <col min="892" max="892" width="10.7109375" customWidth="1"/>
    <col min="893" max="893" width="11.7109375" style="9" customWidth="1"/>
    <col min="894" max="894" width="10.7109375" customWidth="1"/>
    <col min="895" max="895" width="11.7109375" style="9" customWidth="1"/>
    <col min="896" max="896" width="10.7109375" customWidth="1"/>
    <col min="897" max="897" width="11.7109375" style="9" customWidth="1"/>
    <col min="898" max="898" width="10.7109375" customWidth="1"/>
    <col min="899" max="899" width="11.7109375" style="9" customWidth="1"/>
    <col min="900" max="900" width="10.7109375" customWidth="1"/>
    <col min="901" max="901" width="11.7109375" style="9" customWidth="1"/>
    <col min="902" max="902" width="10.7109375" customWidth="1"/>
    <col min="903" max="903" width="11.7109375" style="9" customWidth="1"/>
    <col min="904" max="904" width="10.7109375" customWidth="1"/>
    <col min="905" max="905" width="11.7109375" style="9" customWidth="1"/>
    <col min="906" max="906" width="10.7109375" customWidth="1"/>
    <col min="907" max="907" width="11.7109375" style="9" customWidth="1"/>
    <col min="908" max="908" width="10.7109375" customWidth="1"/>
    <col min="909" max="909" width="11.7109375" style="9" customWidth="1"/>
    <col min="910" max="910" width="10.7109375" customWidth="1"/>
    <col min="911" max="911" width="11.7109375" style="9" customWidth="1"/>
    <col min="912" max="912" width="10.7109375" customWidth="1"/>
    <col min="913" max="913" width="11.7109375" style="9" customWidth="1"/>
    <col min="914" max="914" width="10.7109375" customWidth="1"/>
    <col min="915" max="915" width="11.7109375" style="9" customWidth="1"/>
    <col min="916" max="916" width="10.7109375" customWidth="1"/>
    <col min="917" max="917" width="11.7109375" style="9" customWidth="1"/>
    <col min="918" max="918" width="10.7109375" customWidth="1"/>
    <col min="919" max="919" width="11.7109375" style="9" customWidth="1"/>
    <col min="920" max="920" width="10.7109375" customWidth="1"/>
    <col min="921" max="921" width="11.7109375" style="9" customWidth="1"/>
    <col min="922" max="922" width="10.7109375" customWidth="1"/>
    <col min="923" max="923" width="11.7109375" style="9" customWidth="1"/>
    <col min="924" max="924" width="10.7109375" customWidth="1"/>
    <col min="925" max="925" width="11.7109375" style="9" customWidth="1"/>
    <col min="926" max="926" width="10.7109375" customWidth="1"/>
    <col min="927" max="927" width="11.7109375" style="9" customWidth="1"/>
    <col min="928" max="928" width="10.7109375" customWidth="1"/>
    <col min="929" max="929" width="11.7109375" style="9" customWidth="1"/>
    <col min="930" max="930" width="10.7109375" customWidth="1"/>
    <col min="931" max="931" width="11.7109375" style="9" customWidth="1"/>
    <col min="932" max="932" width="10.7109375" customWidth="1"/>
    <col min="933" max="933" width="11.7109375" style="9" customWidth="1"/>
    <col min="934" max="934" width="10.7109375" customWidth="1"/>
    <col min="935" max="935" width="11.7109375" style="9" customWidth="1"/>
    <col min="936" max="936" width="10.7109375" customWidth="1"/>
    <col min="937" max="937" width="11.7109375" style="9" customWidth="1"/>
    <col min="938" max="938" width="10.7109375" customWidth="1"/>
    <col min="939" max="939" width="11.7109375" style="9" customWidth="1"/>
    <col min="940" max="940" width="10.7109375" customWidth="1"/>
    <col min="941" max="941" width="11.7109375" style="9" customWidth="1"/>
    <col min="942" max="942" width="10.7109375" customWidth="1"/>
    <col min="943" max="943" width="11.7109375" style="9" customWidth="1"/>
    <col min="944" max="944" width="10.7109375" customWidth="1"/>
    <col min="945" max="945" width="11.7109375" style="9" customWidth="1"/>
    <col min="946" max="946" width="10.7109375" customWidth="1"/>
    <col min="947" max="947" width="11.7109375" style="9" customWidth="1"/>
    <col min="948" max="948" width="10.7109375" customWidth="1"/>
    <col min="949" max="949" width="11.7109375" style="9" customWidth="1"/>
    <col min="950" max="950" width="10.7109375" customWidth="1"/>
    <col min="951" max="951" width="11.7109375" style="9" customWidth="1"/>
    <col min="952" max="952" width="10.7109375" customWidth="1"/>
    <col min="953" max="953" width="11.7109375" style="9" customWidth="1"/>
    <col min="954" max="954" width="10.7109375" customWidth="1"/>
    <col min="955" max="955" width="11.7109375" style="9" customWidth="1"/>
    <col min="956" max="956" width="10.7109375" customWidth="1"/>
    <col min="957" max="957" width="11.7109375" style="9" customWidth="1"/>
    <col min="958" max="958" width="10.7109375" customWidth="1"/>
    <col min="959" max="959" width="11.7109375" style="9" customWidth="1"/>
    <col min="960" max="960" width="10.7109375" customWidth="1"/>
    <col min="961" max="961" width="11.7109375" style="9" customWidth="1"/>
    <col min="962" max="962" width="10.7109375" customWidth="1"/>
    <col min="963" max="963" width="11.7109375" style="9" customWidth="1"/>
    <col min="964" max="964" width="10.7109375" customWidth="1"/>
    <col min="965" max="965" width="11.7109375" style="9" customWidth="1"/>
    <col min="966" max="966" width="10.7109375" customWidth="1"/>
    <col min="967" max="967" width="11.7109375" style="9" customWidth="1"/>
    <col min="968" max="968" width="10.7109375" customWidth="1"/>
    <col min="969" max="969" width="11.7109375" style="9" customWidth="1"/>
    <col min="970" max="970" width="10.7109375" customWidth="1"/>
    <col min="971" max="971" width="11.7109375" style="9" customWidth="1"/>
    <col min="972" max="972" width="10.7109375" customWidth="1"/>
    <col min="973" max="973" width="11.7109375" style="9" customWidth="1"/>
    <col min="974" max="974" width="10.7109375" customWidth="1"/>
    <col min="975" max="975" width="11.7109375" style="9" customWidth="1"/>
    <col min="976" max="976" width="10.7109375" customWidth="1"/>
    <col min="977" max="977" width="11.7109375" style="9" customWidth="1"/>
    <col min="978" max="978" width="10.7109375" customWidth="1"/>
    <col min="979" max="979" width="11.7109375" style="9" customWidth="1"/>
    <col min="980" max="980" width="10.7109375" customWidth="1"/>
    <col min="981" max="981" width="11.7109375" style="9" customWidth="1"/>
    <col min="982" max="982" width="10.7109375" customWidth="1"/>
    <col min="983" max="983" width="11.7109375" style="9" customWidth="1"/>
    <col min="984" max="984" width="10.7109375" customWidth="1"/>
    <col min="985" max="985" width="11.7109375" style="9" customWidth="1"/>
    <col min="986" max="986" width="10.7109375" customWidth="1"/>
    <col min="987" max="987" width="11.7109375" style="9" customWidth="1"/>
    <col min="988" max="988" width="10.7109375" customWidth="1"/>
    <col min="989" max="989" width="11.7109375" style="9" customWidth="1"/>
    <col min="990" max="990" width="10.7109375" customWidth="1"/>
    <col min="991" max="991" width="11.7109375" style="9" customWidth="1"/>
    <col min="992" max="992" width="10.7109375" customWidth="1"/>
    <col min="993" max="993" width="11.7109375" style="9" customWidth="1"/>
    <col min="994" max="994" width="10.7109375" customWidth="1"/>
    <col min="995" max="995" width="11.7109375" style="9" customWidth="1"/>
    <col min="996" max="996" width="10.7109375" customWidth="1"/>
    <col min="997" max="997" width="11.7109375" style="9" customWidth="1"/>
    <col min="998" max="998" width="10.7109375" customWidth="1"/>
    <col min="999" max="999" width="11.7109375" style="9" customWidth="1"/>
    <col min="1000" max="1000" width="10.7109375" customWidth="1"/>
    <col min="1001" max="1001" width="11.7109375" style="9" customWidth="1"/>
    <col min="1002" max="1002" width="10.7109375" customWidth="1"/>
    <col min="1003" max="1003" width="11.7109375" style="9" customWidth="1"/>
    <col min="1004" max="1004" width="10.7109375" customWidth="1"/>
    <col min="1005" max="1005" width="11.7109375" style="9" customWidth="1"/>
    <col min="1006" max="1006" width="10.7109375" customWidth="1"/>
    <col min="1007" max="1007" width="11.7109375" style="9" customWidth="1"/>
    <col min="1008" max="1008" width="10.7109375" customWidth="1"/>
    <col min="1009" max="1009" width="11.7109375" style="9" customWidth="1"/>
    <col min="1010" max="1010" width="10.7109375" customWidth="1"/>
    <col min="1011" max="1011" width="11.7109375" style="9" customWidth="1"/>
    <col min="1012" max="1012" width="10.7109375" customWidth="1"/>
    <col min="1013" max="1013" width="11.7109375" style="9" customWidth="1"/>
    <col min="1014" max="1014" width="10.7109375" customWidth="1"/>
    <col min="1015" max="1015" width="11.7109375" style="9" customWidth="1"/>
    <col min="1016" max="1016" width="10.7109375" customWidth="1"/>
    <col min="1017" max="1017" width="11.7109375" style="9" customWidth="1"/>
    <col min="1018" max="1018" width="10.7109375" customWidth="1"/>
    <col min="1019" max="1019" width="11.7109375" style="9" customWidth="1"/>
    <col min="1020" max="1020" width="10.7109375" customWidth="1"/>
    <col min="1021" max="1021" width="11.7109375" style="9" customWidth="1"/>
    <col min="1022" max="1022" width="10.7109375" customWidth="1"/>
    <col min="1023" max="1023" width="11.7109375" style="9" customWidth="1"/>
    <col min="1024" max="1024" width="10.7109375" customWidth="1"/>
    <col min="1025" max="1025" width="11.7109375" style="9" customWidth="1"/>
    <col min="1026" max="1026" width="10.7109375" customWidth="1"/>
    <col min="1027" max="1027" width="11.7109375" style="9" customWidth="1"/>
    <col min="1028" max="1028" width="10.7109375" customWidth="1"/>
    <col min="1029" max="1029" width="11.7109375" style="9" customWidth="1"/>
    <col min="1030" max="1030" width="10.7109375" customWidth="1"/>
    <col min="1031" max="1031" width="11.7109375" style="9" customWidth="1"/>
    <col min="1032" max="1032" width="10.7109375" customWidth="1"/>
    <col min="1033" max="1033" width="11.7109375" style="9" customWidth="1"/>
    <col min="1034" max="1034" width="10.7109375" customWidth="1"/>
    <col min="1035" max="1035" width="11.7109375" style="9" customWidth="1"/>
    <col min="1036" max="1036" width="10.7109375" customWidth="1"/>
    <col min="1037" max="1037" width="11.7109375" style="9" customWidth="1"/>
    <col min="1038" max="1038" width="10.7109375" customWidth="1"/>
    <col min="1039" max="1039" width="11.7109375" style="9" customWidth="1"/>
    <col min="1040" max="1040" width="10.7109375" customWidth="1"/>
    <col min="1041" max="1041" width="11.7109375" style="9" customWidth="1"/>
    <col min="1042" max="1042" width="10.7109375" customWidth="1"/>
    <col min="1043" max="1043" width="11.7109375" style="9" customWidth="1"/>
    <col min="1044" max="1044" width="10.7109375" customWidth="1"/>
    <col min="1045" max="1045" width="11.7109375" style="9" customWidth="1"/>
    <col min="1046" max="1046" width="10.7109375" customWidth="1"/>
    <col min="1047" max="1047" width="11.7109375" style="9" customWidth="1"/>
    <col min="1048" max="1048" width="10.7109375" customWidth="1"/>
    <col min="1049" max="1049" width="11.7109375" style="9" customWidth="1"/>
    <col min="1050" max="1050" width="10.7109375" customWidth="1"/>
    <col min="1051" max="1051" width="11.7109375" style="9" customWidth="1"/>
    <col min="1052" max="1052" width="10.7109375" customWidth="1"/>
    <col min="1053" max="1053" width="11.7109375" style="9" customWidth="1"/>
    <col min="1054" max="1054" width="10.7109375" customWidth="1"/>
    <col min="1055" max="1055" width="11.7109375" style="9" customWidth="1"/>
    <col min="1056" max="1056" width="10.7109375" customWidth="1"/>
    <col min="1057" max="1057" width="11.7109375" style="9" customWidth="1"/>
    <col min="1058" max="1058" width="10.7109375" customWidth="1"/>
    <col min="1059" max="1059" width="11.7109375" style="9" customWidth="1"/>
    <col min="1060" max="1060" width="10.7109375" customWidth="1"/>
    <col min="1061" max="1061" width="11.7109375" style="9" customWidth="1"/>
    <col min="1062" max="1062" width="10.7109375" customWidth="1"/>
    <col min="1063" max="1063" width="11.7109375" style="9" customWidth="1"/>
    <col min="1064" max="1064" width="10.7109375" customWidth="1"/>
    <col min="1065" max="1065" width="11.7109375" style="9" customWidth="1"/>
    <col min="1066" max="1066" width="10.7109375" customWidth="1"/>
    <col min="1067" max="1067" width="11.7109375" style="9" customWidth="1"/>
    <col min="1068" max="1068" width="10.7109375" customWidth="1"/>
    <col min="1069" max="1069" width="11.7109375" style="9" customWidth="1"/>
    <col min="1070" max="1070" width="10.7109375" customWidth="1"/>
    <col min="1071" max="1071" width="11.7109375" style="9" customWidth="1"/>
    <col min="1072" max="1072" width="10.7109375" customWidth="1"/>
    <col min="1073" max="1073" width="11.7109375" style="9" customWidth="1"/>
    <col min="1074" max="1074" width="10.7109375" customWidth="1"/>
    <col min="1075" max="1075" width="11.7109375" style="9" customWidth="1"/>
    <col min="1076" max="1076" width="10.7109375" customWidth="1"/>
    <col min="1077" max="1077" width="11.7109375" style="9" customWidth="1"/>
    <col min="1078" max="1078" width="10.7109375" customWidth="1"/>
    <col min="1079" max="1079" width="11.7109375" style="9" customWidth="1"/>
    <col min="1080" max="1080" width="10.7109375" customWidth="1"/>
    <col min="1081" max="1081" width="11.7109375" style="9" customWidth="1"/>
    <col min="1082" max="1082" width="10.7109375" customWidth="1"/>
    <col min="1083" max="1083" width="11.7109375" style="9" customWidth="1"/>
    <col min="1084" max="1084" width="10.7109375" customWidth="1"/>
    <col min="1085" max="1085" width="11.7109375" style="9" customWidth="1"/>
    <col min="1086" max="1086" width="10.7109375" customWidth="1"/>
    <col min="1087" max="1087" width="11.7109375" style="9" customWidth="1"/>
    <col min="1088" max="1088" width="10.7109375" customWidth="1"/>
    <col min="1089" max="1089" width="11.7109375" style="9" customWidth="1"/>
    <col min="1090" max="1090" width="10.7109375" customWidth="1"/>
    <col min="1091" max="1091" width="11.7109375" style="9" customWidth="1"/>
    <col min="1092" max="1092" width="10.7109375" customWidth="1"/>
    <col min="1093" max="1093" width="11.7109375" style="9" customWidth="1"/>
    <col min="1094" max="1094" width="10.7109375" customWidth="1"/>
    <col min="1095" max="1095" width="11.7109375" style="9" customWidth="1"/>
    <col min="1096" max="1096" width="10.7109375" customWidth="1"/>
    <col min="1097" max="1097" width="11.7109375" style="9" customWidth="1"/>
    <col min="1098" max="1098" width="10.7109375" customWidth="1"/>
    <col min="1099" max="1099" width="11.7109375" style="9" customWidth="1"/>
    <col min="1100" max="1100" width="10.7109375" customWidth="1"/>
    <col min="1101" max="1101" width="11.7109375" style="9" customWidth="1"/>
    <col min="1102" max="1102" width="10.7109375" customWidth="1"/>
    <col min="1103" max="1103" width="11.7109375" style="9" customWidth="1"/>
    <col min="1104" max="1104" width="10.7109375" customWidth="1"/>
    <col min="1105" max="1105" width="11.7109375" style="9" customWidth="1"/>
    <col min="1106" max="1106" width="10.7109375" customWidth="1"/>
    <col min="1107" max="1107" width="11.7109375" style="9" customWidth="1"/>
    <col min="1108" max="1108" width="10.7109375" customWidth="1"/>
    <col min="1109" max="1109" width="11.7109375" style="9" customWidth="1"/>
    <col min="1110" max="1110" width="10.7109375" customWidth="1"/>
    <col min="1111" max="1111" width="11.7109375" style="9" customWidth="1"/>
    <col min="1112" max="1112" width="10.7109375" customWidth="1"/>
    <col min="1113" max="1113" width="11.7109375" style="9" customWidth="1"/>
    <col min="1114" max="1114" width="10.7109375" customWidth="1"/>
    <col min="1115" max="1115" width="11.7109375" style="9" customWidth="1"/>
    <col min="1116" max="1116" width="10.7109375" customWidth="1"/>
    <col min="1117" max="1117" width="11.7109375" style="9" customWidth="1"/>
    <col min="1118" max="1118" width="10.7109375" customWidth="1"/>
    <col min="1119" max="1119" width="11.7109375" style="9" customWidth="1"/>
    <col min="1120" max="1120" width="10.7109375" customWidth="1"/>
    <col min="1121" max="1121" width="11.7109375" style="9" customWidth="1"/>
    <col min="1122" max="1122" width="10.7109375" customWidth="1"/>
    <col min="1123" max="1123" width="11.7109375" style="9" customWidth="1"/>
    <col min="1124" max="1124" width="10.7109375" customWidth="1"/>
    <col min="1125" max="1125" width="11.7109375" style="9" customWidth="1"/>
    <col min="1126" max="1126" width="10.7109375" customWidth="1"/>
    <col min="1127" max="1127" width="11.7109375" style="9" customWidth="1"/>
    <col min="1128" max="1128" width="10.7109375" customWidth="1"/>
    <col min="1129" max="1129" width="11.7109375" style="9" customWidth="1"/>
    <col min="1130" max="1130" width="10.7109375" customWidth="1"/>
    <col min="1131" max="1131" width="11.7109375" style="9" customWidth="1"/>
    <col min="1132" max="1132" width="10.7109375" customWidth="1"/>
    <col min="1133" max="1133" width="11.7109375" style="9" customWidth="1"/>
    <col min="1134" max="1134" width="10.7109375" customWidth="1"/>
    <col min="1135" max="1135" width="11.7109375" style="9" customWidth="1"/>
    <col min="1136" max="1136" width="10.7109375" customWidth="1"/>
    <col min="1137" max="1137" width="11.7109375" style="9" customWidth="1"/>
    <col min="1138" max="1138" width="10.7109375" customWidth="1"/>
    <col min="1139" max="1139" width="11.7109375" style="9" customWidth="1"/>
    <col min="1140" max="1140" width="10.7109375" customWidth="1"/>
    <col min="1141" max="1141" width="11.7109375" style="9" customWidth="1"/>
    <col min="1142" max="1142" width="10.7109375" customWidth="1"/>
    <col min="1143" max="1143" width="11.7109375" style="9" customWidth="1"/>
    <col min="1144" max="1144" width="10.7109375" customWidth="1"/>
    <col min="1145" max="1145" width="11.7109375" style="9" customWidth="1"/>
    <col min="1146" max="1146" width="10.7109375" customWidth="1"/>
    <col min="1147" max="1147" width="11.7109375" style="9" customWidth="1"/>
    <col min="1148" max="1148" width="10.7109375" customWidth="1"/>
    <col min="1149" max="1149" width="11.7109375" style="9" customWidth="1"/>
    <col min="1150" max="1150" width="10.7109375" customWidth="1"/>
    <col min="1151" max="1151" width="11.7109375" style="9" customWidth="1"/>
    <col min="1152" max="1152" width="10.7109375" customWidth="1"/>
    <col min="1153" max="1153" width="11.7109375" style="9" customWidth="1"/>
    <col min="1154" max="1154" width="10.7109375" customWidth="1"/>
    <col min="1155" max="1155" width="11.7109375" style="9" customWidth="1"/>
    <col min="1156" max="1156" width="10.7109375" customWidth="1"/>
    <col min="1157" max="1157" width="11.7109375" style="9" customWidth="1"/>
    <col min="1158" max="1158" width="10.7109375" customWidth="1"/>
    <col min="1159" max="1159" width="11.7109375" style="9" customWidth="1"/>
    <col min="1160" max="1160" width="10.7109375" customWidth="1"/>
    <col min="1161" max="1161" width="11.7109375" style="9" customWidth="1"/>
    <col min="1162" max="1162" width="10.7109375" customWidth="1"/>
    <col min="1163" max="1163" width="11.7109375" style="9" customWidth="1"/>
    <col min="1164" max="1164" width="10.7109375" customWidth="1"/>
    <col min="1165" max="1165" width="11.7109375" style="9" customWidth="1"/>
    <col min="1166" max="1166" width="10.7109375" customWidth="1"/>
    <col min="1167" max="1167" width="11.7109375" style="9" customWidth="1"/>
    <col min="1168" max="1168" width="10.7109375" customWidth="1"/>
    <col min="1169" max="1169" width="11.7109375" style="9" customWidth="1"/>
    <col min="1170" max="1170" width="10.7109375" customWidth="1"/>
    <col min="1171" max="1171" width="11.7109375" style="9" customWidth="1"/>
    <col min="1172" max="1172" width="10.7109375" customWidth="1"/>
    <col min="1173" max="1173" width="11.7109375" style="9" customWidth="1"/>
    <col min="1174" max="1174" width="10.7109375" customWidth="1"/>
    <col min="1175" max="1175" width="11.7109375" style="9" customWidth="1"/>
    <col min="1176" max="1176" width="10.7109375" customWidth="1"/>
    <col min="1177" max="1177" width="11.7109375" style="9" customWidth="1"/>
    <col min="1178" max="1178" width="10.7109375" customWidth="1"/>
    <col min="1179" max="1179" width="11.7109375" style="9" customWidth="1"/>
    <col min="1180" max="1180" width="10.7109375" customWidth="1"/>
    <col min="1181" max="1181" width="11.7109375" style="9" customWidth="1"/>
    <col min="1182" max="1182" width="10.7109375" customWidth="1"/>
    <col min="1183" max="1183" width="11.7109375" style="9" customWidth="1"/>
    <col min="1184" max="1184" width="10.7109375" customWidth="1"/>
    <col min="1185" max="1185" width="11.7109375" style="9" customWidth="1"/>
    <col min="1186" max="1186" width="10.7109375" customWidth="1"/>
    <col min="1187" max="1187" width="11.7109375" style="9" customWidth="1"/>
    <col min="1188" max="1188" width="10.7109375" customWidth="1"/>
    <col min="1189" max="1189" width="11.7109375" style="9" customWidth="1"/>
    <col min="1190" max="1190" width="10.7109375" customWidth="1"/>
    <col min="1191" max="1191" width="11.7109375" style="9" customWidth="1"/>
    <col min="1192" max="1192" width="10.7109375" customWidth="1"/>
    <col min="1193" max="1193" width="11.7109375" style="9" customWidth="1"/>
    <col min="1194" max="1194" width="10.7109375" customWidth="1"/>
    <col min="1195" max="1195" width="11.7109375" style="9" customWidth="1"/>
    <col min="1196" max="1196" width="10.7109375" customWidth="1"/>
    <col min="1197" max="1197" width="11.7109375" style="9" customWidth="1"/>
    <col min="1198" max="1198" width="10.7109375" customWidth="1"/>
    <col min="1199" max="1199" width="11.7109375" style="9" customWidth="1"/>
    <col min="1200" max="1200" width="10.7109375" customWidth="1"/>
    <col min="1201" max="1201" width="11.7109375" style="9" customWidth="1"/>
    <col min="1202" max="1202" width="10.7109375" customWidth="1"/>
    <col min="1203" max="1203" width="11.7109375" style="9" customWidth="1"/>
    <col min="1204" max="1204" width="10.7109375" customWidth="1"/>
    <col min="1205" max="1205" width="11.7109375" style="9" customWidth="1"/>
    <col min="1206" max="1206" width="10.7109375" customWidth="1"/>
    <col min="1207" max="1207" width="11.7109375" style="9" customWidth="1"/>
    <col min="1208" max="1208" width="10.7109375" customWidth="1"/>
    <col min="1209" max="1209" width="11.7109375" style="9" customWidth="1"/>
    <col min="1210" max="1210" width="10.7109375" customWidth="1"/>
    <col min="1211" max="1211" width="11.7109375" style="9" customWidth="1"/>
    <col min="1212" max="1212" width="10.7109375" customWidth="1"/>
    <col min="1213" max="1213" width="11.7109375" style="9" customWidth="1"/>
    <col min="1214" max="1214" width="10.7109375" customWidth="1"/>
    <col min="1215" max="1215" width="11.7109375" style="9" customWidth="1"/>
    <col min="1216" max="1216" width="10.7109375" customWidth="1"/>
    <col min="1217" max="1217" width="11.7109375" style="9" customWidth="1"/>
    <col min="1218" max="1218" width="10.7109375" customWidth="1"/>
    <col min="1219" max="1219" width="11.7109375" style="9" customWidth="1"/>
    <col min="1220" max="1220" width="10.7109375" customWidth="1"/>
    <col min="1221" max="1221" width="11.7109375" style="9" customWidth="1"/>
    <col min="1222" max="1222" width="10.7109375" customWidth="1"/>
    <col min="1223" max="1223" width="11.7109375" style="9" customWidth="1"/>
    <col min="1224" max="1224" width="10.7109375" customWidth="1"/>
    <col min="1225" max="1225" width="11.7109375" style="9" customWidth="1"/>
    <col min="1226" max="1226" width="10.7109375" customWidth="1"/>
    <col min="1227" max="1227" width="11.7109375" style="9" customWidth="1"/>
    <col min="1228" max="1228" width="10.7109375" customWidth="1"/>
    <col min="1229" max="1229" width="11.7109375" style="9" customWidth="1"/>
    <col min="1230" max="1230" width="10.7109375" customWidth="1"/>
    <col min="1231" max="1231" width="11.7109375" style="9" customWidth="1"/>
    <col min="1232" max="1232" width="10.7109375" customWidth="1"/>
    <col min="1233" max="1233" width="11.7109375" style="9" customWidth="1"/>
    <col min="1234" max="1234" width="10.7109375" customWidth="1"/>
    <col min="1235" max="1235" width="11.7109375" style="9" customWidth="1"/>
    <col min="1236" max="1236" width="10.7109375" customWidth="1"/>
    <col min="1237" max="1237" width="11.7109375" style="9" customWidth="1"/>
    <col min="1238" max="1238" width="10.7109375" customWidth="1"/>
    <col min="1239" max="1239" width="11.7109375" style="9" customWidth="1"/>
    <col min="1240" max="1240" width="10.7109375" customWidth="1"/>
    <col min="1241" max="1241" width="11.7109375" style="9" customWidth="1"/>
    <col min="1242" max="1242" width="10.7109375" customWidth="1"/>
    <col min="1243" max="1243" width="11.7109375" style="9" customWidth="1"/>
    <col min="1244" max="1244" width="10.7109375" customWidth="1"/>
    <col min="1245" max="1245" width="11.7109375" style="9" customWidth="1"/>
    <col min="1246" max="1246" width="10.7109375" customWidth="1"/>
    <col min="1247" max="1247" width="11.7109375" style="9" customWidth="1"/>
    <col min="1248" max="1248" width="10.7109375" customWidth="1"/>
    <col min="1249" max="1249" width="11.7109375" style="9" customWidth="1"/>
    <col min="1250" max="1250" width="10.7109375" customWidth="1"/>
    <col min="1251" max="1251" width="11.7109375" style="9" customWidth="1"/>
    <col min="1252" max="1252" width="10.7109375" customWidth="1"/>
    <col min="1253" max="1253" width="11.7109375" style="9" customWidth="1"/>
    <col min="1254" max="1254" width="10.7109375" customWidth="1"/>
    <col min="1255" max="1255" width="11.7109375" style="9" customWidth="1"/>
    <col min="1256" max="1256" width="10.7109375" customWidth="1"/>
    <col min="1257" max="1257" width="11.7109375" style="9" customWidth="1"/>
    <col min="1258" max="1258" width="10.7109375" customWidth="1"/>
    <col min="1259" max="1259" width="11.7109375" style="9" customWidth="1"/>
    <col min="1260" max="1260" width="10.7109375" customWidth="1"/>
    <col min="1261" max="1261" width="11.7109375" style="9" customWidth="1"/>
    <col min="1262" max="1262" width="10.7109375" customWidth="1"/>
    <col min="1263" max="1263" width="11.7109375" style="9" customWidth="1"/>
    <col min="1264" max="1264" width="10.7109375" customWidth="1"/>
    <col min="1265" max="1265" width="11.7109375" style="9" customWidth="1"/>
    <col min="1266" max="1266" width="10.7109375" customWidth="1"/>
    <col min="1267" max="1267" width="11.7109375" style="9" customWidth="1"/>
    <col min="1268" max="1268" width="10.7109375" customWidth="1"/>
    <col min="1269" max="1269" width="11.7109375" style="9" customWidth="1"/>
    <col min="1270" max="1270" width="10.7109375" customWidth="1"/>
    <col min="1271" max="1271" width="11.7109375" style="9" customWidth="1"/>
    <col min="1272" max="1272" width="10.7109375" customWidth="1"/>
    <col min="1273" max="1273" width="11.7109375" style="9" customWidth="1"/>
    <col min="1274" max="1274" width="10.7109375" customWidth="1"/>
    <col min="1275" max="1275" width="11.7109375" style="9" customWidth="1"/>
    <col min="1276" max="1276" width="10.7109375" customWidth="1"/>
    <col min="1277" max="1277" width="11.7109375" style="9" customWidth="1"/>
    <col min="1278" max="1278" width="10.7109375" customWidth="1"/>
    <col min="1279" max="1279" width="11.7109375" style="9" customWidth="1"/>
    <col min="1280" max="1280" width="10.7109375" customWidth="1"/>
    <col min="1281" max="1281" width="11.7109375" style="9" customWidth="1"/>
    <col min="1282" max="1282" width="10.7109375" customWidth="1"/>
    <col min="1283" max="1283" width="11.7109375" style="9" customWidth="1"/>
    <col min="1284" max="1284" width="10.7109375" customWidth="1"/>
    <col min="1285" max="1285" width="11.7109375" style="9" customWidth="1"/>
    <col min="1286" max="1286" width="10.7109375" customWidth="1"/>
    <col min="1287" max="1287" width="11.7109375" style="9" customWidth="1"/>
    <col min="1288" max="1288" width="10.7109375" customWidth="1"/>
    <col min="1289" max="1289" width="11.7109375" style="9" customWidth="1"/>
    <col min="1290" max="1290" width="10.7109375" customWidth="1"/>
    <col min="1291" max="1291" width="11.7109375" style="9" customWidth="1"/>
    <col min="1292" max="1292" width="10.7109375" customWidth="1"/>
    <col min="1293" max="1293" width="11.7109375" style="9" customWidth="1"/>
    <col min="1294" max="1294" width="10.7109375" customWidth="1"/>
    <col min="1295" max="1295" width="11.7109375" style="9" customWidth="1"/>
    <col min="1296" max="1296" width="10.7109375" customWidth="1"/>
    <col min="1297" max="1297" width="11.7109375" style="9" customWidth="1"/>
    <col min="1298" max="1298" width="10.7109375" customWidth="1"/>
    <col min="1299" max="1299" width="11.7109375" style="9" customWidth="1"/>
    <col min="1300" max="1300" width="10.7109375" customWidth="1"/>
    <col min="1301" max="1301" width="11.7109375" style="9" customWidth="1"/>
    <col min="1302" max="1302" width="10.7109375" customWidth="1"/>
    <col min="1303" max="1303" width="11.7109375" style="9" customWidth="1"/>
    <col min="1304" max="1304" width="10.7109375" customWidth="1"/>
    <col min="1305" max="1305" width="11.7109375" style="9" customWidth="1"/>
    <col min="1306" max="1306" width="10.7109375" customWidth="1"/>
    <col min="1307" max="1307" width="11.7109375" style="9" customWidth="1"/>
    <col min="1308" max="1308" width="10.7109375" customWidth="1"/>
    <col min="1309" max="1309" width="11.7109375" style="9" customWidth="1"/>
    <col min="1310" max="1310" width="10.7109375" customWidth="1"/>
    <col min="1311" max="1311" width="11.7109375" style="9" customWidth="1"/>
    <col min="1312" max="1312" width="10.7109375" customWidth="1"/>
    <col min="1313" max="1313" width="11.7109375" style="9" customWidth="1"/>
    <col min="1314" max="1314" width="10.7109375" customWidth="1"/>
    <col min="1315" max="1315" width="11.7109375" style="9" customWidth="1"/>
    <col min="1316" max="1316" width="10.7109375" customWidth="1"/>
    <col min="1317" max="1317" width="11.7109375" style="9" customWidth="1"/>
    <col min="1318" max="1318" width="10.7109375" customWidth="1"/>
    <col min="1319" max="1319" width="11.7109375" style="9" customWidth="1"/>
    <col min="1320" max="1320" width="10.7109375" customWidth="1"/>
    <col min="1321" max="1321" width="11.7109375" style="9" customWidth="1"/>
    <col min="1322" max="1322" width="10.7109375" customWidth="1"/>
    <col min="1323" max="1323" width="11.7109375" style="9" customWidth="1"/>
    <col min="1324" max="1324" width="10.7109375" customWidth="1"/>
    <col min="1325" max="1325" width="11.7109375" style="9" customWidth="1"/>
    <col min="1326" max="1326" width="10.7109375" customWidth="1"/>
    <col min="1327" max="1327" width="11.7109375" style="9" customWidth="1"/>
    <col min="1328" max="1328" width="10.7109375" customWidth="1"/>
    <col min="1329" max="1329" width="11.7109375" style="9" customWidth="1"/>
    <col min="1330" max="1330" width="10.7109375" customWidth="1"/>
    <col min="1331" max="1331" width="11.7109375" style="9" customWidth="1"/>
    <col min="1332" max="1332" width="10.7109375" customWidth="1"/>
    <col min="1333" max="1333" width="11.7109375" style="9" customWidth="1"/>
    <col min="1334" max="1334" width="10.7109375" customWidth="1"/>
    <col min="1335" max="1335" width="11.7109375" style="9" customWidth="1"/>
    <col min="1336" max="1336" width="10.7109375" customWidth="1"/>
    <col min="1337" max="1337" width="11.7109375" style="9" customWidth="1"/>
    <col min="1338" max="1338" width="10.7109375" customWidth="1"/>
    <col min="1339" max="1339" width="11.7109375" style="9" customWidth="1"/>
    <col min="1340" max="1340" width="10.7109375" customWidth="1"/>
    <col min="1341" max="1341" width="11.7109375" style="9" customWidth="1"/>
    <col min="1342" max="1342" width="10.7109375" customWidth="1"/>
    <col min="1343" max="1343" width="11.7109375" style="9" customWidth="1"/>
    <col min="1344" max="1344" width="10.7109375" customWidth="1"/>
    <col min="1345" max="1345" width="11.7109375" style="9" customWidth="1"/>
    <col min="1346" max="1346" width="10.7109375" customWidth="1"/>
    <col min="1347" max="1347" width="11.7109375" style="9" customWidth="1"/>
    <col min="1348" max="1348" width="10.7109375" customWidth="1"/>
    <col min="1349" max="1349" width="11.7109375" style="9" customWidth="1"/>
    <col min="1350" max="1350" width="10.7109375" customWidth="1"/>
    <col min="1351" max="1351" width="11.7109375" style="9" customWidth="1"/>
    <col min="1352" max="1352" width="10.7109375" customWidth="1"/>
    <col min="1353" max="1353" width="11.7109375" style="9" customWidth="1"/>
    <col min="1354" max="1354" width="10.7109375" customWidth="1"/>
    <col min="1355" max="1355" width="11.7109375" style="9" customWidth="1"/>
    <col min="1356" max="1356" width="10.7109375" customWidth="1"/>
    <col min="1357" max="1357" width="11.7109375" style="9" customWidth="1"/>
    <col min="1358" max="1358" width="10.7109375" customWidth="1"/>
    <col min="1359" max="1359" width="11.7109375" style="9" customWidth="1"/>
    <col min="1360" max="1360" width="10.7109375" customWidth="1"/>
    <col min="1361" max="1361" width="11.7109375" style="9" customWidth="1"/>
    <col min="1362" max="1362" width="10.7109375" customWidth="1"/>
    <col min="1363" max="1363" width="11.7109375" style="9" customWidth="1"/>
    <col min="1364" max="1364" width="10.7109375" customWidth="1"/>
    <col min="1365" max="1365" width="11.7109375" style="9" customWidth="1"/>
    <col min="1366" max="1366" width="10.7109375" customWidth="1"/>
    <col min="1367" max="1367" width="11.7109375" style="9" customWidth="1"/>
    <col min="1368" max="1368" width="10.7109375" customWidth="1"/>
    <col min="1369" max="1369" width="11.7109375" style="9" customWidth="1"/>
    <col min="1370" max="1370" width="10.7109375" customWidth="1"/>
    <col min="1371" max="1371" width="11.7109375" style="9" customWidth="1"/>
    <col min="1372" max="1372" width="10.7109375" customWidth="1"/>
    <col min="1373" max="1373" width="11.7109375" style="9" customWidth="1"/>
    <col min="1374" max="1374" width="10.7109375" customWidth="1"/>
    <col min="1375" max="1375" width="11.7109375" style="9" customWidth="1"/>
    <col min="1376" max="1376" width="10.7109375" customWidth="1"/>
    <col min="1377" max="1377" width="11.7109375" style="9" customWidth="1"/>
    <col min="1378" max="1378" width="10.7109375" customWidth="1"/>
    <col min="1379" max="1379" width="11.7109375" style="9" customWidth="1"/>
    <col min="1380" max="1380" width="10.7109375" customWidth="1"/>
    <col min="1381" max="1381" width="11.7109375" style="9" customWidth="1"/>
    <col min="1382" max="1382" width="10.7109375" customWidth="1"/>
    <col min="1383" max="1383" width="11.7109375" style="9" customWidth="1"/>
    <col min="1384" max="1384" width="10.7109375" customWidth="1"/>
    <col min="1385" max="1385" width="11.7109375" style="9" customWidth="1"/>
    <col min="1386" max="1386" width="10.7109375" customWidth="1"/>
    <col min="1387" max="1387" width="11.7109375" style="9" customWidth="1"/>
    <col min="1388" max="1388" width="10.7109375" customWidth="1"/>
    <col min="1389" max="1389" width="11.7109375" style="9" customWidth="1"/>
    <col min="1390" max="1390" width="10.7109375" customWidth="1"/>
    <col min="1391" max="1391" width="11.7109375" style="9" customWidth="1"/>
    <col min="1392" max="1392" width="10.7109375" customWidth="1"/>
    <col min="1393" max="1393" width="11.7109375" style="9" customWidth="1"/>
    <col min="1394" max="1394" width="10.7109375" customWidth="1"/>
    <col min="1395" max="1395" width="11.7109375" style="9" customWidth="1"/>
    <col min="1396" max="1396" width="10.7109375" customWidth="1"/>
    <col min="1397" max="1397" width="11.7109375" style="9" customWidth="1"/>
    <col min="1398" max="1398" width="10.7109375" customWidth="1"/>
    <col min="1399" max="1399" width="11.7109375" style="9" customWidth="1"/>
    <col min="1400" max="1400" width="10.7109375" customWidth="1"/>
    <col min="1401" max="1401" width="11.7109375" style="9" customWidth="1"/>
    <col min="1402" max="1402" width="10.7109375" customWidth="1"/>
    <col min="1403" max="1403" width="11.7109375" style="9" customWidth="1"/>
    <col min="1404" max="1404" width="10.7109375" customWidth="1"/>
    <col min="1405" max="1405" width="11.7109375" style="9" customWidth="1"/>
    <col min="1406" max="1406" width="10.7109375" customWidth="1"/>
    <col min="1407" max="1407" width="11.7109375" style="9" customWidth="1"/>
    <col min="1408" max="1408" width="10.7109375" customWidth="1"/>
    <col min="1409" max="1409" width="11.7109375" style="9" customWidth="1"/>
    <col min="1410" max="1410" width="10.7109375" customWidth="1"/>
    <col min="1411" max="1411" width="11.7109375" style="9" customWidth="1"/>
    <col min="1412" max="1412" width="10.7109375" customWidth="1"/>
    <col min="1413" max="1413" width="11.7109375" style="9" customWidth="1"/>
    <col min="1414" max="1414" width="10.7109375" customWidth="1"/>
    <col min="1415" max="1415" width="11.7109375" style="9" customWidth="1"/>
    <col min="1416" max="1416" width="10.7109375" customWidth="1"/>
    <col min="1417" max="1417" width="11.7109375" style="9" customWidth="1"/>
    <col min="1418" max="1418" width="10.7109375" customWidth="1"/>
    <col min="1419" max="1419" width="11.7109375" style="9" customWidth="1"/>
    <col min="1420" max="1420" width="10.7109375" customWidth="1"/>
    <col min="1421" max="1421" width="11.7109375" style="9" customWidth="1"/>
    <col min="1422" max="1422" width="10.7109375" customWidth="1"/>
    <col min="1423" max="1423" width="11.7109375" style="9" customWidth="1"/>
    <col min="1424" max="1424" width="10.7109375" customWidth="1"/>
    <col min="1425" max="1425" width="11.7109375" style="9" customWidth="1"/>
    <col min="1426" max="1426" width="10.7109375" customWidth="1"/>
    <col min="1427" max="1427" width="11.7109375" style="9" customWidth="1"/>
    <col min="1428" max="1428" width="10.7109375" customWidth="1"/>
    <col min="1429" max="1429" width="11.7109375" style="9" customWidth="1"/>
    <col min="1430" max="1430" width="10.7109375" customWidth="1"/>
    <col min="1431" max="1431" width="11.7109375" style="9" customWidth="1"/>
    <col min="1432" max="1432" width="10.7109375" customWidth="1"/>
    <col min="1433" max="1433" width="11.7109375" style="9" customWidth="1"/>
    <col min="1434" max="1434" width="10.7109375" customWidth="1"/>
    <col min="1435" max="1435" width="11.7109375" style="9" customWidth="1"/>
    <col min="1436" max="1436" width="10.7109375" customWidth="1"/>
    <col min="1437" max="1437" width="11.7109375" style="9" customWidth="1"/>
    <col min="1438" max="1438" width="10.7109375" customWidth="1"/>
    <col min="1439" max="1439" width="11.7109375" style="9" customWidth="1"/>
    <col min="1440" max="1440" width="10.7109375" customWidth="1"/>
    <col min="1441" max="1441" width="11.7109375" style="9" customWidth="1"/>
    <col min="1442" max="1442" width="10.7109375" customWidth="1"/>
    <col min="1443" max="1443" width="11.7109375" style="9" customWidth="1"/>
    <col min="1444" max="1444" width="10.7109375" customWidth="1"/>
    <col min="1445" max="1445" width="11.7109375" style="9" customWidth="1"/>
    <col min="1446" max="1446" width="10.7109375" customWidth="1"/>
    <col min="1447" max="1447" width="11.7109375" style="9" customWidth="1"/>
    <col min="1448" max="1448" width="10.7109375" customWidth="1"/>
    <col min="1449" max="1449" width="11.7109375" style="9" customWidth="1"/>
    <col min="1450" max="1450" width="10.7109375" customWidth="1"/>
    <col min="1451" max="1451" width="11.7109375" style="9" customWidth="1"/>
    <col min="1452" max="1452" width="10.7109375" customWidth="1"/>
    <col min="1453" max="1453" width="11.7109375" style="9" customWidth="1"/>
    <col min="1454" max="1454" width="10.7109375" customWidth="1"/>
    <col min="1455" max="1455" width="11.7109375" style="9" customWidth="1"/>
    <col min="1456" max="1456" width="10.7109375" customWidth="1"/>
    <col min="1457" max="1457" width="11.7109375" style="9" customWidth="1"/>
    <col min="1458" max="1458" width="10.7109375" customWidth="1"/>
    <col min="1459" max="1459" width="11.7109375" style="9" customWidth="1"/>
    <col min="1460" max="1460" width="10.7109375" customWidth="1"/>
    <col min="1461" max="1461" width="11.7109375" style="9" customWidth="1"/>
    <col min="1462" max="1462" width="10.7109375" customWidth="1"/>
    <col min="1463" max="1463" width="11.7109375" style="9" customWidth="1"/>
    <col min="1464" max="1464" width="10.7109375" customWidth="1"/>
    <col min="1465" max="1465" width="11.7109375" style="9" customWidth="1"/>
    <col min="1466" max="1466" width="10.7109375" customWidth="1"/>
    <col min="1467" max="1467" width="11.7109375" style="9" customWidth="1"/>
    <col min="1468" max="1468" width="10.7109375" customWidth="1"/>
    <col min="1469" max="1469" width="11.7109375" style="9" customWidth="1"/>
    <col min="1470" max="1470" width="10.7109375" customWidth="1"/>
    <col min="1471" max="1471" width="11.7109375" style="9" customWidth="1"/>
    <col min="1472" max="1472" width="10.7109375" customWidth="1"/>
    <col min="1473" max="1473" width="11.7109375" style="9" customWidth="1"/>
    <col min="1474" max="1474" width="10.7109375" customWidth="1"/>
    <col min="1475" max="1475" width="11.7109375" style="9" customWidth="1"/>
    <col min="1476" max="1476" width="10.7109375" customWidth="1"/>
    <col min="1477" max="1477" width="11.7109375" style="9" customWidth="1"/>
    <col min="1478" max="1478" width="10.7109375" customWidth="1"/>
    <col min="1479" max="1479" width="11.7109375" style="9" customWidth="1"/>
    <col min="1480" max="1480" width="10.7109375" customWidth="1"/>
    <col min="1481" max="1481" width="11.7109375" style="9" customWidth="1"/>
    <col min="1482" max="1482" width="10.7109375" customWidth="1"/>
    <col min="1483" max="1483" width="11.7109375" style="9" customWidth="1"/>
    <col min="1484" max="1484" width="10.7109375" customWidth="1"/>
    <col min="1485" max="1485" width="11.7109375" style="9" customWidth="1"/>
    <col min="1486" max="1486" width="10.7109375" customWidth="1"/>
    <col min="1487" max="1487" width="11.7109375" style="9" customWidth="1"/>
    <col min="1488" max="1488" width="10.7109375" customWidth="1"/>
    <col min="1489" max="1489" width="11.7109375" style="9" customWidth="1"/>
    <col min="1490" max="1490" width="10.7109375" customWidth="1"/>
    <col min="1491" max="1491" width="11.7109375" style="9" customWidth="1"/>
    <col min="1492" max="1492" width="10.7109375" customWidth="1"/>
    <col min="1493" max="1493" width="11.7109375" style="9" customWidth="1"/>
    <col min="1494" max="1494" width="10.7109375" customWidth="1"/>
    <col min="1495" max="1495" width="11.7109375" style="9" customWidth="1"/>
    <col min="1496" max="1496" width="10.7109375" customWidth="1"/>
    <col min="1497" max="1497" width="11.7109375" style="9" customWidth="1"/>
    <col min="1498" max="1498" width="10.7109375" customWidth="1"/>
    <col min="1499" max="1499" width="11.7109375" style="9" customWidth="1"/>
    <col min="1500" max="1500" width="10.7109375" customWidth="1"/>
    <col min="1501" max="1501" width="11.7109375" style="9" customWidth="1"/>
    <col min="1502" max="1502" width="10.7109375" customWidth="1"/>
    <col min="1503" max="1503" width="11.7109375" style="9" customWidth="1"/>
    <col min="1504" max="1504" width="10.7109375" customWidth="1"/>
    <col min="1505" max="1505" width="11.7109375" style="9" customWidth="1"/>
    <col min="1506" max="1506" width="10.7109375" customWidth="1"/>
    <col min="1507" max="1507" width="11.7109375" style="9" customWidth="1"/>
    <col min="1508" max="1508" width="10.7109375" customWidth="1"/>
    <col min="1509" max="1509" width="11.7109375" style="9" customWidth="1"/>
    <col min="1510" max="1510" width="10.7109375" customWidth="1"/>
    <col min="1511" max="1511" width="11.7109375" style="9" customWidth="1"/>
    <col min="1512" max="1512" width="10.7109375" customWidth="1"/>
    <col min="1513" max="1513" width="11.7109375" style="9" customWidth="1"/>
    <col min="1514" max="1514" width="10.7109375" customWidth="1"/>
    <col min="1515" max="1515" width="11.7109375" style="9" customWidth="1"/>
    <col min="1516" max="1516" width="10.7109375" customWidth="1"/>
    <col min="1517" max="1517" width="11.7109375" style="9" customWidth="1"/>
    <col min="1518" max="1518" width="10.7109375" customWidth="1"/>
    <col min="1519" max="1519" width="11.7109375" style="9" customWidth="1"/>
    <col min="1520" max="1520" width="10.7109375" customWidth="1"/>
    <col min="1521" max="1521" width="11.7109375" style="9" customWidth="1"/>
    <col min="1522" max="1522" width="10.7109375" customWidth="1"/>
    <col min="1523" max="1523" width="11.7109375" style="9" customWidth="1"/>
    <col min="1524" max="1524" width="10.7109375" customWidth="1"/>
    <col min="1525" max="1525" width="11.7109375" style="9" customWidth="1"/>
    <col min="1526" max="1526" width="10.7109375" customWidth="1"/>
    <col min="1527" max="1527" width="11.7109375" style="9" customWidth="1"/>
    <col min="1528" max="1528" width="10.7109375" customWidth="1"/>
    <col min="1529" max="1529" width="11.7109375" style="9" customWidth="1"/>
    <col min="1530" max="1530" width="10.7109375" customWidth="1"/>
    <col min="1531" max="1531" width="11.7109375" style="9" customWidth="1"/>
    <col min="1532" max="1532" width="10.7109375" customWidth="1"/>
    <col min="1533" max="1533" width="11.7109375" style="9" customWidth="1"/>
    <col min="1534" max="1534" width="10.7109375" customWidth="1"/>
    <col min="1535" max="1535" width="11.7109375" style="9" customWidth="1"/>
    <col min="1536" max="1536" width="10.7109375" customWidth="1"/>
    <col min="1537" max="1537" width="11.7109375" style="9" customWidth="1"/>
    <col min="1538" max="1538" width="10.7109375" customWidth="1"/>
    <col min="1539" max="1539" width="11.7109375" style="9" customWidth="1"/>
    <col min="1540" max="1540" width="10.7109375" customWidth="1"/>
    <col min="1541" max="1541" width="11.7109375" style="9" customWidth="1"/>
    <col min="1542" max="1542" width="10.7109375" customWidth="1"/>
    <col min="1543" max="1543" width="11.7109375" style="9" customWidth="1"/>
    <col min="1544" max="1544" width="10.7109375" customWidth="1"/>
    <col min="1545" max="1545" width="11.7109375" style="9" customWidth="1"/>
    <col min="1546" max="1546" width="10.7109375" customWidth="1"/>
    <col min="1547" max="1547" width="11.7109375" style="9" customWidth="1"/>
    <col min="1548" max="1548" width="10.7109375" customWidth="1"/>
    <col min="1549" max="1549" width="11.7109375" style="9" customWidth="1"/>
    <col min="1550" max="1550" width="10.7109375" customWidth="1"/>
    <col min="1551" max="1551" width="11.7109375" style="9" customWidth="1"/>
    <col min="1552" max="1552" width="10.7109375" customWidth="1"/>
    <col min="1553" max="1553" width="11.7109375" style="9" customWidth="1"/>
    <col min="1554" max="1554" width="10.7109375" customWidth="1"/>
    <col min="1555" max="1555" width="11.7109375" style="9" customWidth="1"/>
    <col min="1556" max="1556" width="10.7109375" customWidth="1"/>
    <col min="1557" max="1557" width="11.7109375" style="9" customWidth="1"/>
    <col min="1558" max="1558" width="10.7109375" customWidth="1"/>
    <col min="1559" max="1559" width="11.7109375" style="9" customWidth="1"/>
    <col min="1560" max="1560" width="10.7109375" customWidth="1"/>
    <col min="1561" max="1561" width="11.7109375" style="9" customWidth="1"/>
    <col min="1562" max="1562" width="10.7109375" customWidth="1"/>
    <col min="1563" max="1563" width="11.7109375" style="9" customWidth="1"/>
    <col min="1564" max="1564" width="10.7109375" customWidth="1"/>
    <col min="1565" max="1565" width="11.7109375" style="9" customWidth="1"/>
    <col min="1566" max="1566" width="10.7109375" customWidth="1"/>
    <col min="1567" max="1567" width="11.7109375" style="9" customWidth="1"/>
    <col min="1568" max="1568" width="10.7109375" customWidth="1"/>
    <col min="1569" max="1569" width="11.7109375" style="9" customWidth="1"/>
    <col min="1570" max="1570" width="10.7109375" customWidth="1"/>
    <col min="1571" max="1571" width="11.7109375" style="9" customWidth="1"/>
    <col min="1572" max="1572" width="10.7109375" customWidth="1"/>
    <col min="1573" max="1573" width="11.7109375" style="9" customWidth="1"/>
    <col min="1574" max="1574" width="10.7109375" customWidth="1"/>
    <col min="1575" max="1575" width="11.7109375" style="9" customWidth="1"/>
    <col min="1576" max="1576" width="10.7109375" customWidth="1"/>
    <col min="1577" max="1577" width="11.7109375" style="9" customWidth="1"/>
    <col min="1578" max="1578" width="10.7109375" customWidth="1"/>
    <col min="1579" max="1579" width="11.7109375" style="9" customWidth="1"/>
    <col min="1580" max="1580" width="10.7109375" customWidth="1"/>
    <col min="1581" max="1581" width="11.7109375" style="9" customWidth="1"/>
    <col min="1582" max="1582" width="10.7109375" customWidth="1"/>
    <col min="1583" max="1583" width="11.7109375" style="9" customWidth="1"/>
    <col min="1584" max="1584" width="10.7109375" customWidth="1"/>
    <col min="1585" max="1585" width="11.7109375" style="9" customWidth="1"/>
    <col min="1586" max="1586" width="10.7109375" customWidth="1"/>
    <col min="1587" max="1587" width="11.7109375" style="9" customWidth="1"/>
    <col min="1588" max="1588" width="10.7109375" customWidth="1"/>
    <col min="1589" max="1589" width="11.7109375" style="9" customWidth="1"/>
    <col min="1590" max="1590" width="10.7109375" customWidth="1"/>
    <col min="1591" max="1591" width="11.7109375" style="9" customWidth="1"/>
    <col min="1592" max="1592" width="10.7109375" customWidth="1"/>
    <col min="1593" max="1593" width="11.7109375" style="9" customWidth="1"/>
    <col min="1594" max="1594" width="10.7109375" customWidth="1"/>
    <col min="1595" max="1595" width="11.7109375" style="9" customWidth="1"/>
    <col min="1596" max="1596" width="10.7109375" customWidth="1"/>
    <col min="1597" max="1597" width="11.7109375" style="9" customWidth="1"/>
    <col min="1598" max="1598" width="10.7109375" customWidth="1"/>
    <col min="1599" max="1599" width="11.7109375" style="9" customWidth="1"/>
    <col min="1600" max="1600" width="10.7109375" customWidth="1"/>
    <col min="1601" max="1601" width="11.7109375" style="9" customWidth="1"/>
    <col min="1602" max="1602" width="10.7109375" customWidth="1"/>
    <col min="1603" max="1603" width="11.7109375" style="9" customWidth="1"/>
    <col min="1604" max="1604" width="10.7109375" customWidth="1"/>
    <col min="1605" max="1605" width="11.7109375" style="9" customWidth="1"/>
    <col min="1606" max="1606" width="10.7109375" customWidth="1"/>
    <col min="1607" max="1607" width="11.7109375" style="9" customWidth="1"/>
    <col min="1608" max="1608" width="10.7109375" customWidth="1"/>
    <col min="1609" max="1609" width="11.7109375" style="9" customWidth="1"/>
    <col min="1610" max="1610" width="10.7109375" customWidth="1"/>
    <col min="1611" max="1611" width="11.7109375" style="9" customWidth="1"/>
    <col min="1612" max="1612" width="10.7109375" customWidth="1"/>
    <col min="1613" max="1613" width="11.7109375" style="9" customWidth="1"/>
    <col min="1614" max="1614" width="10.7109375" customWidth="1"/>
    <col min="1615" max="1615" width="11.7109375" style="9" customWidth="1"/>
    <col min="1616" max="1616" width="10.7109375" customWidth="1"/>
    <col min="1617" max="1617" width="11.7109375" style="9" customWidth="1"/>
    <col min="1618" max="1618" width="10.7109375" customWidth="1"/>
    <col min="1619" max="1619" width="11.7109375" style="9" customWidth="1"/>
    <col min="1620" max="1620" width="10.7109375" customWidth="1"/>
    <col min="1621" max="1621" width="11.7109375" style="9" customWidth="1"/>
    <col min="1622" max="1622" width="10.7109375" customWidth="1"/>
    <col min="1623" max="1623" width="11.7109375" style="9" customWidth="1"/>
    <col min="1624" max="1624" width="10.7109375" customWidth="1"/>
    <col min="1625" max="1625" width="11.7109375" style="9" customWidth="1"/>
    <col min="1626" max="1626" width="10.7109375" customWidth="1"/>
    <col min="1627" max="1627" width="11.7109375" style="9" customWidth="1"/>
    <col min="1628" max="1628" width="10.7109375" customWidth="1"/>
    <col min="1629" max="1629" width="11.7109375" style="9" customWidth="1"/>
    <col min="1630" max="1630" width="10.7109375" customWidth="1"/>
    <col min="1631" max="1631" width="11.7109375" style="9" customWidth="1"/>
    <col min="1632" max="1632" width="10.7109375" customWidth="1"/>
    <col min="1633" max="1633" width="11.7109375" style="9" customWidth="1"/>
    <col min="1634" max="1634" width="10.7109375" customWidth="1"/>
    <col min="1635" max="1635" width="11.7109375" style="9" customWidth="1"/>
    <col min="1636" max="1636" width="10.7109375" customWidth="1"/>
    <col min="1637" max="1637" width="11.7109375" style="9" customWidth="1"/>
    <col min="1638" max="1638" width="10.7109375" customWidth="1"/>
    <col min="1639" max="1639" width="11.7109375" style="9" customWidth="1"/>
    <col min="1640" max="1640" width="10.7109375" customWidth="1"/>
    <col min="1641" max="1641" width="11.7109375" style="9" customWidth="1"/>
    <col min="1642" max="1642" width="10.7109375" customWidth="1"/>
    <col min="1643" max="1643" width="11.7109375" style="9" customWidth="1"/>
    <col min="1644" max="1644" width="10.7109375" customWidth="1"/>
    <col min="1645" max="1645" width="11.7109375" style="9" customWidth="1"/>
    <col min="1646" max="1646" width="10.7109375" customWidth="1"/>
    <col min="1647" max="1647" width="11.7109375" style="9" customWidth="1"/>
    <col min="1648" max="1648" width="10.7109375" customWidth="1"/>
    <col min="1649" max="1649" width="11.7109375" style="9" customWidth="1"/>
    <col min="1650" max="1650" width="10.7109375" customWidth="1"/>
    <col min="1651" max="1651" width="11.7109375" style="9" customWidth="1"/>
    <col min="1652" max="1652" width="10.7109375" customWidth="1"/>
    <col min="1653" max="1653" width="11.7109375" style="9" customWidth="1"/>
    <col min="1654" max="1654" width="10.7109375" customWidth="1"/>
    <col min="1655" max="1655" width="11.7109375" style="9" customWidth="1"/>
    <col min="1656" max="1656" width="10.7109375" customWidth="1"/>
    <col min="1657" max="1657" width="11.7109375" style="9" customWidth="1"/>
    <col min="1658" max="1658" width="10.7109375" customWidth="1"/>
    <col min="1659" max="1659" width="11.7109375" style="9" customWidth="1"/>
    <col min="1660" max="1660" width="10.7109375" customWidth="1"/>
    <col min="1661" max="1661" width="11.7109375" style="9" customWidth="1"/>
    <col min="1662" max="1662" width="10.7109375" customWidth="1"/>
    <col min="1663" max="1663" width="11.7109375" style="9" customWidth="1"/>
    <col min="1664" max="1664" width="10.7109375" customWidth="1"/>
    <col min="1665" max="1665" width="11.7109375" style="9" customWidth="1"/>
    <col min="1666" max="1666" width="10.7109375" customWidth="1"/>
    <col min="1667" max="1667" width="11.7109375" style="9" customWidth="1"/>
    <col min="1668" max="1668" width="10.7109375" customWidth="1"/>
    <col min="1669" max="1669" width="11.7109375" style="9" customWidth="1"/>
    <col min="1670" max="1670" width="10.7109375" customWidth="1"/>
    <col min="1671" max="1671" width="11.7109375" style="9" customWidth="1"/>
    <col min="1672" max="1672" width="10.7109375" customWidth="1"/>
    <col min="1673" max="1673" width="11.7109375" style="9" customWidth="1"/>
    <col min="1674" max="1674" width="10.7109375" customWidth="1"/>
    <col min="1675" max="1675" width="11.7109375" style="9" customWidth="1"/>
    <col min="1676" max="1676" width="10.7109375" customWidth="1"/>
    <col min="1677" max="1677" width="11.7109375" style="9" customWidth="1"/>
    <col min="1678" max="1678" width="10.7109375" customWidth="1"/>
    <col min="1679" max="1679" width="11.7109375" style="9" customWidth="1"/>
    <col min="1680" max="1680" width="10.7109375" customWidth="1"/>
    <col min="1681" max="1681" width="11.7109375" style="9" customWidth="1"/>
    <col min="1682" max="1682" width="10.7109375" customWidth="1"/>
    <col min="1683" max="1683" width="11.7109375" style="9" customWidth="1"/>
    <col min="1684" max="1684" width="10.7109375" customWidth="1"/>
    <col min="1685" max="1685" width="11.7109375" style="9" customWidth="1"/>
    <col min="1686" max="1686" width="10.7109375" customWidth="1"/>
    <col min="1687" max="1687" width="11.7109375" style="9" customWidth="1"/>
    <col min="1688" max="1688" width="10.7109375" customWidth="1"/>
    <col min="1689" max="1689" width="11.7109375" style="9" customWidth="1"/>
    <col min="1690" max="1690" width="10.7109375" customWidth="1"/>
    <col min="1691" max="1691" width="11.7109375" style="9" customWidth="1"/>
    <col min="1692" max="1692" width="10.7109375" customWidth="1"/>
    <col min="1693" max="1693" width="11.7109375" style="9" customWidth="1"/>
    <col min="1694" max="1694" width="10.7109375" customWidth="1"/>
    <col min="1695" max="1695" width="11.7109375" style="9" customWidth="1"/>
    <col min="1696" max="1696" width="10.7109375" customWidth="1"/>
    <col min="1697" max="1697" width="11.7109375" style="9" customWidth="1"/>
    <col min="1698" max="1698" width="10.7109375" customWidth="1"/>
    <col min="1699" max="1699" width="11.7109375" style="9" customWidth="1"/>
    <col min="1700" max="1700" width="10.7109375" customWidth="1"/>
    <col min="1701" max="1701" width="11.7109375" style="9" customWidth="1"/>
    <col min="1702" max="1702" width="10.7109375" customWidth="1"/>
    <col min="1703" max="1703" width="11.7109375" style="9" customWidth="1"/>
    <col min="1704" max="1704" width="10.7109375" customWidth="1"/>
    <col min="1705" max="1705" width="11.7109375" style="9" customWidth="1"/>
    <col min="1706" max="1706" width="10.7109375" customWidth="1"/>
    <col min="1707" max="1707" width="11.7109375" style="9" customWidth="1"/>
    <col min="1708" max="1708" width="10.7109375" customWidth="1"/>
    <col min="1709" max="1709" width="11.7109375" style="9" customWidth="1"/>
    <col min="1710" max="1710" width="10.7109375" customWidth="1"/>
    <col min="1711" max="1711" width="11.7109375" style="9" customWidth="1"/>
    <col min="1712" max="1712" width="10.7109375" customWidth="1"/>
    <col min="1713" max="1713" width="11.7109375" style="9" customWidth="1"/>
    <col min="1714" max="1714" width="10.7109375" customWidth="1"/>
    <col min="1715" max="1715" width="11.7109375" style="9" customWidth="1"/>
    <col min="1716" max="1716" width="10.7109375" customWidth="1"/>
    <col min="1717" max="1717" width="11.7109375" style="9" customWidth="1"/>
    <col min="1718" max="1718" width="10.7109375" customWidth="1"/>
    <col min="1719" max="1719" width="11.7109375" style="9" customWidth="1"/>
    <col min="1720" max="1720" width="10.7109375" customWidth="1"/>
    <col min="1721" max="1721" width="11.7109375" style="9" customWidth="1"/>
    <col min="1722" max="1722" width="10.7109375" customWidth="1"/>
    <col min="1723" max="1723" width="11.7109375" style="9" customWidth="1"/>
    <col min="1724" max="1724" width="10.7109375" customWidth="1"/>
    <col min="1725" max="1725" width="11.7109375" style="9" customWidth="1"/>
    <col min="1726" max="1726" width="10.7109375" customWidth="1"/>
    <col min="1727" max="1727" width="11.7109375" style="9" customWidth="1"/>
    <col min="1728" max="1728" width="10.7109375" customWidth="1"/>
    <col min="1729" max="1729" width="11.7109375" style="9" customWidth="1"/>
    <col min="1730" max="1730" width="10.7109375" customWidth="1"/>
    <col min="1731" max="1731" width="11.7109375" style="9" customWidth="1"/>
    <col min="1732" max="1732" width="10.7109375" customWidth="1"/>
    <col min="1733" max="1733" width="11.7109375" style="9" customWidth="1"/>
    <col min="1734" max="1734" width="10.7109375" customWidth="1"/>
    <col min="1735" max="1735" width="11.7109375" style="9" customWidth="1"/>
    <col min="1736" max="1736" width="10.7109375" customWidth="1"/>
    <col min="1737" max="1737" width="11.7109375" style="9" customWidth="1"/>
    <col min="1738" max="1738" width="10.7109375" customWidth="1"/>
    <col min="1739" max="1739" width="11.7109375" style="9" customWidth="1"/>
    <col min="1740" max="1740" width="10.7109375" customWidth="1"/>
    <col min="1741" max="1741" width="11.7109375" style="9" customWidth="1"/>
    <col min="1742" max="1742" width="10.7109375" customWidth="1"/>
    <col min="1743" max="1743" width="11.7109375" style="9" customWidth="1"/>
    <col min="1744" max="1744" width="10.7109375" customWidth="1"/>
    <col min="1745" max="1745" width="11.7109375" style="9" customWidth="1"/>
    <col min="1746" max="1746" width="10.7109375" customWidth="1"/>
    <col min="1747" max="1747" width="11.7109375" style="9" customWidth="1"/>
    <col min="1748" max="1748" width="10.7109375" customWidth="1"/>
    <col min="1749" max="1749" width="11.7109375" style="9" customWidth="1"/>
    <col min="1750" max="1750" width="10.7109375" customWidth="1"/>
    <col min="1751" max="1751" width="11.7109375" style="9" customWidth="1"/>
    <col min="1752" max="1752" width="10.7109375" customWidth="1"/>
    <col min="1753" max="1753" width="11.7109375" style="9" customWidth="1"/>
    <col min="1754" max="1754" width="10.7109375" customWidth="1"/>
    <col min="1755" max="1755" width="11.7109375" style="9" customWidth="1"/>
    <col min="1756" max="1756" width="10.7109375" customWidth="1"/>
    <col min="1757" max="1757" width="11.7109375" style="9" customWidth="1"/>
    <col min="1758" max="1758" width="10.7109375" customWidth="1"/>
    <col min="1759" max="1759" width="11.7109375" style="9" customWidth="1"/>
    <col min="1760" max="1760" width="10.7109375" customWidth="1"/>
    <col min="1761" max="1761" width="11.7109375" style="9" customWidth="1"/>
    <col min="1762" max="1762" width="10.7109375" customWidth="1"/>
    <col min="1763" max="1763" width="11.7109375" style="9" customWidth="1"/>
    <col min="1764" max="1764" width="10.7109375" customWidth="1"/>
    <col min="1765" max="1765" width="11.7109375" style="9" customWidth="1"/>
    <col min="1766" max="1766" width="10.7109375" customWidth="1"/>
    <col min="1767" max="1767" width="11.7109375" style="9" customWidth="1"/>
    <col min="1768" max="1768" width="10.7109375" customWidth="1"/>
    <col min="1769" max="1769" width="11.7109375" style="9" customWidth="1"/>
    <col min="1770" max="1770" width="10.7109375" customWidth="1"/>
    <col min="1771" max="1771" width="11.7109375" style="9" customWidth="1"/>
    <col min="1772" max="1772" width="10.7109375" customWidth="1"/>
    <col min="1773" max="1773" width="11.7109375" style="9" customWidth="1"/>
    <col min="1774" max="1774" width="10.7109375" customWidth="1"/>
    <col min="1775" max="1775" width="11.7109375" style="9" customWidth="1"/>
    <col min="1776" max="1776" width="10.7109375" customWidth="1"/>
    <col min="1777" max="1777" width="11.7109375" style="9" customWidth="1"/>
    <col min="1778" max="1778" width="10.7109375" customWidth="1"/>
    <col min="1779" max="1779" width="11.7109375" style="9" customWidth="1"/>
    <col min="1780" max="1780" width="10.7109375" customWidth="1"/>
    <col min="1781" max="1781" width="11.7109375" style="9" customWidth="1"/>
    <col min="1782" max="1782" width="10.7109375" customWidth="1"/>
    <col min="1783" max="1783" width="11.7109375" style="9" customWidth="1"/>
    <col min="1784" max="1784" width="10.7109375" customWidth="1"/>
    <col min="1785" max="1785" width="11.7109375" style="9" customWidth="1"/>
    <col min="1786" max="1786" width="10.7109375" customWidth="1"/>
    <col min="1787" max="1787" width="11.7109375" style="9" customWidth="1"/>
    <col min="1788" max="1788" width="10.7109375" customWidth="1"/>
    <col min="1789" max="1789" width="11.7109375" style="9" customWidth="1"/>
    <col min="1790" max="1790" width="10.7109375" customWidth="1"/>
    <col min="1791" max="1791" width="11.7109375" style="9" customWidth="1"/>
    <col min="1792" max="1792" width="10.7109375" customWidth="1"/>
    <col min="1793" max="1793" width="11.7109375" style="9" customWidth="1"/>
    <col min="1794" max="1794" width="10.7109375" customWidth="1"/>
    <col min="1795" max="1795" width="11.7109375" style="9" customWidth="1"/>
    <col min="1796" max="1796" width="10.7109375" customWidth="1"/>
    <col min="1797" max="1797" width="11.7109375" style="9" customWidth="1"/>
    <col min="1798" max="1798" width="10.7109375" customWidth="1"/>
    <col min="1799" max="1799" width="11.7109375" style="9" customWidth="1"/>
    <col min="1800" max="1800" width="10.7109375" customWidth="1"/>
    <col min="1801" max="1801" width="11.7109375" style="9" customWidth="1"/>
    <col min="1802" max="1802" width="10.7109375" customWidth="1"/>
    <col min="1803" max="1803" width="11.7109375" style="9" customWidth="1"/>
    <col min="1804" max="1804" width="10.7109375" customWidth="1"/>
    <col min="1805" max="1805" width="11.7109375" style="9" customWidth="1"/>
    <col min="1806" max="1806" width="10.7109375" customWidth="1"/>
    <col min="1807" max="1807" width="11.7109375" style="9" customWidth="1"/>
    <col min="1808" max="1808" width="10.7109375" customWidth="1"/>
    <col min="1809" max="1809" width="11.7109375" style="9" customWidth="1"/>
    <col min="1810" max="1810" width="10.7109375" customWidth="1"/>
    <col min="1811" max="1811" width="11.7109375" style="9" customWidth="1"/>
    <col min="1812" max="1812" width="10.7109375" customWidth="1"/>
    <col min="1813" max="1813" width="11.7109375" style="9" customWidth="1"/>
    <col min="1814" max="1814" width="10.7109375" customWidth="1"/>
    <col min="1815" max="1815" width="11.7109375" style="9" customWidth="1"/>
    <col min="1816" max="1816" width="10.7109375" customWidth="1"/>
    <col min="1817" max="1817" width="11.7109375" style="9" customWidth="1"/>
    <col min="1818" max="1818" width="10.7109375" customWidth="1"/>
    <col min="1819" max="1819" width="11.7109375" style="9" customWidth="1"/>
    <col min="1820" max="1820" width="10.7109375" customWidth="1"/>
    <col min="1821" max="1821" width="11.7109375" style="9" customWidth="1"/>
    <col min="1822" max="1822" width="10.7109375" customWidth="1"/>
    <col min="1823" max="1823" width="11.7109375" style="9" customWidth="1"/>
    <col min="1824" max="1824" width="10.7109375" customWidth="1"/>
    <col min="1825" max="1825" width="11.7109375" style="9" customWidth="1"/>
    <col min="1826" max="1826" width="10.7109375" customWidth="1"/>
    <col min="1827" max="1827" width="11.7109375" style="9" customWidth="1"/>
    <col min="1828" max="1828" width="10.7109375" customWidth="1"/>
    <col min="1829" max="1829" width="11.7109375" style="9" customWidth="1"/>
    <col min="1830" max="1830" width="10.7109375" customWidth="1"/>
    <col min="1831" max="1831" width="11.7109375" style="9" customWidth="1"/>
    <col min="1832" max="1832" width="10.7109375" customWidth="1"/>
    <col min="1833" max="1833" width="11.7109375" style="9" customWidth="1"/>
    <col min="1834" max="1834" width="10.7109375" customWidth="1"/>
    <col min="1835" max="1835" width="11.7109375" style="9" customWidth="1"/>
    <col min="1836" max="1836" width="10.7109375" customWidth="1"/>
    <col min="1837" max="1837" width="11.7109375" style="9" customWidth="1"/>
    <col min="1838" max="1838" width="10.7109375" customWidth="1"/>
    <col min="1839" max="1839" width="11.7109375" style="9" customWidth="1"/>
    <col min="1840" max="1840" width="10.7109375" customWidth="1"/>
    <col min="1841" max="1841" width="11.7109375" style="9" customWidth="1"/>
    <col min="1842" max="1842" width="10.7109375" customWidth="1"/>
    <col min="1843" max="1843" width="11.7109375" style="9" customWidth="1"/>
    <col min="1844" max="1844" width="10.7109375" customWidth="1"/>
    <col min="1845" max="1845" width="11.7109375" style="9" customWidth="1"/>
    <col min="1846" max="1846" width="10.7109375" customWidth="1"/>
    <col min="1847" max="1847" width="11.7109375" style="9" customWidth="1"/>
    <col min="1848" max="1848" width="10.7109375" customWidth="1"/>
    <col min="1849" max="1849" width="11.7109375" style="9" customWidth="1"/>
    <col min="1850" max="1850" width="10.7109375" customWidth="1"/>
    <col min="1851" max="1851" width="11.7109375" style="9" customWidth="1"/>
    <col min="1852" max="1852" width="10.7109375" customWidth="1"/>
    <col min="1853" max="1853" width="11.7109375" style="9" customWidth="1"/>
    <col min="1854" max="1854" width="10.7109375" customWidth="1"/>
    <col min="1855" max="1855" width="11.7109375" style="9" customWidth="1"/>
    <col min="1856" max="1856" width="10.7109375" customWidth="1"/>
    <col min="1857" max="1857" width="11.7109375" style="9" customWidth="1"/>
    <col min="1858" max="1858" width="10.7109375" customWidth="1"/>
    <col min="1859" max="1859" width="11.7109375" style="9" customWidth="1"/>
    <col min="1860" max="1860" width="10.7109375" customWidth="1"/>
    <col min="1861" max="1861" width="11.7109375" style="9" customWidth="1"/>
    <col min="1862" max="1862" width="10.7109375" customWidth="1"/>
    <col min="1863" max="1863" width="11.7109375" style="9" customWidth="1"/>
    <col min="1864" max="1864" width="10.7109375" customWidth="1"/>
    <col min="1865" max="1865" width="11.7109375" style="9" customWidth="1"/>
    <col min="1866" max="1866" width="10.7109375" customWidth="1"/>
    <col min="1867" max="1867" width="11.7109375" style="9" customWidth="1"/>
    <col min="1868" max="1868" width="10.7109375" customWidth="1"/>
    <col min="1869" max="1869" width="11.7109375" style="9" customWidth="1"/>
    <col min="1870" max="1870" width="10.7109375" customWidth="1"/>
    <col min="1871" max="1871" width="11.7109375" style="9" customWidth="1"/>
    <col min="1872" max="1872" width="10.7109375" customWidth="1"/>
    <col min="1873" max="1873" width="11.7109375" style="9" customWidth="1"/>
    <col min="1874" max="1874" width="10.7109375" customWidth="1"/>
    <col min="1875" max="1875" width="11.7109375" style="9" customWidth="1"/>
    <col min="1876" max="1876" width="10.7109375" customWidth="1"/>
    <col min="1877" max="1877" width="11.7109375" style="9" customWidth="1"/>
    <col min="1878" max="1878" width="10.7109375" customWidth="1"/>
    <col min="1879" max="1879" width="11.7109375" style="9" customWidth="1"/>
    <col min="1880" max="1880" width="10.7109375" customWidth="1"/>
    <col min="1881" max="1881" width="11.7109375" style="9" customWidth="1"/>
    <col min="1882" max="1882" width="10.7109375" customWidth="1"/>
    <col min="1883" max="1883" width="11.7109375" style="9" customWidth="1"/>
    <col min="1884" max="1884" width="10.7109375" customWidth="1"/>
    <col min="1885" max="1885" width="11.7109375" style="9" customWidth="1"/>
    <col min="1886" max="1886" width="10.7109375" customWidth="1"/>
    <col min="1887" max="1887" width="11.7109375" style="9" customWidth="1"/>
    <col min="1888" max="1888" width="10.7109375" customWidth="1"/>
    <col min="1889" max="1889" width="11.7109375" style="9" customWidth="1"/>
    <col min="1890" max="1890" width="10.7109375" customWidth="1"/>
    <col min="1891" max="1891" width="11.7109375" style="9" customWidth="1"/>
    <col min="1892" max="1892" width="10.7109375" customWidth="1"/>
    <col min="1893" max="1893" width="11.7109375" style="9" customWidth="1"/>
    <col min="1894" max="1894" width="10.7109375" customWidth="1"/>
    <col min="1895" max="1895" width="11.7109375" style="9" customWidth="1"/>
    <col min="1896" max="1896" width="10.7109375" customWidth="1"/>
    <col min="1897" max="1897" width="11.7109375" style="9" customWidth="1"/>
    <col min="1898" max="1898" width="10.7109375" customWidth="1"/>
    <col min="1899" max="1899" width="11.7109375" style="9" customWidth="1"/>
    <col min="1900" max="1900" width="10.7109375" customWidth="1"/>
    <col min="1901" max="1901" width="11.7109375" style="9" customWidth="1"/>
    <col min="1902" max="1902" width="10.7109375" customWidth="1"/>
    <col min="1903" max="1903" width="11.7109375" style="9" customWidth="1"/>
    <col min="1904" max="1904" width="10.7109375" customWidth="1"/>
    <col min="1905" max="1905" width="11.7109375" style="9" customWidth="1"/>
    <col min="1906" max="1906" width="10.7109375" customWidth="1"/>
    <col min="1907" max="1907" width="11.7109375" style="9" customWidth="1"/>
    <col min="1908" max="1908" width="10.7109375" customWidth="1"/>
    <col min="1909" max="1909" width="11.7109375" style="9" customWidth="1"/>
    <col min="1910" max="1910" width="10.7109375" customWidth="1"/>
    <col min="1911" max="1911" width="11.7109375" style="9" customWidth="1"/>
    <col min="1912" max="1912" width="10.7109375" customWidth="1"/>
    <col min="1913" max="1913" width="11.7109375" style="9" customWidth="1"/>
    <col min="1914" max="1914" width="10.7109375" customWidth="1"/>
    <col min="1915" max="1915" width="11.7109375" style="9" customWidth="1"/>
    <col min="1916" max="1916" width="10.7109375" customWidth="1"/>
    <col min="1917" max="1917" width="11.7109375" style="9" customWidth="1"/>
    <col min="1918" max="1918" width="10.7109375" customWidth="1"/>
    <col min="1919" max="1919" width="11.7109375" style="9" customWidth="1"/>
    <col min="1920" max="1920" width="10.7109375" customWidth="1"/>
    <col min="1921" max="1921" width="11.7109375" style="9" customWidth="1"/>
    <col min="1922" max="1922" width="10.7109375" customWidth="1"/>
    <col min="1923" max="1923" width="11.7109375" style="9" customWidth="1"/>
    <col min="1924" max="1924" width="10.7109375" customWidth="1"/>
    <col min="1925" max="1925" width="11.7109375" style="9" customWidth="1"/>
    <col min="1926" max="1926" width="10.7109375" customWidth="1"/>
    <col min="1927" max="1927" width="11.7109375" style="9" customWidth="1"/>
    <col min="1928" max="1928" width="10.7109375" customWidth="1"/>
    <col min="1929" max="1929" width="11.7109375" style="9" customWidth="1"/>
    <col min="1930" max="1930" width="10.7109375" customWidth="1"/>
    <col min="1931" max="1931" width="11.7109375" style="9" customWidth="1"/>
    <col min="1932" max="1932" width="10.7109375" customWidth="1"/>
    <col min="1933" max="1933" width="11.7109375" style="9" customWidth="1"/>
    <col min="1934" max="1934" width="10.7109375" customWidth="1"/>
    <col min="1935" max="1935" width="11.7109375" style="9" customWidth="1"/>
    <col min="1936" max="1936" width="10.7109375" customWidth="1"/>
    <col min="1937" max="1937" width="11.7109375" style="9" customWidth="1"/>
    <col min="1938" max="1938" width="10.7109375" customWidth="1"/>
    <col min="1939" max="1939" width="11.7109375" style="9" customWidth="1"/>
    <col min="1940" max="1940" width="10.7109375" customWidth="1"/>
    <col min="1941" max="1941" width="11.7109375" style="9" customWidth="1"/>
    <col min="1942" max="1942" width="10.7109375" customWidth="1"/>
    <col min="1943" max="1943" width="11.7109375" style="9" customWidth="1"/>
    <col min="1944" max="1944" width="10.7109375" customWidth="1"/>
    <col min="1945" max="1945" width="11.7109375" style="9" customWidth="1"/>
    <col min="1946" max="1946" width="10.7109375" customWidth="1"/>
    <col min="1947" max="1947" width="11.7109375" style="9" customWidth="1"/>
    <col min="1948" max="1948" width="10.7109375" customWidth="1"/>
    <col min="1949" max="1949" width="11.7109375" style="9" customWidth="1"/>
    <col min="1950" max="1950" width="10.7109375" customWidth="1"/>
    <col min="1951" max="1951" width="11.7109375" style="9" customWidth="1"/>
    <col min="1952" max="1952" width="10.7109375" customWidth="1"/>
    <col min="1953" max="1953" width="11.7109375" style="9" customWidth="1"/>
    <col min="1954" max="1954" width="10.7109375" customWidth="1"/>
    <col min="1955" max="1955" width="11.7109375" style="9" customWidth="1"/>
    <col min="1956" max="1956" width="10.7109375" customWidth="1"/>
    <col min="1957" max="1957" width="11.7109375" style="9" customWidth="1"/>
    <col min="1958" max="1958" width="10.7109375" customWidth="1"/>
    <col min="1959" max="1959" width="11.7109375" style="9" customWidth="1"/>
    <col min="1960" max="1960" width="10.7109375" customWidth="1"/>
    <col min="1961" max="1961" width="11.7109375" style="9" customWidth="1"/>
    <col min="1962" max="1962" width="10.7109375" customWidth="1"/>
    <col min="1963" max="1963" width="11.7109375" style="9" customWidth="1"/>
    <col min="1964" max="1964" width="10.7109375" customWidth="1"/>
    <col min="1965" max="1965" width="11.7109375" style="9" customWidth="1"/>
    <col min="1966" max="1966" width="10.7109375" customWidth="1"/>
    <col min="1967" max="1967" width="11.7109375" style="9" customWidth="1"/>
    <col min="1968" max="1968" width="10.7109375" customWidth="1"/>
    <col min="1969" max="1969" width="11.7109375" style="9" customWidth="1"/>
    <col min="1970" max="1970" width="10.7109375" customWidth="1"/>
    <col min="1971" max="1971" width="11.7109375" style="9" customWidth="1"/>
    <col min="1972" max="1972" width="10.7109375" customWidth="1"/>
    <col min="1973" max="1973" width="11.7109375" style="9" customWidth="1"/>
    <col min="1974" max="1974" width="10.7109375" customWidth="1"/>
    <col min="1975" max="1975" width="11.7109375" style="9" customWidth="1"/>
    <col min="1976" max="1976" width="10.7109375" customWidth="1"/>
    <col min="1977" max="1977" width="11.7109375" style="9" customWidth="1"/>
    <col min="1978" max="1978" width="10.7109375" customWidth="1"/>
    <col min="1979" max="1979" width="11.7109375" style="9" customWidth="1"/>
    <col min="1980" max="1980" width="10.7109375" customWidth="1"/>
    <col min="1981" max="1981" width="11.7109375" style="9" customWidth="1"/>
    <col min="1982" max="1982" width="10.7109375" customWidth="1"/>
    <col min="1983" max="1983" width="11.7109375" style="9" customWidth="1"/>
    <col min="1984" max="1984" width="10.7109375" customWidth="1"/>
    <col min="1985" max="1985" width="11.7109375" style="9" customWidth="1"/>
    <col min="1986" max="1986" width="10.7109375" customWidth="1"/>
    <col min="1987" max="1987" width="11.7109375" style="9" customWidth="1"/>
    <col min="1988" max="1988" width="10.7109375" customWidth="1"/>
    <col min="1989" max="1989" width="11.7109375" style="9" customWidth="1"/>
    <col min="1990" max="1990" width="10.7109375" customWidth="1"/>
    <col min="1991" max="1991" width="11.7109375" style="9" customWidth="1"/>
    <col min="1992" max="1992" width="10.7109375" customWidth="1"/>
    <col min="1993" max="1993" width="11.7109375" style="9" customWidth="1"/>
    <col min="1994" max="1994" width="10.7109375" customWidth="1"/>
    <col min="1995" max="1995" width="11.7109375" style="9" customWidth="1"/>
    <col min="1996" max="1996" width="10.7109375" customWidth="1"/>
    <col min="1997" max="1997" width="11.7109375" style="9" customWidth="1"/>
    <col min="1998" max="1998" width="10.7109375" customWidth="1"/>
    <col min="1999" max="1999" width="11.7109375" style="9" customWidth="1"/>
    <col min="2000" max="2000" width="10.7109375" customWidth="1"/>
    <col min="2001" max="2001" width="11.7109375" style="9" customWidth="1"/>
    <col min="2002" max="2002" width="10.7109375" customWidth="1"/>
    <col min="2003" max="2003" width="11.7109375" style="9" customWidth="1"/>
    <col min="2004" max="2004" width="10.7109375" customWidth="1"/>
    <col min="2005" max="2005" width="11.7109375" style="9" customWidth="1"/>
    <col min="2006" max="2006" width="10.7109375" customWidth="1"/>
    <col min="2007" max="2007" width="11.7109375" style="9" customWidth="1"/>
    <col min="2008" max="2008" width="10.7109375" customWidth="1"/>
    <col min="2009" max="2009" width="11.7109375" style="9" customWidth="1"/>
    <col min="2010" max="2010" width="10.7109375" customWidth="1"/>
    <col min="2011" max="2011" width="11.7109375" style="9" customWidth="1"/>
    <col min="2012" max="2012" width="10.7109375" customWidth="1"/>
    <col min="2013" max="2013" width="11.7109375" style="9" customWidth="1"/>
    <col min="2014" max="2014" width="10.7109375" customWidth="1"/>
    <col min="2015" max="2015" width="11.7109375" style="9" customWidth="1"/>
    <col min="2016" max="2016" width="10.7109375" customWidth="1"/>
    <col min="2017" max="2017" width="11.7109375" style="9" customWidth="1"/>
    <col min="2018" max="2018" width="10.7109375" customWidth="1"/>
    <col min="2019" max="2019" width="11.7109375" style="9" customWidth="1"/>
    <col min="2020" max="2020" width="10.7109375" customWidth="1"/>
    <col min="2021" max="2021" width="11.7109375" style="9" customWidth="1"/>
    <col min="2022" max="2022" width="10.7109375" customWidth="1"/>
    <col min="2023" max="2023" width="11.7109375" style="9" customWidth="1"/>
    <col min="2024" max="2024" width="10.7109375" customWidth="1"/>
    <col min="2025" max="2025" width="11.7109375" style="9" customWidth="1"/>
    <col min="2026" max="2026" width="10.7109375" customWidth="1"/>
    <col min="2027" max="2027" width="11.7109375" style="9" customWidth="1"/>
    <col min="2028" max="2028" width="10.7109375" customWidth="1"/>
    <col min="2029" max="2029" width="11.7109375" style="9" customWidth="1"/>
    <col min="2030" max="2030" width="10.7109375" customWidth="1"/>
    <col min="2031" max="2031" width="11.7109375" style="9" customWidth="1"/>
    <col min="2032" max="2032" width="10.7109375" customWidth="1"/>
    <col min="2033" max="2033" width="11.7109375" style="9" customWidth="1"/>
    <col min="2034" max="2034" width="10.7109375" customWidth="1"/>
    <col min="2035" max="2035" width="11.7109375" style="9" customWidth="1"/>
    <col min="2036" max="2036" width="10.7109375" customWidth="1"/>
    <col min="2037" max="2037" width="11.7109375" style="9" customWidth="1"/>
    <col min="2038" max="2038" width="10.7109375" customWidth="1"/>
    <col min="2039" max="2039" width="11.7109375" style="9" customWidth="1"/>
    <col min="2040" max="2040" width="10.7109375" customWidth="1"/>
    <col min="2041" max="2041" width="11.7109375" style="9" customWidth="1"/>
    <col min="2042" max="2042" width="10.7109375" customWidth="1"/>
    <col min="2043" max="2043" width="11.7109375" style="9" customWidth="1"/>
    <col min="2044" max="2044" width="10.7109375" customWidth="1"/>
    <col min="2045" max="2045" width="11.7109375" style="9" customWidth="1"/>
    <col min="2046" max="2046" width="10.7109375" customWidth="1"/>
    <col min="2047" max="2047" width="11.7109375" style="9" customWidth="1"/>
    <col min="2048" max="2048" width="10.7109375" customWidth="1"/>
    <col min="2049" max="2049" width="11.7109375" style="9" customWidth="1"/>
    <col min="2050" max="2050" width="10.7109375" customWidth="1"/>
    <col min="2051" max="2051" width="11.7109375" style="9" customWidth="1"/>
    <col min="2052" max="2052" width="10.7109375" customWidth="1"/>
    <col min="2053" max="2053" width="11.7109375" style="9" customWidth="1"/>
    <col min="2054" max="2054" width="10.7109375" customWidth="1"/>
    <col min="2055" max="2055" width="11.7109375" style="9" customWidth="1"/>
    <col min="2056" max="2056" width="10.7109375" customWidth="1"/>
    <col min="2057" max="2057" width="11.7109375" style="9" customWidth="1"/>
    <col min="2058" max="2058" width="10.7109375" customWidth="1"/>
    <col min="2059" max="2059" width="11.7109375" style="9" customWidth="1"/>
    <col min="2060" max="2060" width="10.7109375" customWidth="1"/>
    <col min="2061" max="2061" width="11.7109375" style="9" customWidth="1"/>
    <col min="2062" max="2062" width="10.7109375" customWidth="1"/>
    <col min="2063" max="2063" width="11.7109375" style="9" customWidth="1"/>
    <col min="2064" max="2064" width="10.7109375" customWidth="1"/>
    <col min="2065" max="2065" width="11.7109375" style="9" customWidth="1"/>
    <col min="2066" max="2066" width="10.7109375" customWidth="1"/>
    <col min="2067" max="2067" width="11.7109375" style="9" customWidth="1"/>
    <col min="2068" max="2068" width="10.7109375" customWidth="1"/>
    <col min="2069" max="2069" width="11.7109375" style="9" customWidth="1"/>
    <col min="2070" max="2070" width="10.7109375" customWidth="1"/>
    <col min="2071" max="2071" width="11.7109375" style="9" customWidth="1"/>
    <col min="2072" max="2072" width="10.7109375" customWidth="1"/>
    <col min="2073" max="2073" width="11.7109375" style="9" customWidth="1"/>
    <col min="2074" max="2074" width="10.7109375" customWidth="1"/>
    <col min="2075" max="2075" width="11.7109375" style="9" customWidth="1"/>
    <col min="2076" max="2076" width="10.7109375" customWidth="1"/>
    <col min="2077" max="2077" width="11.7109375" style="9" customWidth="1"/>
    <col min="2078" max="2078" width="10.7109375" customWidth="1"/>
    <col min="2079" max="2079" width="11.7109375" style="9" customWidth="1"/>
    <col min="2080" max="2080" width="10.7109375" customWidth="1"/>
    <col min="2081" max="2081" width="11.7109375" style="9" customWidth="1"/>
    <col min="2082" max="2082" width="10.7109375" customWidth="1"/>
    <col min="2083" max="2083" width="11.7109375" style="9" customWidth="1"/>
    <col min="2084" max="2084" width="10.7109375" customWidth="1"/>
    <col min="2085" max="2085" width="11.7109375" style="9" customWidth="1"/>
    <col min="2086" max="2086" width="10.7109375" customWidth="1"/>
    <col min="2087" max="2087" width="11.7109375" style="9" customWidth="1"/>
    <col min="2088" max="2088" width="10.7109375" customWidth="1"/>
    <col min="2089" max="2089" width="11.7109375" style="9" customWidth="1"/>
    <col min="2090" max="2090" width="10.7109375" customWidth="1"/>
    <col min="2091" max="2091" width="11.7109375" style="9" customWidth="1"/>
    <col min="2092" max="2092" width="10.7109375" customWidth="1"/>
    <col min="2093" max="2093" width="11.7109375" style="9" customWidth="1"/>
    <col min="2094" max="2094" width="10.7109375" customWidth="1"/>
    <col min="2095" max="2095" width="11.7109375" style="9" customWidth="1"/>
    <col min="2096" max="2096" width="10.7109375" customWidth="1"/>
    <col min="2097" max="2097" width="11.7109375" style="9" customWidth="1"/>
    <col min="2098" max="2098" width="10.7109375" customWidth="1"/>
    <col min="2099" max="2099" width="11.7109375" style="9" customWidth="1"/>
    <col min="2100" max="2100" width="10.7109375" customWidth="1"/>
    <col min="2101" max="2101" width="11.7109375" style="9" customWidth="1"/>
    <col min="2102" max="2102" width="10.7109375" customWidth="1"/>
    <col min="2103" max="2103" width="11.7109375" style="9" customWidth="1"/>
    <col min="2104" max="2104" width="10.7109375" customWidth="1"/>
    <col min="2105" max="2105" width="11.7109375" style="9" customWidth="1"/>
    <col min="2106" max="2106" width="10.7109375" customWidth="1"/>
    <col min="2107" max="2107" width="11.7109375" style="9" customWidth="1"/>
    <col min="2108" max="2108" width="10.7109375" customWidth="1"/>
    <col min="2109" max="2109" width="11.7109375" style="9" customWidth="1"/>
    <col min="2110" max="2110" width="10.7109375" customWidth="1"/>
    <col min="2111" max="2111" width="11.7109375" style="9" customWidth="1"/>
    <col min="2112" max="2112" width="10.7109375" customWidth="1"/>
    <col min="2113" max="2113" width="11.7109375" style="9" customWidth="1"/>
    <col min="2114" max="2114" width="10.7109375" customWidth="1"/>
    <col min="2115" max="2115" width="11.7109375" style="9" customWidth="1"/>
    <col min="2116" max="2116" width="10.7109375" customWidth="1"/>
    <col min="2117" max="2117" width="11.7109375" style="9" customWidth="1"/>
    <col min="2118" max="2118" width="10.7109375" customWidth="1"/>
    <col min="2119" max="2119" width="11.7109375" style="9" customWidth="1"/>
    <col min="2120" max="2120" width="10.7109375" customWidth="1"/>
    <col min="2121" max="2121" width="11.7109375" style="9" customWidth="1"/>
    <col min="2122" max="2122" width="10.7109375" customWidth="1"/>
    <col min="2123" max="2123" width="11.7109375" style="9" customWidth="1"/>
    <col min="2124" max="2124" width="10.7109375" customWidth="1"/>
    <col min="2125" max="2125" width="11.7109375" style="9" customWidth="1"/>
    <col min="2126" max="2126" width="10.7109375" customWidth="1"/>
    <col min="2127" max="2127" width="11.7109375" style="9" customWidth="1"/>
    <col min="2128" max="2128" width="10.7109375" customWidth="1"/>
    <col min="2129" max="2129" width="11.7109375" style="9" customWidth="1"/>
    <col min="2130" max="2130" width="10.7109375" customWidth="1"/>
    <col min="2131" max="2131" width="11.7109375" style="9" customWidth="1"/>
    <col min="2132" max="2132" width="10.7109375" customWidth="1"/>
    <col min="2133" max="2133" width="11.7109375" style="9" customWidth="1"/>
    <col min="2134" max="2134" width="10.7109375" customWidth="1"/>
    <col min="2135" max="2135" width="11.7109375" style="9" customWidth="1"/>
    <col min="2136" max="2136" width="10.7109375" customWidth="1"/>
    <col min="2137" max="2137" width="11.7109375" style="9" customWidth="1"/>
    <col min="2138" max="2138" width="10.7109375" customWidth="1"/>
    <col min="2139" max="2139" width="11.7109375" style="9" customWidth="1"/>
    <col min="2140" max="2140" width="10.7109375" customWidth="1"/>
    <col min="2141" max="2141" width="11.7109375" style="9" customWidth="1"/>
    <col min="2142" max="2142" width="10.7109375" customWidth="1"/>
    <col min="2143" max="2143" width="11.7109375" style="9" customWidth="1"/>
    <col min="2144" max="2144" width="10.7109375" customWidth="1"/>
    <col min="2145" max="2145" width="11.7109375" style="9" customWidth="1"/>
    <col min="2146" max="2146" width="10.7109375" customWidth="1"/>
    <col min="2147" max="2147" width="11.7109375" style="9" customWidth="1"/>
    <col min="2148" max="2148" width="10.7109375" customWidth="1"/>
    <col min="2149" max="2149" width="11.7109375" style="9" customWidth="1"/>
    <col min="2150" max="2150" width="10.7109375" customWidth="1"/>
    <col min="2151" max="2151" width="11.7109375" style="9" customWidth="1"/>
    <col min="2152" max="2152" width="10.7109375" customWidth="1"/>
    <col min="2153" max="2153" width="11.7109375" style="9" customWidth="1"/>
    <col min="2154" max="2154" width="10.7109375" customWidth="1"/>
    <col min="2155" max="2155" width="11.7109375" style="9" customWidth="1"/>
    <col min="2156" max="2156" width="10.7109375" customWidth="1"/>
    <col min="2157" max="2157" width="11.7109375" style="9" customWidth="1"/>
    <col min="2158" max="2158" width="10.7109375" customWidth="1"/>
    <col min="2159" max="2159" width="11.7109375" style="9" customWidth="1"/>
    <col min="2160" max="2160" width="10.7109375" customWidth="1"/>
    <col min="2161" max="2161" width="11.7109375" style="9" customWidth="1"/>
    <col min="2162" max="2162" width="10.7109375" customWidth="1"/>
    <col min="2163" max="2163" width="11.7109375" style="9" customWidth="1"/>
    <col min="2164" max="2164" width="10.7109375" customWidth="1"/>
    <col min="2165" max="2165" width="11.7109375" style="9" customWidth="1"/>
    <col min="2166" max="2166" width="10.7109375" customWidth="1"/>
    <col min="2167" max="2167" width="11.7109375" style="9" customWidth="1"/>
    <col min="2168" max="2168" width="10.7109375" customWidth="1"/>
    <col min="2169" max="2169" width="11.7109375" style="9" customWidth="1"/>
    <col min="2170" max="2170" width="10.7109375" customWidth="1"/>
    <col min="2171" max="2171" width="11.7109375" style="9" customWidth="1"/>
    <col min="2172" max="2172" width="10.7109375" customWidth="1"/>
    <col min="2173" max="2173" width="11.7109375" style="9" customWidth="1"/>
    <col min="2174" max="2174" width="10.7109375" customWidth="1"/>
    <col min="2175" max="2175" width="11.7109375" style="9" customWidth="1"/>
    <col min="2176" max="2176" width="10.7109375" customWidth="1"/>
    <col min="2177" max="2177" width="11.7109375" style="9" customWidth="1"/>
    <col min="2178" max="2178" width="10.7109375" customWidth="1"/>
    <col min="2179" max="2179" width="11.7109375" style="9" customWidth="1"/>
    <col min="2180" max="2180" width="10.7109375" customWidth="1"/>
    <col min="2181" max="2181" width="11.7109375" style="9" customWidth="1"/>
    <col min="2182" max="2182" width="10.7109375" customWidth="1"/>
    <col min="2183" max="2183" width="11.7109375" style="9" customWidth="1"/>
    <col min="2184" max="2184" width="10.7109375" customWidth="1"/>
    <col min="2185" max="2185" width="11.7109375" style="9" customWidth="1"/>
    <col min="2186" max="2186" width="10.7109375" customWidth="1"/>
    <col min="2187" max="2187" width="11.7109375" style="9" customWidth="1"/>
    <col min="2188" max="2188" width="10.7109375" customWidth="1"/>
    <col min="2189" max="2189" width="11.7109375" style="9" customWidth="1"/>
    <col min="2190" max="2190" width="10.7109375" customWidth="1"/>
    <col min="2191" max="2191" width="11.7109375" style="9" customWidth="1"/>
    <col min="2192" max="2192" width="10.7109375" customWidth="1"/>
    <col min="2193" max="2193" width="11.7109375" style="9" customWidth="1"/>
    <col min="2194" max="2194" width="10.7109375" customWidth="1"/>
    <col min="2195" max="2195" width="11.7109375" style="9" customWidth="1"/>
    <col min="2196" max="2196" width="10.7109375" customWidth="1"/>
    <col min="2197" max="2197" width="11.7109375" style="9" customWidth="1"/>
    <col min="2198" max="2198" width="10.7109375" customWidth="1"/>
    <col min="2199" max="2199" width="11.7109375" style="9" customWidth="1"/>
    <col min="2200" max="2200" width="10.7109375" customWidth="1"/>
    <col min="2201" max="2201" width="11.7109375" style="9" customWidth="1"/>
    <col min="2202" max="2202" width="10.7109375" customWidth="1"/>
    <col min="2203" max="2203" width="11.7109375" style="9" customWidth="1"/>
    <col min="2204" max="2204" width="10.7109375" customWidth="1"/>
    <col min="2205" max="2205" width="11.7109375" style="9" customWidth="1"/>
    <col min="2206" max="2206" width="10.7109375" customWidth="1"/>
    <col min="2207" max="2207" width="11.7109375" style="9" customWidth="1"/>
    <col min="2208" max="2208" width="10.7109375" customWidth="1"/>
    <col min="2209" max="2209" width="11.7109375" style="9" customWidth="1"/>
    <col min="2210" max="2210" width="10.7109375" customWidth="1"/>
    <col min="2211" max="2211" width="11.7109375" style="9" customWidth="1"/>
    <col min="2212" max="2212" width="10.7109375" customWidth="1"/>
    <col min="2213" max="2213" width="11.7109375" style="9" customWidth="1"/>
    <col min="2214" max="2214" width="10.7109375" customWidth="1"/>
    <col min="2215" max="2215" width="11.7109375" style="9" customWidth="1"/>
    <col min="2216" max="2216" width="10.7109375" customWidth="1"/>
    <col min="2217" max="2217" width="11.7109375" style="9" customWidth="1"/>
    <col min="2218" max="2218" width="10.7109375" customWidth="1"/>
    <col min="2219" max="2219" width="11.7109375" style="9" customWidth="1"/>
    <col min="2220" max="2220" width="10.7109375" customWidth="1"/>
    <col min="2221" max="2221" width="11.7109375" style="9" customWidth="1"/>
    <col min="2222" max="2222" width="10.7109375" customWidth="1"/>
    <col min="2223" max="2223" width="11.7109375" style="9" customWidth="1"/>
    <col min="2224" max="2224" width="10.7109375" customWidth="1"/>
    <col min="2225" max="2225" width="11.7109375" style="9" customWidth="1"/>
    <col min="2226" max="2226" width="10.7109375" customWidth="1"/>
    <col min="2227" max="2227" width="11.7109375" style="9" customWidth="1"/>
    <col min="2228" max="2228" width="10.7109375" customWidth="1"/>
    <col min="2229" max="2229" width="11.7109375" style="9" customWidth="1"/>
    <col min="2230" max="2230" width="10.7109375" customWidth="1"/>
    <col min="2231" max="2231" width="11.7109375" style="9" customWidth="1"/>
    <col min="2232" max="2232" width="10.7109375" customWidth="1"/>
    <col min="2233" max="2233" width="11.7109375" style="9" customWidth="1"/>
    <col min="2234" max="2234" width="10.7109375" customWidth="1"/>
    <col min="2235" max="2235" width="11.7109375" style="9" customWidth="1"/>
    <col min="2236" max="2236" width="10.7109375" customWidth="1"/>
    <col min="2237" max="2237" width="11.7109375" style="9" customWidth="1"/>
    <col min="2238" max="2238" width="10.7109375" customWidth="1"/>
    <col min="2239" max="2239" width="11.7109375" style="9" customWidth="1"/>
    <col min="2240" max="2240" width="10.7109375" customWidth="1"/>
    <col min="2241" max="2241" width="11.7109375" style="9" customWidth="1"/>
    <col min="2242" max="2242" width="10.7109375" customWidth="1"/>
    <col min="2243" max="2243" width="11.7109375" style="9" customWidth="1"/>
    <col min="2244" max="2244" width="10.7109375" customWidth="1"/>
    <col min="2245" max="2245" width="11.7109375" style="9" customWidth="1"/>
    <col min="2246" max="2246" width="10.7109375" customWidth="1"/>
    <col min="2247" max="2247" width="11.7109375" style="9" customWidth="1"/>
    <col min="2248" max="2248" width="10.7109375" customWidth="1"/>
    <col min="2249" max="2249" width="11.7109375" style="9" customWidth="1"/>
    <col min="2250" max="2250" width="10.7109375" customWidth="1"/>
    <col min="2251" max="2251" width="11.7109375" style="9" customWidth="1"/>
    <col min="2252" max="2252" width="10.7109375" customWidth="1"/>
    <col min="2253" max="2253" width="11.7109375" style="9" customWidth="1"/>
    <col min="2254" max="2254" width="10.7109375" customWidth="1"/>
    <col min="2255" max="2255" width="11.7109375" style="9" customWidth="1"/>
    <col min="2256" max="2256" width="10.7109375" customWidth="1"/>
    <col min="2257" max="2257" width="11.7109375" style="9" customWidth="1"/>
    <col min="2258" max="2258" width="10.7109375" customWidth="1"/>
    <col min="2259" max="2259" width="11.7109375" style="9" customWidth="1"/>
    <col min="2260" max="2260" width="10.7109375" customWidth="1"/>
    <col min="2261" max="2261" width="11.7109375" style="9" customWidth="1"/>
    <col min="2262" max="2262" width="10.7109375" customWidth="1"/>
    <col min="2263" max="2263" width="11.7109375" style="9" customWidth="1"/>
    <col min="2264" max="2264" width="10.7109375" customWidth="1"/>
    <col min="2265" max="2265" width="11.7109375" style="9" customWidth="1"/>
    <col min="2266" max="2266" width="10.7109375" customWidth="1"/>
    <col min="2267" max="2267" width="11.7109375" style="9" customWidth="1"/>
    <col min="2268" max="2268" width="10.7109375" customWidth="1"/>
    <col min="2269" max="2269" width="11.7109375" style="9" customWidth="1"/>
    <col min="2270" max="2270" width="10.7109375" customWidth="1"/>
    <col min="2271" max="2271" width="11.7109375" style="9" customWidth="1"/>
    <col min="2272" max="2272" width="10.7109375" customWidth="1"/>
    <col min="2273" max="2273" width="11.7109375" style="9" customWidth="1"/>
    <col min="2274" max="2274" width="10.7109375" customWidth="1"/>
    <col min="2275" max="2275" width="11.7109375" style="9" customWidth="1"/>
    <col min="2276" max="2276" width="10.7109375" customWidth="1"/>
    <col min="2277" max="2277" width="11.7109375" style="9" customWidth="1"/>
    <col min="2278" max="2278" width="10.7109375" customWidth="1"/>
    <col min="2279" max="2279" width="11.7109375" style="9" customWidth="1"/>
    <col min="2280" max="2280" width="10.7109375" customWidth="1"/>
    <col min="2281" max="2281" width="11.7109375" style="9" customWidth="1"/>
    <col min="2282" max="2282" width="10.7109375" customWidth="1"/>
    <col min="2283" max="2283" width="11.7109375" style="9" customWidth="1"/>
    <col min="2284" max="2284" width="10.7109375" customWidth="1"/>
    <col min="2285" max="2285" width="11.7109375" style="9" customWidth="1"/>
    <col min="2286" max="2286" width="10.7109375" customWidth="1"/>
    <col min="2287" max="2287" width="11.7109375" style="9" customWidth="1"/>
    <col min="2288" max="2288" width="10.7109375" customWidth="1"/>
    <col min="2289" max="2289" width="11.7109375" style="9" customWidth="1"/>
    <col min="2290" max="2290" width="10.7109375" customWidth="1"/>
    <col min="2291" max="2291" width="11.7109375" style="9" customWidth="1"/>
    <col min="2292" max="2292" width="10.7109375" customWidth="1"/>
    <col min="2293" max="2293" width="11.7109375" style="9" customWidth="1"/>
    <col min="2294" max="2294" width="10.7109375" customWidth="1"/>
    <col min="2295" max="2295" width="11.7109375" style="9" customWidth="1"/>
    <col min="2296" max="2296" width="10.7109375" customWidth="1"/>
    <col min="2297" max="2297" width="11.7109375" style="9" customWidth="1"/>
    <col min="2298" max="2298" width="10.7109375" customWidth="1"/>
    <col min="2299" max="2299" width="11.7109375" style="9" customWidth="1"/>
    <col min="2300" max="2300" width="10.7109375" customWidth="1"/>
    <col min="2301" max="2301" width="11.7109375" style="9" customWidth="1"/>
    <col min="2302" max="2302" width="10.7109375" customWidth="1"/>
    <col min="2303" max="2303" width="11.7109375" style="9" customWidth="1"/>
    <col min="2304" max="2304" width="10.7109375" customWidth="1"/>
    <col min="2305" max="2305" width="11.7109375" style="9" customWidth="1"/>
    <col min="2306" max="2306" width="10.7109375" customWidth="1"/>
    <col min="2307" max="2307" width="11.7109375" style="9" customWidth="1"/>
    <col min="2308" max="2308" width="10.7109375" customWidth="1"/>
    <col min="2309" max="2309" width="11.7109375" style="9" customWidth="1"/>
    <col min="2310" max="2310" width="10.7109375" customWidth="1"/>
    <col min="2311" max="2311" width="11.7109375" style="9" customWidth="1"/>
    <col min="2312" max="2312" width="10.7109375" customWidth="1"/>
    <col min="2313" max="2313" width="11.7109375" style="9" customWidth="1"/>
    <col min="2314" max="2314" width="10.7109375" customWidth="1"/>
    <col min="2315" max="2315" width="11.7109375" style="9" customWidth="1"/>
    <col min="2316" max="2316" width="10.7109375" customWidth="1"/>
    <col min="2317" max="2317" width="11.7109375" style="9" customWidth="1"/>
    <col min="2318" max="2318" width="10.7109375" customWidth="1"/>
    <col min="2319" max="2319" width="11.7109375" style="9" customWidth="1"/>
    <col min="2320" max="2320" width="10.7109375" customWidth="1"/>
    <col min="2321" max="2321" width="11.7109375" style="9" customWidth="1"/>
    <col min="2322" max="2322" width="10.7109375" customWidth="1"/>
    <col min="2323" max="2323" width="11.7109375" style="9" customWidth="1"/>
    <col min="2324" max="2324" width="10.7109375" customWidth="1"/>
    <col min="2325" max="2325" width="11.7109375" style="9" customWidth="1"/>
    <col min="2326" max="2326" width="10.7109375" customWidth="1"/>
    <col min="2327" max="2327" width="11.7109375" style="9" customWidth="1"/>
    <col min="2328" max="2328" width="10.7109375" customWidth="1"/>
    <col min="2329" max="2329" width="11.7109375" style="9" customWidth="1"/>
    <col min="2330" max="2330" width="10.7109375" customWidth="1"/>
    <col min="2331" max="2331" width="11.7109375" style="9" customWidth="1"/>
    <col min="2332" max="2332" width="10.7109375" customWidth="1"/>
    <col min="2333" max="2333" width="11.7109375" style="9" customWidth="1"/>
    <col min="2334" max="2334" width="10.7109375" customWidth="1"/>
    <col min="2335" max="2335" width="11.7109375" style="9" customWidth="1"/>
    <col min="2336" max="2336" width="10.7109375" customWidth="1"/>
    <col min="2337" max="2337" width="11.7109375" style="9" customWidth="1"/>
    <col min="2338" max="2338" width="10.7109375" customWidth="1"/>
    <col min="2339" max="2339" width="11.7109375" style="9" customWidth="1"/>
    <col min="2340" max="2340" width="10.7109375" customWidth="1"/>
    <col min="2341" max="2341" width="11.7109375" style="9" customWidth="1"/>
    <col min="2342" max="2342" width="10.7109375" customWidth="1"/>
    <col min="2343" max="2343" width="11.7109375" style="9" customWidth="1"/>
    <col min="2344" max="2344" width="10.7109375" customWidth="1"/>
    <col min="2345" max="2345" width="11.7109375" style="9" customWidth="1"/>
    <col min="2346" max="2346" width="10.7109375" customWidth="1"/>
    <col min="2347" max="2347" width="11.7109375" style="9" customWidth="1"/>
    <col min="2348" max="2348" width="10.7109375" customWidth="1"/>
    <col min="2349" max="2349" width="11.7109375" style="9" customWidth="1"/>
    <col min="2350" max="2350" width="10.7109375" customWidth="1"/>
    <col min="2351" max="2351" width="11.7109375" style="9" customWidth="1"/>
    <col min="2352" max="2352" width="10.7109375" customWidth="1"/>
    <col min="2353" max="2353" width="11.7109375" style="9" customWidth="1"/>
    <col min="2354" max="2354" width="10.7109375" customWidth="1"/>
    <col min="2355" max="2355" width="11.7109375" style="9" customWidth="1"/>
    <col min="2356" max="2356" width="10.7109375" customWidth="1"/>
    <col min="2357" max="2357" width="11.7109375" style="9" customWidth="1"/>
    <col min="2358" max="2358" width="10.7109375" customWidth="1"/>
    <col min="2359" max="2359" width="11.7109375" style="9" customWidth="1"/>
    <col min="2360" max="2360" width="10.7109375" customWidth="1"/>
    <col min="2361" max="2361" width="11.7109375" style="9" customWidth="1"/>
    <col min="2362" max="2362" width="10.7109375" customWidth="1"/>
    <col min="2363" max="2363" width="11.7109375" style="9" customWidth="1"/>
    <col min="2364" max="2364" width="10.7109375" customWidth="1"/>
    <col min="2365" max="2365" width="11.7109375" style="9" customWidth="1"/>
    <col min="2366" max="2366" width="10.7109375" customWidth="1"/>
    <col min="2367" max="2367" width="11.7109375" style="9" customWidth="1"/>
    <col min="2368" max="2368" width="10.7109375" customWidth="1"/>
    <col min="2369" max="2369" width="11.7109375" style="9" customWidth="1"/>
    <col min="2370" max="2370" width="10.7109375" customWidth="1"/>
    <col min="2371" max="2371" width="11.7109375" style="9" customWidth="1"/>
    <col min="2372" max="2372" width="10.7109375" customWidth="1"/>
    <col min="2373" max="2373" width="11.7109375" style="9" customWidth="1"/>
    <col min="2374" max="2374" width="10.7109375" customWidth="1"/>
    <col min="2375" max="2375" width="11.7109375" style="9" customWidth="1"/>
    <col min="2376" max="2376" width="10.7109375" customWidth="1"/>
    <col min="2377" max="2377" width="11.7109375" style="9" customWidth="1"/>
    <col min="2378" max="2378" width="10.7109375" customWidth="1"/>
    <col min="2379" max="2379" width="11.7109375" style="9" customWidth="1"/>
    <col min="2380" max="2380" width="10.7109375" customWidth="1"/>
    <col min="2381" max="2381" width="11.7109375" style="9" customWidth="1"/>
    <col min="2382" max="2382" width="10.7109375" customWidth="1"/>
    <col min="2383" max="2383" width="11.7109375" style="9" customWidth="1"/>
    <col min="2384" max="2384" width="10.7109375" customWidth="1"/>
    <col min="2385" max="2385" width="11.7109375" style="9" customWidth="1"/>
    <col min="2386" max="2386" width="10.7109375" customWidth="1"/>
    <col min="2387" max="2387" width="11.7109375" style="9" customWidth="1"/>
    <col min="2388" max="2388" width="10.7109375" customWidth="1"/>
    <col min="2389" max="2389" width="11.7109375" style="9" customWidth="1"/>
    <col min="2390" max="2390" width="10.7109375" customWidth="1"/>
    <col min="2391" max="2391" width="11.7109375" style="9" customWidth="1"/>
    <col min="2392" max="2392" width="10.7109375" customWidth="1"/>
    <col min="2393" max="2393" width="11.7109375" style="9" customWidth="1"/>
    <col min="2394" max="2394" width="10.7109375" customWidth="1"/>
    <col min="2395" max="2395" width="11.7109375" style="9" customWidth="1"/>
    <col min="2396" max="2396" width="10.7109375" customWidth="1"/>
    <col min="2397" max="2397" width="11.7109375" style="9" customWidth="1"/>
    <col min="2398" max="2398" width="10.7109375" customWidth="1"/>
    <col min="2399" max="2399" width="11.7109375" style="9" customWidth="1"/>
    <col min="2400" max="2400" width="10.7109375" customWidth="1"/>
    <col min="2401" max="2401" width="11.7109375" style="9" customWidth="1"/>
    <col min="2402" max="2402" width="10.7109375" customWidth="1"/>
    <col min="2403" max="2403" width="11.7109375" style="9" customWidth="1"/>
    <col min="2404" max="2404" width="10.7109375" customWidth="1"/>
    <col min="2405" max="2405" width="11.7109375" style="9" customWidth="1"/>
    <col min="2406" max="2406" width="10.7109375" customWidth="1"/>
    <col min="2407" max="2407" width="11.7109375" style="9" customWidth="1"/>
    <col min="2408" max="2408" width="10.7109375" customWidth="1"/>
    <col min="2409" max="2409" width="11.7109375" style="9" customWidth="1"/>
    <col min="2410" max="2410" width="10.7109375" customWidth="1"/>
    <col min="2411" max="2411" width="11.7109375" style="9" customWidth="1"/>
    <col min="2412" max="2412" width="10.7109375" customWidth="1"/>
    <col min="2413" max="2413" width="11.7109375" style="9" customWidth="1"/>
    <col min="2414" max="2414" width="10.7109375" customWidth="1"/>
    <col min="2415" max="2415" width="11.7109375" style="9" customWidth="1"/>
    <col min="2416" max="2416" width="10.7109375" customWidth="1"/>
    <col min="2417" max="2417" width="11.7109375" style="9" customWidth="1"/>
    <col min="2418" max="2418" width="10.7109375" customWidth="1"/>
    <col min="2419" max="2419" width="11.7109375" style="9" customWidth="1"/>
    <col min="2420" max="2420" width="10.7109375" customWidth="1"/>
    <col min="2421" max="2421" width="11.7109375" style="9" customWidth="1"/>
    <col min="2422" max="2422" width="10.7109375" customWidth="1"/>
    <col min="2423" max="2423" width="11.7109375" style="9" customWidth="1"/>
    <col min="2424" max="2424" width="10.7109375" customWidth="1"/>
    <col min="2425" max="2425" width="11.7109375" style="9" customWidth="1"/>
    <col min="2426" max="2426" width="10.7109375" customWidth="1"/>
    <col min="2427" max="2427" width="11.7109375" style="9" customWidth="1"/>
    <col min="2428" max="2428" width="10.7109375" customWidth="1"/>
    <col min="2429" max="2429" width="11.7109375" style="9" customWidth="1"/>
    <col min="2430" max="2430" width="10.7109375" customWidth="1"/>
    <col min="2431" max="2431" width="11.7109375" style="9" customWidth="1"/>
    <col min="2432" max="2432" width="10.7109375" customWidth="1"/>
    <col min="2433" max="2433" width="11.7109375" style="9" customWidth="1"/>
    <col min="2434" max="2434" width="10.7109375" customWidth="1"/>
    <col min="2435" max="2435" width="11.7109375" style="9" customWidth="1"/>
    <col min="2436" max="2436" width="10.7109375" customWidth="1"/>
    <col min="2437" max="2437" width="11.7109375" style="9" customWidth="1"/>
    <col min="2438" max="2438" width="10.7109375" customWidth="1"/>
    <col min="2439" max="2439" width="11.7109375" style="9" customWidth="1"/>
    <col min="2440" max="2440" width="10.7109375" customWidth="1"/>
    <col min="2441" max="2441" width="11.7109375" style="9" customWidth="1"/>
    <col min="2442" max="2442" width="10.7109375" customWidth="1"/>
    <col min="2443" max="2443" width="11.7109375" style="9" customWidth="1"/>
    <col min="2444" max="2444" width="10.7109375" customWidth="1"/>
    <col min="2445" max="2445" width="11.7109375" style="9" customWidth="1"/>
    <col min="2446" max="2446" width="10.7109375" customWidth="1"/>
    <col min="2447" max="2447" width="11.7109375" style="9" customWidth="1"/>
    <col min="2448" max="2448" width="10.7109375" customWidth="1"/>
    <col min="2449" max="2449" width="11.7109375" style="9" customWidth="1"/>
    <col min="2450" max="2450" width="10.7109375" customWidth="1"/>
    <col min="2451" max="2451" width="11.7109375" style="9" customWidth="1"/>
    <col min="2452" max="2452" width="10.7109375" customWidth="1"/>
    <col min="2453" max="2453" width="11.7109375" style="9" customWidth="1"/>
    <col min="2454" max="2454" width="10.7109375" customWidth="1"/>
    <col min="2455" max="2455" width="11.7109375" style="9" customWidth="1"/>
    <col min="2456" max="2456" width="10.7109375" customWidth="1"/>
    <col min="2457" max="2457" width="11.7109375" style="9" customWidth="1"/>
    <col min="2458" max="2458" width="10.7109375" customWidth="1"/>
    <col min="2459" max="2459" width="11.7109375" style="9" customWidth="1"/>
    <col min="2460" max="2460" width="10.7109375" customWidth="1"/>
    <col min="2461" max="2461" width="11.7109375" style="9" customWidth="1"/>
    <col min="2462" max="2462" width="10.7109375" customWidth="1"/>
    <col min="2463" max="2463" width="11.7109375" style="9" customWidth="1"/>
    <col min="2464" max="2464" width="10.7109375" customWidth="1"/>
    <col min="2465" max="2465" width="11.7109375" style="9" customWidth="1"/>
    <col min="2466" max="2466" width="10.7109375" customWidth="1"/>
    <col min="2467" max="2467" width="11.7109375" style="9" customWidth="1"/>
    <col min="2468" max="2468" width="10.7109375" customWidth="1"/>
    <col min="2469" max="2469" width="11.7109375" style="9" customWidth="1"/>
    <col min="2470" max="2470" width="10.7109375" customWidth="1"/>
    <col min="2471" max="2471" width="11.7109375" style="9" customWidth="1"/>
    <col min="2472" max="2472" width="10.7109375" customWidth="1"/>
    <col min="2473" max="2473" width="11.7109375" style="9" customWidth="1"/>
    <col min="2474" max="2474" width="10.7109375" customWidth="1"/>
    <col min="2475" max="2475" width="11.7109375" style="9" customWidth="1"/>
    <col min="2476" max="2476" width="10.7109375" customWidth="1"/>
    <col min="2477" max="2477" width="11.7109375" style="9" customWidth="1"/>
    <col min="2478" max="2478" width="10.7109375" customWidth="1"/>
    <col min="2479" max="2479" width="11.7109375" style="9" customWidth="1"/>
    <col min="2480" max="2480" width="10.7109375" customWidth="1"/>
    <col min="2481" max="2481" width="11.7109375" style="9" customWidth="1"/>
    <col min="2482" max="2482" width="10.7109375" customWidth="1"/>
    <col min="2483" max="2483" width="11.7109375" style="9" customWidth="1"/>
    <col min="2484" max="2484" width="10.7109375" customWidth="1"/>
    <col min="2485" max="2485" width="11.7109375" style="9" customWidth="1"/>
    <col min="2486" max="2486" width="10.7109375" customWidth="1"/>
    <col min="2487" max="2487" width="11.7109375" style="9" customWidth="1"/>
    <col min="2488" max="2488" width="10.7109375" customWidth="1"/>
    <col min="2489" max="2489" width="11.7109375" style="9" customWidth="1"/>
    <col min="2490" max="2490" width="10.7109375" customWidth="1"/>
    <col min="2491" max="2491" width="11.7109375" style="9" customWidth="1"/>
    <col min="2492" max="2492" width="10.7109375" customWidth="1"/>
    <col min="2493" max="2493" width="11.7109375" style="9" customWidth="1"/>
    <col min="2494" max="2494" width="10.7109375" customWidth="1"/>
    <col min="2495" max="2495" width="11.7109375" style="9" customWidth="1"/>
    <col min="2496" max="2496" width="10.7109375" customWidth="1"/>
    <col min="2497" max="2497" width="11.7109375" style="9" customWidth="1"/>
    <col min="2498" max="2498" width="10.7109375" customWidth="1"/>
    <col min="2499" max="2499" width="11.7109375" style="9" customWidth="1"/>
    <col min="2500" max="2500" width="10.7109375" customWidth="1"/>
    <col min="2501" max="2501" width="11.7109375" style="9" customWidth="1"/>
    <col min="2502" max="2502" width="10.7109375" customWidth="1"/>
    <col min="2503" max="2503" width="11.7109375" style="9" customWidth="1"/>
    <col min="2504" max="2504" width="10.7109375" customWidth="1"/>
    <col min="2505" max="2505" width="11.7109375" style="9" customWidth="1"/>
    <col min="2506" max="2506" width="10.7109375" customWidth="1"/>
    <col min="2507" max="2507" width="11.7109375" style="9" customWidth="1"/>
    <col min="2508" max="2508" width="10.7109375" customWidth="1"/>
    <col min="2509" max="2509" width="11.7109375" style="9" customWidth="1"/>
    <col min="2510" max="2510" width="10.7109375" customWidth="1"/>
    <col min="2511" max="2511" width="11.7109375" style="9" customWidth="1"/>
    <col min="2512" max="2512" width="10.7109375" customWidth="1"/>
    <col min="2513" max="2513" width="11.7109375" style="9" customWidth="1"/>
    <col min="2514" max="2514" width="10.7109375" customWidth="1"/>
    <col min="2515" max="2515" width="11.7109375" style="9" customWidth="1"/>
    <col min="2516" max="2516" width="10.7109375" customWidth="1"/>
    <col min="2517" max="2517" width="11.7109375" style="9" customWidth="1"/>
    <col min="2518" max="2518" width="10.7109375" customWidth="1"/>
    <col min="2519" max="2519" width="11.7109375" style="9" customWidth="1"/>
    <col min="2520" max="2520" width="10.7109375" customWidth="1"/>
    <col min="2521" max="2521" width="11.7109375" style="9" customWidth="1"/>
    <col min="2522" max="2522" width="10.7109375" customWidth="1"/>
    <col min="2523" max="2523" width="11.7109375" style="9" customWidth="1"/>
    <col min="2524" max="2524" width="10.7109375" customWidth="1"/>
    <col min="2525" max="2525" width="11.7109375" style="9" customWidth="1"/>
    <col min="2526" max="2526" width="10.7109375" customWidth="1"/>
    <col min="2527" max="2527" width="11.7109375" style="9" customWidth="1"/>
    <col min="2528" max="2528" width="10.7109375" customWidth="1"/>
    <col min="2529" max="2529" width="11.7109375" style="9" customWidth="1"/>
    <col min="2530" max="2530" width="10.7109375" customWidth="1"/>
    <col min="2531" max="2531" width="11.7109375" style="9" customWidth="1"/>
    <col min="2532" max="2532" width="10.7109375" customWidth="1"/>
    <col min="2533" max="2533" width="11.7109375" style="9" customWidth="1"/>
    <col min="2534" max="2534" width="10.7109375" customWidth="1"/>
    <col min="2535" max="2535" width="11.7109375" style="9" customWidth="1"/>
    <col min="2536" max="2536" width="10.7109375" customWidth="1"/>
    <col min="2537" max="2537" width="11.7109375" style="9" customWidth="1"/>
    <col min="2538" max="2538" width="10.7109375" customWidth="1"/>
    <col min="2539" max="2539" width="11.7109375" style="9" customWidth="1"/>
    <col min="2540" max="2540" width="10.7109375" customWidth="1"/>
    <col min="2541" max="2541" width="11.7109375" style="9" customWidth="1"/>
    <col min="2542" max="2542" width="10.7109375" customWidth="1"/>
    <col min="2543" max="2543" width="11.7109375" style="9" customWidth="1"/>
    <col min="2544" max="2544" width="10.7109375" customWidth="1"/>
    <col min="2545" max="2545" width="11.7109375" style="9" customWidth="1"/>
    <col min="2546" max="2546" width="10.7109375" customWidth="1"/>
    <col min="2547" max="2547" width="11.7109375" style="9" customWidth="1"/>
    <col min="2548" max="2548" width="10.7109375" customWidth="1"/>
    <col min="2549" max="2549" width="11.7109375" style="9" customWidth="1"/>
    <col min="2550" max="2550" width="10.7109375" customWidth="1"/>
    <col min="2551" max="2551" width="11.7109375" style="9" customWidth="1"/>
    <col min="2552" max="2552" width="10.7109375" customWidth="1"/>
    <col min="2553" max="2553" width="11.7109375" style="9" customWidth="1"/>
    <col min="2554" max="2554" width="10.7109375" customWidth="1"/>
    <col min="2555" max="2555" width="11.7109375" style="9" customWidth="1"/>
    <col min="2556" max="2556" width="10.7109375" customWidth="1"/>
    <col min="2557" max="2557" width="11.7109375" style="9" customWidth="1"/>
    <col min="2558" max="2558" width="10.7109375" customWidth="1"/>
    <col min="2559" max="2559" width="11.7109375" style="9" customWidth="1"/>
    <col min="2560" max="2560" width="10.7109375" customWidth="1"/>
    <col min="2561" max="2561" width="11.7109375" style="9" customWidth="1"/>
    <col min="2562" max="2562" width="10.7109375" customWidth="1"/>
    <col min="2563" max="2563" width="11.7109375" style="9" customWidth="1"/>
    <col min="2564" max="2564" width="10.7109375" customWidth="1"/>
    <col min="2565" max="2565" width="11.7109375" style="9" customWidth="1"/>
    <col min="2566" max="2566" width="10.7109375" customWidth="1"/>
    <col min="2567" max="2567" width="11.7109375" style="9" customWidth="1"/>
    <col min="2568" max="2568" width="10.7109375" customWidth="1"/>
    <col min="2569" max="2569" width="11.7109375" style="9" customWidth="1"/>
    <col min="2570" max="2570" width="10.7109375" customWidth="1"/>
    <col min="2571" max="2571" width="11.7109375" style="9" customWidth="1"/>
    <col min="2572" max="2572" width="10.7109375" customWidth="1"/>
    <col min="2573" max="2573" width="11.7109375" style="9" customWidth="1"/>
    <col min="2574" max="2574" width="10.7109375" customWidth="1"/>
    <col min="2575" max="2575" width="11.7109375" style="9" customWidth="1"/>
    <col min="2576" max="2576" width="10.7109375" customWidth="1"/>
    <col min="2577" max="2577" width="11.7109375" style="9" customWidth="1"/>
    <col min="2578" max="2578" width="10.7109375" customWidth="1"/>
    <col min="2579" max="2579" width="11.7109375" style="9" customWidth="1"/>
    <col min="2580" max="2580" width="10.7109375" customWidth="1"/>
    <col min="2581" max="2581" width="11.7109375" style="9" customWidth="1"/>
    <col min="2582" max="2582" width="10.7109375" customWidth="1"/>
    <col min="2583" max="2583" width="11.7109375" style="9" customWidth="1"/>
    <col min="2584" max="2584" width="10.7109375" customWidth="1"/>
    <col min="2585" max="2585" width="11.7109375" style="9" customWidth="1"/>
    <col min="2586" max="2586" width="10.7109375" customWidth="1"/>
    <col min="2587" max="2587" width="11.7109375" style="9" customWidth="1"/>
    <col min="2588" max="2588" width="10.7109375" customWidth="1"/>
    <col min="2589" max="2589" width="11.7109375" style="9" customWidth="1"/>
    <col min="2590" max="2590" width="10.7109375" customWidth="1"/>
    <col min="2591" max="2591" width="11.7109375" style="9" customWidth="1"/>
    <col min="2592" max="2592" width="10.7109375" customWidth="1"/>
    <col min="2593" max="2593" width="11.7109375" style="9" customWidth="1"/>
    <col min="2594" max="2594" width="10.7109375" customWidth="1"/>
    <col min="2595" max="2595" width="11.7109375" style="9" customWidth="1"/>
    <col min="2596" max="2596" width="10.7109375" customWidth="1"/>
    <col min="2597" max="2597" width="11.7109375" style="9" customWidth="1"/>
    <col min="2598" max="2598" width="10.7109375" customWidth="1"/>
    <col min="2599" max="2599" width="11.7109375" style="9" customWidth="1"/>
    <col min="2600" max="2600" width="10.7109375" customWidth="1"/>
    <col min="2601" max="2601" width="11.7109375" style="9" customWidth="1"/>
    <col min="2602" max="2602" width="10.7109375" customWidth="1"/>
    <col min="2603" max="2603" width="11.7109375" style="9" customWidth="1"/>
    <col min="2604" max="2604" width="10.7109375" customWidth="1"/>
    <col min="2605" max="2605" width="11.7109375" style="9" customWidth="1"/>
    <col min="2606" max="2606" width="10.7109375" customWidth="1"/>
    <col min="2607" max="2607" width="11.7109375" style="9" customWidth="1"/>
    <col min="2608" max="2608" width="10.7109375" customWidth="1"/>
    <col min="2609" max="2609" width="11.7109375" style="9" customWidth="1"/>
    <col min="2610" max="2610" width="10.7109375" customWidth="1"/>
    <col min="2611" max="2611" width="11.7109375" style="9" customWidth="1"/>
    <col min="2612" max="2612" width="10.7109375" customWidth="1"/>
    <col min="2613" max="2613" width="11.7109375" style="9" customWidth="1"/>
    <col min="2614" max="2614" width="10.7109375" customWidth="1"/>
    <col min="2615" max="2615" width="11.7109375" style="9" customWidth="1"/>
    <col min="2616" max="2616" width="10.7109375" customWidth="1"/>
    <col min="2617" max="2617" width="11.7109375" style="9" customWidth="1"/>
    <col min="2618" max="2618" width="10.7109375" customWidth="1"/>
    <col min="2619" max="2619" width="11.7109375" style="9" customWidth="1"/>
    <col min="2620" max="2620" width="10.7109375" customWidth="1"/>
    <col min="2621" max="2621" width="11.7109375" style="9" customWidth="1"/>
    <col min="2622" max="2622" width="10.7109375" customWidth="1"/>
    <col min="2623" max="2623" width="11.7109375" style="9" customWidth="1"/>
    <col min="2624" max="2624" width="10.7109375" customWidth="1"/>
    <col min="2625" max="2625" width="11.7109375" style="9" customWidth="1"/>
    <col min="2626" max="2626" width="10.7109375" customWidth="1"/>
    <col min="2627" max="2627" width="11.7109375" style="9" customWidth="1"/>
    <col min="2628" max="2628" width="10.7109375" customWidth="1"/>
    <col min="2629" max="2629" width="11.7109375" style="9" customWidth="1"/>
    <col min="2630" max="2630" width="10.7109375" customWidth="1"/>
    <col min="2631" max="2631" width="11.7109375" style="9" customWidth="1"/>
    <col min="2632" max="2632" width="10.7109375" customWidth="1"/>
    <col min="2633" max="2633" width="11.7109375" style="9" customWidth="1"/>
    <col min="2634" max="2634" width="10.7109375" customWidth="1"/>
    <col min="2635" max="2635" width="11.7109375" style="9" customWidth="1"/>
    <col min="2636" max="2636" width="10.7109375" customWidth="1"/>
    <col min="2637" max="2637" width="11.7109375" style="9" customWidth="1"/>
    <col min="2638" max="2638" width="10.7109375" customWidth="1"/>
    <col min="2639" max="2639" width="11.7109375" style="9" customWidth="1"/>
    <col min="2640" max="2640" width="10.7109375" customWidth="1"/>
    <col min="2641" max="2641" width="11.7109375" style="9" customWidth="1"/>
    <col min="2642" max="2642" width="10.7109375" customWidth="1"/>
    <col min="2643" max="2643" width="11.7109375" style="9" customWidth="1"/>
    <col min="2644" max="2644" width="10.7109375" customWidth="1"/>
    <col min="2645" max="2645" width="11.7109375" style="9" customWidth="1"/>
    <col min="2646" max="2646" width="10.7109375" customWidth="1"/>
    <col min="2647" max="2647" width="11.7109375" style="9" customWidth="1"/>
    <col min="2648" max="2648" width="10.7109375" customWidth="1"/>
    <col min="2649" max="2649" width="11.7109375" style="9" customWidth="1"/>
    <col min="2650" max="2650" width="10.7109375" customWidth="1"/>
    <col min="2651" max="2651" width="11.7109375" style="9" customWidth="1"/>
    <col min="2652" max="2652" width="10.7109375" customWidth="1"/>
    <col min="2653" max="2653" width="11.7109375" style="9" customWidth="1"/>
    <col min="2654" max="2654" width="10.7109375" customWidth="1"/>
    <col min="2655" max="2655" width="11.7109375" style="9" customWidth="1"/>
    <col min="2656" max="2656" width="10.7109375" customWidth="1"/>
    <col min="2657" max="2657" width="11.7109375" style="9" customWidth="1"/>
    <col min="2658" max="2658" width="10.7109375" customWidth="1"/>
    <col min="2659" max="2659" width="11.7109375" style="9" customWidth="1"/>
    <col min="2660" max="2660" width="10.7109375" customWidth="1"/>
    <col min="2661" max="2661" width="11.7109375" style="9" customWidth="1"/>
    <col min="2662" max="2662" width="10.7109375" customWidth="1"/>
    <col min="2663" max="2663" width="11.7109375" style="9" customWidth="1"/>
    <col min="2664" max="2664" width="10.7109375" customWidth="1"/>
    <col min="2665" max="2665" width="11.7109375" style="9" customWidth="1"/>
    <col min="2666" max="2666" width="10.7109375" customWidth="1"/>
    <col min="2667" max="2667" width="11.7109375" style="9" customWidth="1"/>
    <col min="2668" max="2668" width="10.7109375" customWidth="1"/>
    <col min="2669" max="2669" width="11.7109375" style="9" customWidth="1"/>
    <col min="2670" max="2670" width="10.7109375" customWidth="1"/>
    <col min="2671" max="2671" width="11.7109375" style="9" customWidth="1"/>
    <col min="2672" max="2672" width="10.7109375" customWidth="1"/>
    <col min="2673" max="2673" width="11.7109375" style="9" customWidth="1"/>
    <col min="2674" max="2674" width="10.7109375" customWidth="1"/>
    <col min="2675" max="2675" width="11.7109375" style="9" customWidth="1"/>
    <col min="2676" max="2676" width="10.7109375" customWidth="1"/>
    <col min="2677" max="2677" width="11.7109375" style="9" customWidth="1"/>
    <col min="2678" max="2678" width="10.7109375" customWidth="1"/>
    <col min="2679" max="2679" width="11.7109375" style="9" customWidth="1"/>
    <col min="2680" max="2680" width="10.7109375" customWidth="1"/>
    <col min="2681" max="2681" width="11.7109375" style="9" customWidth="1"/>
    <col min="2682" max="2682" width="10.7109375" customWidth="1"/>
    <col min="2683" max="2683" width="11.7109375" style="9" customWidth="1"/>
    <col min="2684" max="2684" width="10.7109375" customWidth="1"/>
    <col min="2685" max="2685" width="11.7109375" style="9" customWidth="1"/>
    <col min="2686" max="2686" width="10.7109375" customWidth="1"/>
    <col min="2687" max="2687" width="11.7109375" style="9" customWidth="1"/>
    <col min="2688" max="2688" width="10.7109375" customWidth="1"/>
    <col min="2689" max="2689" width="11.7109375" style="9" customWidth="1"/>
    <col min="2690" max="2690" width="10.7109375" customWidth="1"/>
    <col min="2691" max="2691" width="11.7109375" style="9" customWidth="1"/>
    <col min="2692" max="2692" width="10.7109375" customWidth="1"/>
    <col min="2693" max="2693" width="11.7109375" style="9" customWidth="1"/>
    <col min="2694" max="2694" width="10.7109375" customWidth="1"/>
    <col min="2695" max="2695" width="11.7109375" style="9" customWidth="1"/>
    <col min="2696" max="2696" width="10.7109375" customWidth="1"/>
    <col min="2697" max="2697" width="11.7109375" style="9" customWidth="1"/>
    <col min="2698" max="2698" width="10.7109375" customWidth="1"/>
    <col min="2699" max="2699" width="11.7109375" style="9" customWidth="1"/>
    <col min="2700" max="2700" width="10.7109375" customWidth="1"/>
    <col min="2701" max="2701" width="11.7109375" style="9" customWidth="1"/>
    <col min="2702" max="2702" width="10.7109375" customWidth="1"/>
    <col min="2703" max="2703" width="11.7109375" style="9" customWidth="1"/>
    <col min="2704" max="2704" width="10.7109375" customWidth="1"/>
    <col min="2705" max="2705" width="11.7109375" style="9" customWidth="1"/>
    <col min="2706" max="2706" width="10.7109375" customWidth="1"/>
    <col min="2707" max="2707" width="11.7109375" style="9" customWidth="1"/>
    <col min="2708" max="2708" width="10.7109375" customWidth="1"/>
    <col min="2709" max="2709" width="11.7109375" style="9" customWidth="1"/>
    <col min="2710" max="2710" width="10.7109375" customWidth="1"/>
    <col min="2711" max="2711" width="11.7109375" style="9" customWidth="1"/>
    <col min="2712" max="2712" width="10.7109375" customWidth="1"/>
    <col min="2713" max="2713" width="11.7109375" style="9" customWidth="1"/>
    <col min="2714" max="2714" width="10.7109375" customWidth="1"/>
    <col min="2715" max="2715" width="11.7109375" style="9" customWidth="1"/>
    <col min="2716" max="2716" width="10.7109375" customWidth="1"/>
    <col min="2717" max="2717" width="11.7109375" style="9" customWidth="1"/>
    <col min="2718" max="2718" width="10.7109375" customWidth="1"/>
    <col min="2719" max="2719" width="11.7109375" style="9" customWidth="1"/>
    <col min="2720" max="2720" width="10.7109375" customWidth="1"/>
    <col min="2721" max="2721" width="11.7109375" style="9" customWidth="1"/>
    <col min="2722" max="2722" width="10.7109375" customWidth="1"/>
    <col min="2723" max="2723" width="11.7109375" style="9" customWidth="1"/>
    <col min="2724" max="2724" width="10.7109375" customWidth="1"/>
    <col min="2725" max="2725" width="11.7109375" style="9" customWidth="1"/>
    <col min="2726" max="2726" width="10.7109375" customWidth="1"/>
    <col min="2727" max="2727" width="11.7109375" style="9" customWidth="1"/>
    <col min="2728" max="2728" width="10.7109375" customWidth="1"/>
    <col min="2729" max="2729" width="11.7109375" style="9" customWidth="1"/>
    <col min="2730" max="2730" width="10.7109375" customWidth="1"/>
    <col min="2731" max="2731" width="11.7109375" style="9" customWidth="1"/>
    <col min="2732" max="2732" width="10.7109375" customWidth="1"/>
    <col min="2733" max="2733" width="11.7109375" style="9" customWidth="1"/>
    <col min="2734" max="2734" width="10.7109375" customWidth="1"/>
    <col min="2735" max="2735" width="11.7109375" style="9" customWidth="1"/>
    <col min="2736" max="2736" width="10.7109375" customWidth="1"/>
    <col min="2737" max="2737" width="11.7109375" style="9" customWidth="1"/>
    <col min="2738" max="2738" width="10.7109375" customWidth="1"/>
    <col min="2739" max="2739" width="11.7109375" style="9" customWidth="1"/>
    <col min="2740" max="2740" width="10.7109375" customWidth="1"/>
    <col min="2741" max="2741" width="11.7109375" style="9" customWidth="1"/>
    <col min="2742" max="2742" width="10.7109375" customWidth="1"/>
    <col min="2743" max="2743" width="11.7109375" style="9" customWidth="1"/>
    <col min="2744" max="2744" width="10.7109375" customWidth="1"/>
    <col min="2745" max="2745" width="11.7109375" style="9" customWidth="1"/>
    <col min="2746" max="2746" width="10.7109375" customWidth="1"/>
    <col min="2747" max="2747" width="11.7109375" style="9" customWidth="1"/>
    <col min="2748" max="2748" width="10.7109375" customWidth="1"/>
    <col min="2749" max="2749" width="11.7109375" style="9" customWidth="1"/>
    <col min="2750" max="2750" width="10.7109375" customWidth="1"/>
    <col min="2751" max="2751" width="11.7109375" style="9" customWidth="1"/>
    <col min="2752" max="2752" width="10.7109375" customWidth="1"/>
    <col min="2753" max="2753" width="11.7109375" style="9" customWidth="1"/>
    <col min="2754" max="2754" width="10.7109375" customWidth="1"/>
    <col min="2755" max="2755" width="11.7109375" style="9" customWidth="1"/>
    <col min="2756" max="2756" width="10.7109375" customWidth="1"/>
    <col min="2757" max="2757" width="11.7109375" style="9" customWidth="1"/>
    <col min="2758" max="2758" width="10.7109375" customWidth="1"/>
    <col min="2759" max="2759" width="11.7109375" style="9" customWidth="1"/>
    <col min="2760" max="2760" width="10.7109375" customWidth="1"/>
    <col min="2761" max="2761" width="11.7109375" style="9" customWidth="1"/>
    <col min="2762" max="2762" width="10.7109375" customWidth="1"/>
    <col min="2763" max="2763" width="11.7109375" style="9" customWidth="1"/>
    <col min="2764" max="2764" width="10.7109375" customWidth="1"/>
    <col min="2765" max="2765" width="11.7109375" style="9" customWidth="1"/>
    <col min="2766" max="2766" width="10.7109375" customWidth="1"/>
    <col min="2767" max="2767" width="11.7109375" style="9" customWidth="1"/>
    <col min="2768" max="2768" width="10.7109375" customWidth="1"/>
    <col min="2769" max="2769" width="11.7109375" style="9" customWidth="1"/>
    <col min="2770" max="2770" width="10.7109375" customWidth="1"/>
    <col min="2771" max="2771" width="11.7109375" style="9" customWidth="1"/>
    <col min="2772" max="2772" width="10.7109375" customWidth="1"/>
    <col min="2773" max="2773" width="11.7109375" style="9" customWidth="1"/>
    <col min="2774" max="2774" width="10.7109375" customWidth="1"/>
    <col min="2775" max="2775" width="11.7109375" style="9" customWidth="1"/>
    <col min="2776" max="2776" width="10.7109375" customWidth="1"/>
    <col min="2777" max="2777" width="11.7109375" style="9" customWidth="1"/>
    <col min="2778" max="2778" width="10.7109375" customWidth="1"/>
    <col min="2779" max="2779" width="11.7109375" style="9" customWidth="1"/>
    <col min="2780" max="2780" width="10.7109375" customWidth="1"/>
    <col min="2781" max="2781" width="11.7109375" style="9" customWidth="1"/>
    <col min="2782" max="2782" width="10.7109375" customWidth="1"/>
    <col min="2783" max="2783" width="11.7109375" style="9" customWidth="1"/>
    <col min="2784" max="2784" width="10.7109375" customWidth="1"/>
    <col min="2785" max="2785" width="11.7109375" style="9" customWidth="1"/>
    <col min="2786" max="2786" width="10.7109375" customWidth="1"/>
    <col min="2787" max="2787" width="11.7109375" style="9" customWidth="1"/>
    <col min="2788" max="2788" width="10.7109375" customWidth="1"/>
    <col min="2789" max="2789" width="11.7109375" style="9" customWidth="1"/>
    <col min="2790" max="2790" width="10.7109375" customWidth="1"/>
    <col min="2791" max="2791" width="11.7109375" style="9" customWidth="1"/>
    <col min="2792" max="2792" width="10.7109375" customWidth="1"/>
    <col min="2793" max="2793" width="11.7109375" style="9" customWidth="1"/>
    <col min="2794" max="2794" width="10.7109375" customWidth="1"/>
    <col min="2795" max="2795" width="11.7109375" style="9" customWidth="1"/>
    <col min="2796" max="2796" width="10.7109375" customWidth="1"/>
    <col min="2797" max="2797" width="11.7109375" style="9" customWidth="1"/>
    <col min="2798" max="2798" width="10.7109375" customWidth="1"/>
    <col min="2799" max="2799" width="11.7109375" style="9" customWidth="1"/>
    <col min="2800" max="2800" width="10.7109375" customWidth="1"/>
    <col min="2801" max="2801" width="11.7109375" style="9" customWidth="1"/>
    <col min="2802" max="2802" width="10.7109375" customWidth="1"/>
    <col min="2803" max="2803" width="11.7109375" style="9" customWidth="1"/>
    <col min="2804" max="2804" width="10.7109375" customWidth="1"/>
    <col min="2805" max="2805" width="11.7109375" style="9" customWidth="1"/>
    <col min="2806" max="2806" width="10.7109375" customWidth="1"/>
    <col min="2807" max="2807" width="11.7109375" style="9" customWidth="1"/>
    <col min="2808" max="2808" width="10.7109375" customWidth="1"/>
    <col min="2809" max="2809" width="11.7109375" style="9" customWidth="1"/>
    <col min="2810" max="2810" width="10.7109375" customWidth="1"/>
    <col min="2811" max="2811" width="11.7109375" style="9" customWidth="1"/>
    <col min="2812" max="2812" width="10.7109375" customWidth="1"/>
    <col min="2813" max="2813" width="11.7109375" style="9" customWidth="1"/>
    <col min="2814" max="2814" width="10.7109375" customWidth="1"/>
    <col min="2815" max="2815" width="11.7109375" style="9" customWidth="1"/>
    <col min="2816" max="2816" width="10.7109375" customWidth="1"/>
    <col min="2817" max="2817" width="11.7109375" style="9" customWidth="1"/>
    <col min="2818" max="2818" width="10.7109375" customWidth="1"/>
    <col min="2819" max="2819" width="11.7109375" style="9" customWidth="1"/>
    <col min="2820" max="2820" width="10.7109375" customWidth="1"/>
    <col min="2821" max="2821" width="11.7109375" style="9" customWidth="1"/>
    <col min="2822" max="2822" width="10.7109375" customWidth="1"/>
    <col min="2823" max="2823" width="11.7109375" style="9" customWidth="1"/>
    <col min="2824" max="2824" width="10.7109375" customWidth="1"/>
    <col min="2825" max="2825" width="11.7109375" style="9" customWidth="1"/>
    <col min="2826" max="2826" width="10.7109375" customWidth="1"/>
    <col min="2827" max="2827" width="11.7109375" style="9" customWidth="1"/>
    <col min="2828" max="2828" width="10.7109375" customWidth="1"/>
    <col min="2829" max="2829" width="11.7109375" style="9" customWidth="1"/>
    <col min="2830" max="2830" width="10.7109375" customWidth="1"/>
    <col min="2831" max="2831" width="11.7109375" style="9" customWidth="1"/>
    <col min="2832" max="2832" width="10.7109375" customWidth="1"/>
    <col min="2833" max="2833" width="11.7109375" style="9" customWidth="1"/>
    <col min="2834" max="2834" width="10.7109375" customWidth="1"/>
    <col min="2835" max="2835" width="11.7109375" style="9" customWidth="1"/>
    <col min="2836" max="2836" width="10.7109375" customWidth="1"/>
    <col min="2837" max="2837" width="11.7109375" style="9" customWidth="1"/>
    <col min="2838" max="2838" width="10.7109375" customWidth="1"/>
    <col min="2839" max="2839" width="11.7109375" style="9" customWidth="1"/>
    <col min="2840" max="2840" width="10.7109375" customWidth="1"/>
    <col min="2841" max="2841" width="11.7109375" style="9" customWidth="1"/>
    <col min="2842" max="2842" width="10.7109375" customWidth="1"/>
    <col min="2843" max="2843" width="11.7109375" style="9" customWidth="1"/>
    <col min="2844" max="2844" width="10.7109375" customWidth="1"/>
    <col min="2845" max="2845" width="11.7109375" style="9" customWidth="1"/>
    <col min="2846" max="2846" width="10.7109375" customWidth="1"/>
    <col min="2847" max="2847" width="11.7109375" style="9" customWidth="1"/>
    <col min="2848" max="2848" width="10.7109375" customWidth="1"/>
    <col min="2849" max="2849" width="11.7109375" style="9" customWidth="1"/>
    <col min="2850" max="2850" width="10.7109375" customWidth="1"/>
    <col min="2851" max="2851" width="11.7109375" style="9" customWidth="1"/>
    <col min="2852" max="2852" width="10.7109375" customWidth="1"/>
    <col min="2853" max="2853" width="11.7109375" style="9" customWidth="1"/>
    <col min="2854" max="2854" width="10.7109375" customWidth="1"/>
    <col min="2855" max="2855" width="11.7109375" style="9" customWidth="1"/>
    <col min="2856" max="2856" width="10.7109375" customWidth="1"/>
    <col min="2857" max="2857" width="11.7109375" style="9" customWidth="1"/>
    <col min="2858" max="2858" width="10.7109375" customWidth="1"/>
    <col min="2859" max="2859" width="11.7109375" style="9" customWidth="1"/>
    <col min="2860" max="2860" width="10.7109375" customWidth="1"/>
    <col min="2861" max="2861" width="11.7109375" style="9" customWidth="1"/>
    <col min="2862" max="2862" width="10.7109375" customWidth="1"/>
    <col min="2863" max="2863" width="11.7109375" style="9" customWidth="1"/>
    <col min="2864" max="2864" width="10.7109375" customWidth="1"/>
    <col min="2865" max="2865" width="11.7109375" style="9" customWidth="1"/>
    <col min="2866" max="2866" width="10.7109375" customWidth="1"/>
    <col min="2867" max="2867" width="11.7109375" style="9" customWidth="1"/>
    <col min="2868" max="2868" width="10.7109375" customWidth="1"/>
    <col min="2869" max="2869" width="11.7109375" style="9" customWidth="1"/>
    <col min="2870" max="2870" width="10.7109375" customWidth="1"/>
    <col min="2871" max="2871" width="11.7109375" style="9" customWidth="1"/>
    <col min="2872" max="2872" width="10.7109375" customWidth="1"/>
    <col min="2873" max="2873" width="11.7109375" style="9" customWidth="1"/>
    <col min="2874" max="2874" width="10.7109375" customWidth="1"/>
    <col min="2875" max="2875" width="11.7109375" style="9" customWidth="1"/>
    <col min="2876" max="2876" width="10.7109375" customWidth="1"/>
    <col min="2877" max="2877" width="11.7109375" style="9" customWidth="1"/>
    <col min="2878" max="2878" width="10.7109375" customWidth="1"/>
    <col min="2879" max="2879" width="11.7109375" style="9" customWidth="1"/>
    <col min="2880" max="2880" width="10.7109375" customWidth="1"/>
    <col min="2881" max="2881" width="11.7109375" style="9" customWidth="1"/>
    <col min="2882" max="2882" width="10.7109375" customWidth="1"/>
    <col min="2883" max="2883" width="11.7109375" style="9" customWidth="1"/>
    <col min="2884" max="2884" width="10.7109375" customWidth="1"/>
    <col min="2885" max="2885" width="11.7109375" style="9" customWidth="1"/>
    <col min="2886" max="2886" width="10.7109375" customWidth="1"/>
    <col min="2887" max="2887" width="11.7109375" style="9" customWidth="1"/>
    <col min="2888" max="2888" width="10.7109375" customWidth="1"/>
    <col min="2889" max="2889" width="11.7109375" style="9" customWidth="1"/>
    <col min="2890" max="2890" width="10.7109375" customWidth="1"/>
    <col min="2891" max="2891" width="11.7109375" style="9" customWidth="1"/>
    <col min="2892" max="2892" width="10.7109375" customWidth="1"/>
    <col min="2893" max="2893" width="11.7109375" style="9" customWidth="1"/>
    <col min="2894" max="2894" width="10.7109375" customWidth="1"/>
    <col min="2895" max="2895" width="11.7109375" style="9" customWidth="1"/>
    <col min="2896" max="2896" width="10.7109375" customWidth="1"/>
    <col min="2897" max="2897" width="11.7109375" style="9" customWidth="1"/>
    <col min="2898" max="2898" width="10.7109375" customWidth="1"/>
    <col min="2899" max="2899" width="11.7109375" style="9" customWidth="1"/>
    <col min="2900" max="2900" width="10.7109375" customWidth="1"/>
    <col min="2901" max="2901" width="11.7109375" style="9" customWidth="1"/>
    <col min="2902" max="2902" width="10.7109375" customWidth="1"/>
    <col min="2903" max="2903" width="11.7109375" style="9" customWidth="1"/>
    <col min="2904" max="2904" width="10.7109375" customWidth="1"/>
    <col min="2905" max="2905" width="11.7109375" style="9" customWidth="1"/>
    <col min="2906" max="2906" width="10.7109375" customWidth="1"/>
    <col min="2907" max="2907" width="11.7109375" style="9" customWidth="1"/>
    <col min="2908" max="2908" width="10.7109375" customWidth="1"/>
    <col min="2909" max="2909" width="11.7109375" style="9" customWidth="1"/>
    <col min="2910" max="2910" width="10.7109375" customWidth="1"/>
    <col min="2911" max="2911" width="11.7109375" style="9" customWidth="1"/>
    <col min="2912" max="2912" width="10.7109375" customWidth="1"/>
    <col min="2913" max="2913" width="11.7109375" style="9" customWidth="1"/>
    <col min="2914" max="2914" width="10.7109375" customWidth="1"/>
    <col min="2915" max="2915" width="11.7109375" style="9" customWidth="1"/>
    <col min="2916" max="2916" width="10.7109375" customWidth="1"/>
    <col min="2917" max="2917" width="11.7109375" style="9" customWidth="1"/>
    <col min="2918" max="2918" width="10.7109375" customWidth="1"/>
    <col min="2919" max="2919" width="11.7109375" style="9" customWidth="1"/>
    <col min="2920" max="2920" width="10.7109375" customWidth="1"/>
    <col min="2921" max="2921" width="11.7109375" style="9" customWidth="1"/>
    <col min="2922" max="2922" width="10.7109375" customWidth="1"/>
    <col min="2923" max="2923" width="11.7109375" style="9" customWidth="1"/>
    <col min="2924" max="2924" width="10.7109375" customWidth="1"/>
    <col min="2925" max="2925" width="11.7109375" style="9" customWidth="1"/>
    <col min="2926" max="2926" width="10.7109375" customWidth="1"/>
    <col min="2927" max="2927" width="11.7109375" style="9" customWidth="1"/>
    <col min="2928" max="2928" width="10.7109375" customWidth="1"/>
    <col min="2929" max="2929" width="11.7109375" style="9" customWidth="1"/>
    <col min="2930" max="2930" width="10.7109375" customWidth="1"/>
    <col min="2931" max="2931" width="11.7109375" style="9" customWidth="1"/>
    <col min="2932" max="2932" width="10.7109375" customWidth="1"/>
    <col min="2933" max="2933" width="11.7109375" style="9" customWidth="1"/>
    <col min="2934" max="2934" width="10.7109375" customWidth="1"/>
    <col min="2935" max="2935" width="11.7109375" style="9" customWidth="1"/>
    <col min="2936" max="2936" width="10.7109375" customWidth="1"/>
    <col min="2937" max="2937" width="11.7109375" style="9" customWidth="1"/>
    <col min="2938" max="2938" width="10.7109375" customWidth="1"/>
    <col min="2939" max="2939" width="11.7109375" style="9" customWidth="1"/>
    <col min="2940" max="2940" width="10.7109375" customWidth="1"/>
    <col min="2941" max="2941" width="11.7109375" style="9" customWidth="1"/>
    <col min="2942" max="2942" width="10.7109375" customWidth="1"/>
    <col min="2943" max="2943" width="11.7109375" style="9" customWidth="1"/>
    <col min="2944" max="2944" width="10.7109375" customWidth="1"/>
    <col min="2945" max="2945" width="11.7109375" style="9" customWidth="1"/>
    <col min="2946" max="2946" width="10.7109375" customWidth="1"/>
    <col min="2947" max="2947" width="11.7109375" style="9" customWidth="1"/>
    <col min="2948" max="2948" width="10.7109375" customWidth="1"/>
    <col min="2949" max="2949" width="11.7109375" style="9" customWidth="1"/>
    <col min="2950" max="2950" width="10.7109375" customWidth="1"/>
    <col min="2951" max="2951" width="11.7109375" style="9" customWidth="1"/>
    <col min="2952" max="2952" width="10.7109375" customWidth="1"/>
    <col min="2953" max="2953" width="11.7109375" style="9" customWidth="1"/>
    <col min="2954" max="2954" width="10.7109375" customWidth="1"/>
    <col min="2955" max="2955" width="11.7109375" style="9" customWidth="1"/>
    <col min="2956" max="2956" width="10.7109375" customWidth="1"/>
    <col min="2957" max="2957" width="11.7109375" style="9" customWidth="1"/>
    <col min="2958" max="2958" width="10.7109375" customWidth="1"/>
    <col min="2959" max="2959" width="11.7109375" style="9" customWidth="1"/>
    <col min="2960" max="2960" width="10.7109375" customWidth="1"/>
    <col min="2961" max="2961" width="11.7109375" style="9" customWidth="1"/>
    <col min="2962" max="2962" width="10.7109375" customWidth="1"/>
    <col min="2963" max="2963" width="11.7109375" style="9" customWidth="1"/>
    <col min="2964" max="2964" width="10.7109375" customWidth="1"/>
    <col min="2965" max="2965" width="11.7109375" style="9" customWidth="1"/>
    <col min="2966" max="2966" width="10.7109375" customWidth="1"/>
    <col min="2967" max="2967" width="11.7109375" style="9" customWidth="1"/>
    <col min="2968" max="2968" width="10.7109375" customWidth="1"/>
    <col min="2969" max="2969" width="11.7109375" style="9" customWidth="1"/>
    <col min="2970" max="2970" width="10.7109375" customWidth="1"/>
    <col min="2971" max="2971" width="11.7109375" style="9" customWidth="1"/>
    <col min="2972" max="2972" width="10.7109375" customWidth="1"/>
    <col min="2973" max="2973" width="11.7109375" style="9" customWidth="1"/>
    <col min="2974" max="2974" width="10.7109375" customWidth="1"/>
    <col min="2975" max="2975" width="11.7109375" style="9" customWidth="1"/>
    <col min="2976" max="2976" width="10.7109375" customWidth="1"/>
    <col min="2977" max="2977" width="11.7109375" style="9" customWidth="1"/>
    <col min="2978" max="2978" width="10.7109375" customWidth="1"/>
    <col min="2979" max="2979" width="11.7109375" style="9" customWidth="1"/>
    <col min="2980" max="2980" width="10.7109375" customWidth="1"/>
    <col min="2981" max="2981" width="11.7109375" style="9" customWidth="1"/>
    <col min="2982" max="2982" width="10.7109375" customWidth="1"/>
    <col min="2983" max="2983" width="11.7109375" style="9" customWidth="1"/>
    <col min="2984" max="2984" width="10.7109375" customWidth="1"/>
    <col min="2985" max="2985" width="11.7109375" style="9" customWidth="1"/>
    <col min="2986" max="2986" width="10.7109375" customWidth="1"/>
    <col min="2987" max="2987" width="11.7109375" style="9" customWidth="1"/>
    <col min="2988" max="2988" width="10.7109375" customWidth="1"/>
    <col min="2989" max="2989" width="11.7109375" style="9" customWidth="1"/>
    <col min="2990" max="2990" width="10.7109375" customWidth="1"/>
    <col min="2991" max="2991" width="11.7109375" style="9" customWidth="1"/>
    <col min="2992" max="2992" width="10.7109375" customWidth="1"/>
    <col min="2993" max="2993" width="11.7109375" style="9" customWidth="1"/>
    <col min="2994" max="2994" width="10.7109375" customWidth="1"/>
    <col min="2995" max="2995" width="11.7109375" style="9" customWidth="1"/>
    <col min="2996" max="2996" width="10.7109375" customWidth="1"/>
    <col min="2997" max="2997" width="11.7109375" style="9" customWidth="1"/>
    <col min="2998" max="2998" width="10.7109375" customWidth="1"/>
    <col min="2999" max="2999" width="11.7109375" style="9" customWidth="1"/>
    <col min="3000" max="3000" width="10.7109375" customWidth="1"/>
    <col min="3001" max="3001" width="11.7109375" style="9" customWidth="1"/>
    <col min="3002" max="3002" width="10.7109375" customWidth="1"/>
    <col min="3003" max="3003" width="11.7109375" style="9" customWidth="1"/>
    <col min="3004" max="3004" width="10.7109375" customWidth="1"/>
    <col min="3005" max="3005" width="11.7109375" style="9" customWidth="1"/>
    <col min="3006" max="3006" width="10.7109375" customWidth="1"/>
    <col min="3007" max="3007" width="11.7109375" style="9" customWidth="1"/>
    <col min="3008" max="3008" width="10.7109375" customWidth="1"/>
    <col min="3009" max="3009" width="11.7109375" style="9" customWidth="1"/>
    <col min="3010" max="3010" width="10.7109375" customWidth="1"/>
    <col min="3011" max="3011" width="11.7109375" style="9" customWidth="1"/>
    <col min="3012" max="3012" width="10.7109375" customWidth="1"/>
    <col min="3013" max="3013" width="11.7109375" style="9" customWidth="1"/>
    <col min="3014" max="3014" width="10.7109375" customWidth="1"/>
    <col min="3015" max="3015" width="11.7109375" style="9" customWidth="1"/>
    <col min="3016" max="3016" width="10.7109375" customWidth="1"/>
    <col min="3017" max="3017" width="11.7109375" style="9" customWidth="1"/>
    <col min="3018" max="3018" width="10.7109375" customWidth="1"/>
    <col min="3019" max="3019" width="11.7109375" style="9" customWidth="1"/>
    <col min="3020" max="3020" width="10.7109375" customWidth="1"/>
    <col min="3021" max="3021" width="11.7109375" style="9" customWidth="1"/>
    <col min="3022" max="3022" width="10.7109375" customWidth="1"/>
    <col min="3023" max="3023" width="11.7109375" style="9" customWidth="1"/>
    <col min="3024" max="3024" width="10.7109375" customWidth="1"/>
    <col min="3025" max="3025" width="11.7109375" style="9" customWidth="1"/>
    <col min="3026" max="3026" width="10.7109375" customWidth="1"/>
    <col min="3027" max="3027" width="11.7109375" style="9" customWidth="1"/>
    <col min="3028" max="3028" width="10.7109375" customWidth="1"/>
    <col min="3029" max="3029" width="11.7109375" style="9" customWidth="1"/>
    <col min="3030" max="3030" width="10.7109375" customWidth="1"/>
    <col min="3031" max="3031" width="11.7109375" style="9" customWidth="1"/>
    <col min="3032" max="3032" width="10.7109375" customWidth="1"/>
    <col min="3033" max="3033" width="11.7109375" style="9" customWidth="1"/>
    <col min="3034" max="3034" width="10.7109375" customWidth="1"/>
    <col min="3035" max="3035" width="11.7109375" style="9" customWidth="1"/>
    <col min="3036" max="3036" width="10.7109375" customWidth="1"/>
    <col min="3037" max="3037" width="11.7109375" style="9" customWidth="1"/>
    <col min="3038" max="3038" width="10.7109375" customWidth="1"/>
    <col min="3039" max="3039" width="11.7109375" style="9" customWidth="1"/>
    <col min="3040" max="3040" width="10.7109375" customWidth="1"/>
    <col min="3041" max="3041" width="11.7109375" style="9" customWidth="1"/>
    <col min="3042" max="3042" width="10.7109375" customWidth="1"/>
    <col min="3043" max="3043" width="11.7109375" style="9" customWidth="1"/>
    <col min="3044" max="3044" width="10.7109375" customWidth="1"/>
    <col min="3045" max="3045" width="11.7109375" style="9" customWidth="1"/>
    <col min="3046" max="3046" width="10.7109375" customWidth="1"/>
    <col min="3047" max="3047" width="11.7109375" style="9" customWidth="1"/>
    <col min="3048" max="3048" width="10.7109375" customWidth="1"/>
    <col min="3049" max="3049" width="11.7109375" style="9" customWidth="1"/>
    <col min="3050" max="3050" width="10.7109375" customWidth="1"/>
    <col min="3051" max="3051" width="11.7109375" style="9" customWidth="1"/>
    <col min="3052" max="3052" width="10.7109375" customWidth="1"/>
    <col min="3053" max="3053" width="11.7109375" style="9" customWidth="1"/>
    <col min="3054" max="3054" width="10.7109375" customWidth="1"/>
    <col min="3055" max="3055" width="11.7109375" style="9" customWidth="1"/>
    <col min="3056" max="3056" width="10.7109375" customWidth="1"/>
    <col min="3057" max="3057" width="11.7109375" style="9" customWidth="1"/>
    <col min="3058" max="3058" width="10.7109375" customWidth="1"/>
    <col min="3059" max="3059" width="11.7109375" style="9" customWidth="1"/>
    <col min="3060" max="3060" width="10.7109375" customWidth="1"/>
    <col min="3061" max="3061" width="11.7109375" style="9" customWidth="1"/>
    <col min="3062" max="3062" width="10.7109375" customWidth="1"/>
    <col min="3063" max="3063" width="11.7109375" style="9" customWidth="1"/>
    <col min="3064" max="3064" width="10.7109375" customWidth="1"/>
    <col min="3065" max="3065" width="11.7109375" style="9" customWidth="1"/>
    <col min="3066" max="3066" width="10.7109375" customWidth="1"/>
    <col min="3067" max="3067" width="11.7109375" style="9" customWidth="1"/>
    <col min="3068" max="3068" width="10.7109375" customWidth="1"/>
    <col min="3069" max="3069" width="11.7109375" style="9" customWidth="1"/>
    <col min="3070" max="3070" width="10.7109375" customWidth="1"/>
    <col min="3071" max="3071" width="11.7109375" style="9" customWidth="1"/>
    <col min="3072" max="3072" width="10.7109375" customWidth="1"/>
    <col min="3073" max="3073" width="11.7109375" style="9" customWidth="1"/>
    <col min="3074" max="3074" width="10.7109375" customWidth="1"/>
    <col min="3075" max="3075" width="11.7109375" style="9" customWidth="1"/>
    <col min="3076" max="3076" width="10.7109375" customWidth="1"/>
    <col min="3077" max="3077" width="11.7109375" style="9" customWidth="1"/>
    <col min="3078" max="3078" width="10.7109375" customWidth="1"/>
    <col min="3079" max="3079" width="11.7109375" style="9" customWidth="1"/>
    <col min="3080" max="3080" width="10.7109375" customWidth="1"/>
    <col min="3081" max="3081" width="11.7109375" style="9" customWidth="1"/>
    <col min="3082" max="3082" width="10.7109375" customWidth="1"/>
    <col min="3083" max="3083" width="11.7109375" style="9" customWidth="1"/>
    <col min="3084" max="3084" width="10.7109375" customWidth="1"/>
    <col min="3085" max="3085" width="11.7109375" style="9" customWidth="1"/>
    <col min="3086" max="3086" width="10.7109375" customWidth="1"/>
    <col min="3087" max="3087" width="11.7109375" style="9" customWidth="1"/>
    <col min="3088" max="3088" width="10.7109375" customWidth="1"/>
    <col min="3089" max="3089" width="11.7109375" style="9" customWidth="1"/>
    <col min="3090" max="3090" width="10.7109375" customWidth="1"/>
    <col min="3091" max="3091" width="11.7109375" style="9" customWidth="1"/>
    <col min="3092" max="3092" width="10.7109375" customWidth="1"/>
    <col min="3093" max="3093" width="11.7109375" style="9" customWidth="1"/>
    <col min="3094" max="3094" width="10.7109375" customWidth="1"/>
    <col min="3095" max="3095" width="11.7109375" style="9" customWidth="1"/>
    <col min="3096" max="3096" width="10.7109375" customWidth="1"/>
    <col min="3097" max="3097" width="11.7109375" style="9" customWidth="1"/>
    <col min="3098" max="3098" width="10.7109375" customWidth="1"/>
    <col min="3099" max="3099" width="11.7109375" style="9" customWidth="1"/>
    <col min="3100" max="3100" width="10.7109375" customWidth="1"/>
    <col min="3101" max="3101" width="11.7109375" style="9" customWidth="1"/>
    <col min="3102" max="3102" width="10.7109375" customWidth="1"/>
    <col min="3103" max="3103" width="11.7109375" style="9" customWidth="1"/>
    <col min="3104" max="3104" width="10.7109375" customWidth="1"/>
    <col min="3105" max="3105" width="11.7109375" style="9" customWidth="1"/>
    <col min="3106" max="3106" width="10.7109375" customWidth="1"/>
    <col min="3107" max="3107" width="11.7109375" style="9" customWidth="1"/>
    <col min="3108" max="3108" width="10.7109375" customWidth="1"/>
    <col min="3109" max="3109" width="11.7109375" style="9" customWidth="1"/>
    <col min="3110" max="3110" width="10.7109375" customWidth="1"/>
    <col min="3111" max="3111" width="11.7109375" style="9" customWidth="1"/>
    <col min="3112" max="3112" width="10.7109375" customWidth="1"/>
    <col min="3113" max="3113" width="11.7109375" style="9" customWidth="1"/>
    <col min="3114" max="3114" width="10.7109375" customWidth="1"/>
    <col min="3115" max="3115" width="11.7109375" style="9" customWidth="1"/>
    <col min="3116" max="3116" width="10.7109375" customWidth="1"/>
    <col min="3117" max="3117" width="11.7109375" style="9" customWidth="1"/>
    <col min="3118" max="3118" width="10.7109375" customWidth="1"/>
    <col min="3119" max="3119" width="11.7109375" style="9" customWidth="1"/>
    <col min="3120" max="3120" width="10.7109375" customWidth="1"/>
    <col min="3121" max="3121" width="11.7109375" style="9" customWidth="1"/>
    <col min="3122" max="3122" width="10.7109375" customWidth="1"/>
    <col min="3123" max="3123" width="11.7109375" style="9" customWidth="1"/>
    <col min="3124" max="3124" width="10.7109375" customWidth="1"/>
    <col min="3125" max="3125" width="11.7109375" style="9" customWidth="1"/>
    <col min="3126" max="3126" width="10.7109375" customWidth="1"/>
    <col min="3127" max="3127" width="11.7109375" style="9" customWidth="1"/>
    <col min="3128" max="3128" width="10.7109375" customWidth="1"/>
    <col min="3129" max="3129" width="11.7109375" style="9" customWidth="1"/>
    <col min="3130" max="3130" width="10.7109375" customWidth="1"/>
    <col min="3131" max="3131" width="11.7109375" style="9" customWidth="1"/>
    <col min="3132" max="3132" width="10.7109375" customWidth="1"/>
    <col min="3133" max="3133" width="11.7109375" style="9" customWidth="1"/>
    <col min="3134" max="3134" width="10.7109375" customWidth="1"/>
    <col min="3135" max="3135" width="11.7109375" style="9" customWidth="1"/>
    <col min="3136" max="3136" width="10.7109375" customWidth="1"/>
    <col min="3137" max="3137" width="11.7109375" style="9" customWidth="1"/>
    <col min="3138" max="3138" width="10.7109375" customWidth="1"/>
    <col min="3139" max="3139" width="11.7109375" style="9" customWidth="1"/>
    <col min="3140" max="3140" width="10.7109375" customWidth="1"/>
    <col min="3141" max="3141" width="11.7109375" style="9" customWidth="1"/>
    <col min="3142" max="3142" width="10.7109375" customWidth="1"/>
    <col min="3143" max="3143" width="11.7109375" style="9" customWidth="1"/>
    <col min="3144" max="3144" width="10.7109375" customWidth="1"/>
    <col min="3145" max="3145" width="11.7109375" style="9" customWidth="1"/>
    <col min="3146" max="3146" width="10.7109375" customWidth="1"/>
    <col min="3147" max="3147" width="11.7109375" style="9" customWidth="1"/>
    <col min="3148" max="3148" width="10.7109375" customWidth="1"/>
    <col min="3149" max="3149" width="11.7109375" style="9" customWidth="1"/>
    <col min="3150" max="3150" width="10.7109375" customWidth="1"/>
    <col min="3151" max="3151" width="11.7109375" style="9" customWidth="1"/>
    <col min="3152" max="3152" width="10.7109375" customWidth="1"/>
    <col min="3153" max="3153" width="11.7109375" style="9" customWidth="1"/>
    <col min="3154" max="3154" width="10.7109375" customWidth="1"/>
    <col min="3155" max="3155" width="11.7109375" style="9" customWidth="1"/>
    <col min="3156" max="3156" width="10.7109375" customWidth="1"/>
    <col min="3157" max="3157" width="11.7109375" style="9" customWidth="1"/>
    <col min="3158" max="3158" width="10.7109375" customWidth="1"/>
    <col min="3159" max="3159" width="11.7109375" style="9" customWidth="1"/>
    <col min="3160" max="3160" width="10.7109375" customWidth="1"/>
    <col min="3161" max="3161" width="11.7109375" style="9" customWidth="1"/>
    <col min="3162" max="3162" width="10.7109375" customWidth="1"/>
    <col min="3163" max="3163" width="11.7109375" style="9" customWidth="1"/>
    <col min="3164" max="3164" width="10.7109375" customWidth="1"/>
    <col min="3165" max="3165" width="11.7109375" style="9" customWidth="1"/>
    <col min="3166" max="3166" width="10.7109375" customWidth="1"/>
    <col min="3167" max="3167" width="11.7109375" style="9" customWidth="1"/>
    <col min="3168" max="3168" width="10.7109375" customWidth="1"/>
    <col min="3169" max="3169" width="11.7109375" style="9" customWidth="1"/>
    <col min="3170" max="3170" width="10.7109375" customWidth="1"/>
    <col min="3171" max="3171" width="11.7109375" style="9" customWidth="1"/>
    <col min="3172" max="3172" width="10.7109375" customWidth="1"/>
    <col min="3173" max="3173" width="11.7109375" style="9" customWidth="1"/>
    <col min="3174" max="3174" width="10.7109375" customWidth="1"/>
    <col min="3175" max="3175" width="11.7109375" style="9" customWidth="1"/>
    <col min="3176" max="3176" width="10.7109375" customWidth="1"/>
    <col min="3177" max="3177" width="11.7109375" style="9" customWidth="1"/>
    <col min="3178" max="3178" width="10.7109375" customWidth="1"/>
    <col min="3179" max="3179" width="11.7109375" style="9" customWidth="1"/>
    <col min="3180" max="3180" width="10.7109375" customWidth="1"/>
    <col min="3181" max="3181" width="11.7109375" style="9" customWidth="1"/>
    <col min="3182" max="3182" width="10.7109375" customWidth="1"/>
    <col min="3183" max="3183" width="11.7109375" style="9" customWidth="1"/>
    <col min="3184" max="3184" width="10.7109375" customWidth="1"/>
    <col min="3185" max="3185" width="11.7109375" style="9" customWidth="1"/>
    <col min="3186" max="3186" width="10.7109375" customWidth="1"/>
    <col min="3187" max="3187" width="11.7109375" style="9" customWidth="1"/>
    <col min="3188" max="3188" width="10.7109375" customWidth="1"/>
    <col min="3189" max="3189" width="11.7109375" style="9" customWidth="1"/>
    <col min="3190" max="3190" width="10.7109375" customWidth="1"/>
    <col min="3191" max="3191" width="11.7109375" style="9" customWidth="1"/>
    <col min="3192" max="3192" width="10.7109375" customWidth="1"/>
    <col min="3193" max="3193" width="11.7109375" style="9" customWidth="1"/>
    <col min="3194" max="3194" width="10.7109375" customWidth="1"/>
    <col min="3195" max="3195" width="11.7109375" style="9" customWidth="1"/>
    <col min="3196" max="3196" width="10.7109375" customWidth="1"/>
    <col min="3197" max="3197" width="11.7109375" style="9" customWidth="1"/>
    <col min="3198" max="3198" width="10.7109375" customWidth="1"/>
    <col min="3199" max="3199" width="11.7109375" style="9" customWidth="1"/>
    <col min="3200" max="3200" width="10.7109375" customWidth="1"/>
    <col min="3201" max="3201" width="11.7109375" style="9" customWidth="1"/>
    <col min="3202" max="3202" width="10.7109375" customWidth="1"/>
    <col min="3203" max="3203" width="11.7109375" style="9" customWidth="1"/>
    <col min="3204" max="3204" width="10.7109375" customWidth="1"/>
    <col min="3205" max="3205" width="11.7109375" style="9" customWidth="1"/>
    <col min="3206" max="3206" width="10.7109375" customWidth="1"/>
    <col min="3207" max="3207" width="11.7109375" style="9" customWidth="1"/>
    <col min="3208" max="3208" width="10.7109375" customWidth="1"/>
    <col min="3209" max="3209" width="11.7109375" style="9" customWidth="1"/>
    <col min="3210" max="3210" width="10.7109375" customWidth="1"/>
    <col min="3211" max="3211" width="11.7109375" style="9" customWidth="1"/>
    <col min="3212" max="3212" width="10.7109375" customWidth="1"/>
    <col min="3213" max="3213" width="11.7109375" style="9" customWidth="1"/>
    <col min="3214" max="3214" width="10.7109375" customWidth="1"/>
    <col min="3215" max="3215" width="11.7109375" style="9" customWidth="1"/>
    <col min="3216" max="3216" width="10.7109375" customWidth="1"/>
    <col min="3217" max="3217" width="11.7109375" style="9" customWidth="1"/>
    <col min="3218" max="3218" width="10.7109375" customWidth="1"/>
    <col min="3219" max="3219" width="11.7109375" style="9" customWidth="1"/>
    <col min="3220" max="3220" width="10.7109375" customWidth="1"/>
    <col min="3221" max="3221" width="11.7109375" style="9" customWidth="1"/>
    <col min="3222" max="3222" width="10.7109375" customWidth="1"/>
    <col min="3223" max="3223" width="11.7109375" style="9" customWidth="1"/>
    <col min="3224" max="3224" width="10.7109375" customWidth="1"/>
    <col min="3225" max="3225" width="11.7109375" style="9" customWidth="1"/>
    <col min="3226" max="3226" width="10.7109375" customWidth="1"/>
    <col min="3227" max="3227" width="11.7109375" style="9" customWidth="1"/>
    <col min="3228" max="3228" width="10.7109375" customWidth="1"/>
    <col min="3229" max="3229" width="11.7109375" style="9" customWidth="1"/>
    <col min="3230" max="3230" width="10.7109375" customWidth="1"/>
    <col min="3231" max="3231" width="11.7109375" style="9" customWidth="1"/>
    <col min="3232" max="3232" width="10.7109375" customWidth="1"/>
    <col min="3233" max="3233" width="11.7109375" style="9" customWidth="1"/>
    <col min="3234" max="3234" width="10.7109375" customWidth="1"/>
    <col min="3235" max="3235" width="11.7109375" style="9" customWidth="1"/>
    <col min="3236" max="3236" width="10.7109375" customWidth="1"/>
    <col min="3237" max="3237" width="11.7109375" style="9" customWidth="1"/>
    <col min="3238" max="3238" width="10.7109375" customWidth="1"/>
    <col min="3239" max="3239" width="11.7109375" style="9" customWidth="1"/>
    <col min="3240" max="3240" width="10.7109375" customWidth="1"/>
    <col min="3241" max="3241" width="11.7109375" style="9" customWidth="1"/>
    <col min="3242" max="3242" width="10.7109375" customWidth="1"/>
    <col min="3243" max="3243" width="11.7109375" style="9" customWidth="1"/>
    <col min="3244" max="3244" width="10.7109375" customWidth="1"/>
    <col min="3245" max="3245" width="11.7109375" style="9" customWidth="1"/>
    <col min="3246" max="3246" width="10.7109375" customWidth="1"/>
    <col min="3247" max="3247" width="11.7109375" style="9" customWidth="1"/>
    <col min="3248" max="3248" width="10.7109375" customWidth="1"/>
    <col min="3249" max="3249" width="11.7109375" style="9" customWidth="1"/>
    <col min="3250" max="3250" width="10.7109375" customWidth="1"/>
    <col min="3251" max="3251" width="11.7109375" style="9" customWidth="1"/>
    <col min="3252" max="3252" width="10.7109375" customWidth="1"/>
    <col min="3253" max="3253" width="11.7109375" style="9" customWidth="1"/>
    <col min="3254" max="3254" width="10.7109375" customWidth="1"/>
    <col min="3255" max="3255" width="11.7109375" style="9" customWidth="1"/>
    <col min="3256" max="3256" width="10.7109375" customWidth="1"/>
    <col min="3257" max="3257" width="11.7109375" style="9" customWidth="1"/>
    <col min="3258" max="3258" width="10.7109375" customWidth="1"/>
    <col min="3259" max="3259" width="11.7109375" style="9" customWidth="1"/>
    <col min="3260" max="3260" width="10.7109375" customWidth="1"/>
    <col min="3261" max="3261" width="11.7109375" style="9" customWidth="1"/>
    <col min="3262" max="3262" width="10.7109375" customWidth="1"/>
    <col min="3263" max="3263" width="11.7109375" style="9" customWidth="1"/>
    <col min="3264" max="3264" width="10.7109375" customWidth="1"/>
    <col min="3265" max="3265" width="11.7109375" style="9" customWidth="1"/>
    <col min="3266" max="3266" width="10.7109375" customWidth="1"/>
    <col min="3267" max="3267" width="11.7109375" style="9" customWidth="1"/>
    <col min="3268" max="3268" width="10.7109375" customWidth="1"/>
    <col min="3269" max="3269" width="11.7109375" style="9" customWidth="1"/>
    <col min="3270" max="3270" width="10.7109375" customWidth="1"/>
    <col min="3271" max="3271" width="11.7109375" style="9" customWidth="1"/>
    <col min="3272" max="3272" width="10.7109375" customWidth="1"/>
    <col min="3273" max="3273" width="11.7109375" style="9" customWidth="1"/>
    <col min="3274" max="3274" width="10.7109375" customWidth="1"/>
    <col min="3275" max="3275" width="11.7109375" style="9" customWidth="1"/>
    <col min="3276" max="3276" width="10.7109375" customWidth="1"/>
    <col min="3277" max="3277" width="11.7109375" style="9" customWidth="1"/>
    <col min="3278" max="3278" width="10.7109375" customWidth="1"/>
    <col min="3279" max="3279" width="11.7109375" style="9" customWidth="1"/>
    <col min="3280" max="3280" width="10.7109375" customWidth="1"/>
    <col min="3281" max="3281" width="11.7109375" style="9" customWidth="1"/>
    <col min="3282" max="3282" width="10.7109375" customWidth="1"/>
    <col min="3283" max="3283" width="11.7109375" style="9" customWidth="1"/>
    <col min="3284" max="3284" width="10.7109375" customWidth="1"/>
    <col min="3285" max="3285" width="11.7109375" style="9" customWidth="1"/>
    <col min="3286" max="3286" width="10.7109375" customWidth="1"/>
    <col min="3287" max="3287" width="11.7109375" style="9" customWidth="1"/>
    <col min="3288" max="3288" width="10.7109375" customWidth="1"/>
    <col min="3289" max="3289" width="11.7109375" style="9" customWidth="1"/>
    <col min="3290" max="3290" width="10.7109375" customWidth="1"/>
    <col min="3291" max="3291" width="11.7109375" style="9" customWidth="1"/>
    <col min="3292" max="3292" width="10.7109375" customWidth="1"/>
    <col min="3293" max="3293" width="11.7109375" style="9" customWidth="1"/>
    <col min="3294" max="3294" width="10.7109375" customWidth="1"/>
    <col min="3295" max="3295" width="11.7109375" style="9" customWidth="1"/>
    <col min="3296" max="3296" width="10.7109375" customWidth="1"/>
    <col min="3297" max="3297" width="11.7109375" style="9" customWidth="1"/>
    <col min="3298" max="3298" width="10.7109375" customWidth="1"/>
    <col min="3299" max="3299" width="11.7109375" style="9" customWidth="1"/>
    <col min="3300" max="3300" width="10.7109375" customWidth="1"/>
    <col min="3301" max="3301" width="11.7109375" style="9" customWidth="1"/>
    <col min="3302" max="3302" width="10.7109375" customWidth="1"/>
    <col min="3303" max="3303" width="11.7109375" style="9" customWidth="1"/>
    <col min="3304" max="3304" width="10.7109375" customWidth="1"/>
    <col min="3305" max="3305" width="11.7109375" style="9" customWidth="1"/>
    <col min="3306" max="3306" width="10.7109375" customWidth="1"/>
    <col min="3307" max="3307" width="11.7109375" style="9" customWidth="1"/>
    <col min="3308" max="3308" width="10.7109375" customWidth="1"/>
    <col min="3309" max="3309" width="11.7109375" style="9" customWidth="1"/>
    <col min="3310" max="3310" width="10.7109375" customWidth="1"/>
    <col min="3311" max="3311" width="11.7109375" style="9" customWidth="1"/>
    <col min="3312" max="3312" width="10.7109375" customWidth="1"/>
    <col min="3313" max="3313" width="11.7109375" style="9" customWidth="1"/>
    <col min="3314" max="3314" width="10.7109375" customWidth="1"/>
    <col min="3315" max="3315" width="11.7109375" style="9" customWidth="1"/>
    <col min="3316" max="3316" width="10.7109375" customWidth="1"/>
    <col min="3317" max="3317" width="11.7109375" style="9" customWidth="1"/>
    <col min="3318" max="3318" width="10.7109375" customWidth="1"/>
    <col min="3319" max="3319" width="11.7109375" style="9" customWidth="1"/>
    <col min="3320" max="3320" width="10.7109375" customWidth="1"/>
    <col min="3321" max="3321" width="11.7109375" style="9" customWidth="1"/>
    <col min="3322" max="3322" width="10.7109375" customWidth="1"/>
    <col min="3323" max="3323" width="11.7109375" style="9" customWidth="1"/>
    <col min="3324" max="3324" width="10.7109375" customWidth="1"/>
    <col min="3325" max="3325" width="11.7109375" style="9" customWidth="1"/>
    <col min="3326" max="3326" width="10.7109375" customWidth="1"/>
    <col min="3327" max="3327" width="11.7109375" style="9" customWidth="1"/>
    <col min="3328" max="3328" width="10.7109375" customWidth="1"/>
    <col min="3329" max="3329" width="11.7109375" style="9" customWidth="1"/>
    <col min="3330" max="3330" width="10.7109375" customWidth="1"/>
    <col min="3331" max="3331" width="11.7109375" style="9" customWidth="1"/>
    <col min="3332" max="3332" width="10.7109375" customWidth="1"/>
    <col min="3333" max="3333" width="11.7109375" style="9" customWidth="1"/>
    <col min="3334" max="3334" width="10.7109375" customWidth="1"/>
    <col min="3335" max="3335" width="11.7109375" style="9" customWidth="1"/>
    <col min="3336" max="3336" width="10.7109375" customWidth="1"/>
    <col min="3337" max="3337" width="11.7109375" style="9" customWidth="1"/>
    <col min="3338" max="3338" width="10.7109375" customWidth="1"/>
    <col min="3339" max="3339" width="11.7109375" style="9" customWidth="1"/>
    <col min="3340" max="3340" width="10.7109375" customWidth="1"/>
    <col min="3341" max="3341" width="11.7109375" style="9" customWidth="1"/>
    <col min="3342" max="3342" width="10.7109375" customWidth="1"/>
    <col min="3343" max="3343" width="11.7109375" style="9" customWidth="1"/>
    <col min="3344" max="3344" width="10.7109375" customWidth="1"/>
    <col min="3345" max="3345" width="11.7109375" style="9" customWidth="1"/>
    <col min="3346" max="3346" width="10.7109375" customWidth="1"/>
    <col min="3347" max="3347" width="11.7109375" style="9" customWidth="1"/>
    <col min="3348" max="3348" width="10.7109375" customWidth="1"/>
    <col min="3349" max="3349" width="11.7109375" style="9" customWidth="1"/>
    <col min="3350" max="3350" width="10.7109375" customWidth="1"/>
    <col min="3351" max="3351" width="11.7109375" style="9" customWidth="1"/>
    <col min="3352" max="3352" width="10.7109375" customWidth="1"/>
    <col min="3353" max="3353" width="11.7109375" style="9" customWidth="1"/>
    <col min="3354" max="3354" width="10.7109375" customWidth="1"/>
    <col min="3355" max="3355" width="11.7109375" style="9" customWidth="1"/>
    <col min="3356" max="3356" width="10.7109375" customWidth="1"/>
    <col min="3357" max="3357" width="11.7109375" style="9" customWidth="1"/>
    <col min="3358" max="3358" width="10.7109375" customWidth="1"/>
    <col min="3359" max="3359" width="11.7109375" style="9" customWidth="1"/>
    <col min="3360" max="3360" width="10.7109375" customWidth="1"/>
    <col min="3361" max="3361" width="11.7109375" style="9" customWidth="1"/>
    <col min="3362" max="3362" width="10.7109375" customWidth="1"/>
    <col min="3363" max="3363" width="11.7109375" style="9" customWidth="1"/>
    <col min="3364" max="3364" width="10.7109375" customWidth="1"/>
    <col min="3365" max="3365" width="11.7109375" style="9" customWidth="1"/>
    <col min="3366" max="3366" width="10.7109375" customWidth="1"/>
    <col min="3367" max="3367" width="11.7109375" style="9" customWidth="1"/>
    <col min="3368" max="3368" width="10.7109375" customWidth="1"/>
    <col min="3369" max="3369" width="11.7109375" style="9" customWidth="1"/>
    <col min="3370" max="3370" width="10.7109375" customWidth="1"/>
    <col min="3371" max="3371" width="11.7109375" style="9" customWidth="1"/>
    <col min="3372" max="3372" width="10.7109375" customWidth="1"/>
    <col min="3373" max="3373" width="11.7109375" style="9" customWidth="1"/>
    <col min="3374" max="3374" width="10.7109375" customWidth="1"/>
    <col min="3375" max="3375" width="11.7109375" style="9" customWidth="1"/>
    <col min="3376" max="3376" width="10.7109375" customWidth="1"/>
    <col min="3377" max="3377" width="11.7109375" style="9" customWidth="1"/>
    <col min="3378" max="3378" width="10.7109375" customWidth="1"/>
    <col min="3379" max="3379" width="11.7109375" style="9" customWidth="1"/>
    <col min="3380" max="3380" width="10.7109375" customWidth="1"/>
    <col min="3381" max="3381" width="11.7109375" style="9" customWidth="1"/>
    <col min="3382" max="3382" width="10.7109375" customWidth="1"/>
    <col min="3383" max="3383" width="11.7109375" style="9" customWidth="1"/>
    <col min="3384" max="3384" width="10.7109375" customWidth="1"/>
    <col min="3385" max="3385" width="11.7109375" style="9" customWidth="1"/>
    <col min="3386" max="3386" width="10.7109375" customWidth="1"/>
    <col min="3387" max="3387" width="11.7109375" style="9" customWidth="1"/>
    <col min="3388" max="3388" width="10.7109375" customWidth="1"/>
    <col min="3389" max="3389" width="11.7109375" style="9" customWidth="1"/>
    <col min="3390" max="3390" width="10.7109375" customWidth="1"/>
    <col min="3391" max="3391" width="11.7109375" style="9" customWidth="1"/>
    <col min="3392" max="3392" width="10.7109375" customWidth="1"/>
    <col min="3393" max="3393" width="11.7109375" style="9" customWidth="1"/>
    <col min="3394" max="3394" width="10.7109375" customWidth="1"/>
    <col min="3395" max="3395" width="11.7109375" style="9" customWidth="1"/>
    <col min="3396" max="3396" width="10.7109375" customWidth="1"/>
    <col min="3397" max="3397" width="11.7109375" style="9" customWidth="1"/>
    <col min="3398" max="3398" width="10.7109375" customWidth="1"/>
    <col min="3399" max="3399" width="11.7109375" style="9" customWidth="1"/>
    <col min="3400" max="3400" width="10.7109375" customWidth="1"/>
    <col min="3401" max="3401" width="11.7109375" style="9" customWidth="1"/>
    <col min="3402" max="3402" width="10.7109375" customWidth="1"/>
    <col min="3403" max="3403" width="11.7109375" style="9" customWidth="1"/>
    <col min="3404" max="3404" width="10.7109375" customWidth="1"/>
    <col min="3405" max="3405" width="11.7109375" style="9" customWidth="1"/>
    <col min="3406" max="3406" width="10.7109375" customWidth="1"/>
    <col min="3407" max="3407" width="11.7109375" style="9" customWidth="1"/>
    <col min="3408" max="3408" width="10.7109375" customWidth="1"/>
    <col min="3409" max="3409" width="11.7109375" style="9" customWidth="1"/>
    <col min="3410" max="3410" width="10.7109375" customWidth="1"/>
    <col min="3411" max="3411" width="11.7109375" style="9" customWidth="1"/>
    <col min="3412" max="3412" width="10.7109375" customWidth="1"/>
    <col min="3413" max="3413" width="11.7109375" style="9" customWidth="1"/>
    <col min="3414" max="3414" width="10.7109375" customWidth="1"/>
    <col min="3415" max="3415" width="11.7109375" style="9" customWidth="1"/>
    <col min="3416" max="3416" width="10.7109375" customWidth="1"/>
    <col min="3417" max="3417" width="11.7109375" style="9" customWidth="1"/>
    <col min="3418" max="3418" width="10.7109375" customWidth="1"/>
    <col min="3419" max="3419" width="11.7109375" style="9" customWidth="1"/>
    <col min="3420" max="3420" width="10.7109375" customWidth="1"/>
    <col min="3421" max="3421" width="11.7109375" style="9" customWidth="1"/>
    <col min="3422" max="3422" width="10.7109375" customWidth="1"/>
    <col min="3423" max="3423" width="11.7109375" style="9" customWidth="1"/>
    <col min="3424" max="3424" width="10.7109375" customWidth="1"/>
    <col min="3425" max="3425" width="11.7109375" style="9" customWidth="1"/>
    <col min="3426" max="3426" width="10.7109375" customWidth="1"/>
    <col min="3427" max="3427" width="11.7109375" style="9" customWidth="1"/>
    <col min="3428" max="3428" width="10.7109375" customWidth="1"/>
    <col min="3429" max="3429" width="11.7109375" style="9" customWidth="1"/>
    <col min="3430" max="3430" width="10.7109375" customWidth="1"/>
    <col min="3431" max="3431" width="11.7109375" style="9" customWidth="1"/>
    <col min="3432" max="3432" width="10.7109375" customWidth="1"/>
    <col min="3433" max="3433" width="11.7109375" style="9" customWidth="1"/>
    <col min="3434" max="3434" width="10.7109375" customWidth="1"/>
    <col min="3435" max="3435" width="11.7109375" style="9" customWidth="1"/>
    <col min="3436" max="3436" width="10.7109375" customWidth="1"/>
    <col min="3437" max="3437" width="11.7109375" style="9" customWidth="1"/>
    <col min="3438" max="3438" width="10.7109375" customWidth="1"/>
    <col min="3439" max="3439" width="11.7109375" style="9" customWidth="1"/>
    <col min="3440" max="3440" width="10.7109375" customWidth="1"/>
    <col min="3441" max="3441" width="11.7109375" style="9" customWidth="1"/>
    <col min="3442" max="3442" width="10.7109375" customWidth="1"/>
    <col min="3443" max="3443" width="11.7109375" style="9" customWidth="1"/>
    <col min="3444" max="3444" width="10.7109375" customWidth="1"/>
    <col min="3445" max="3445" width="11.7109375" style="9" customWidth="1"/>
    <col min="3446" max="3446" width="10.7109375" customWidth="1"/>
    <col min="3447" max="3447" width="11.7109375" style="9" customWidth="1"/>
    <col min="3448" max="3448" width="10.7109375" customWidth="1"/>
    <col min="3449" max="3449" width="11.7109375" style="9" customWidth="1"/>
    <col min="3450" max="3450" width="10.7109375" customWidth="1"/>
    <col min="3451" max="3451" width="11.7109375" style="9" customWidth="1"/>
    <col min="3452" max="3452" width="10.7109375" customWidth="1"/>
    <col min="3453" max="3453" width="11.7109375" style="9" customWidth="1"/>
    <col min="3454" max="3454" width="10.7109375" customWidth="1"/>
    <col min="3455" max="3455" width="11.7109375" style="9" customWidth="1"/>
    <col min="3456" max="3456" width="10.7109375" customWidth="1"/>
    <col min="3457" max="3457" width="11.7109375" style="9" customWidth="1"/>
    <col min="3458" max="3458" width="10.7109375" customWidth="1"/>
    <col min="3459" max="3459" width="11.7109375" style="9" customWidth="1"/>
    <col min="3460" max="3460" width="10.7109375" customWidth="1"/>
    <col min="3461" max="3461" width="11.7109375" style="9" customWidth="1"/>
    <col min="3462" max="3462" width="10.7109375" customWidth="1"/>
    <col min="3463" max="3463" width="11.7109375" style="9" customWidth="1"/>
    <col min="3464" max="3464" width="10.7109375" customWidth="1"/>
    <col min="3465" max="3465" width="11.7109375" style="9" customWidth="1"/>
    <col min="3466" max="3466" width="10.7109375" customWidth="1"/>
    <col min="3467" max="3467" width="11.7109375" style="9" customWidth="1"/>
    <col min="3468" max="3468" width="10.7109375" customWidth="1"/>
    <col min="3469" max="3469" width="11.7109375" style="9" customWidth="1"/>
    <col min="3470" max="3470" width="10.7109375" customWidth="1"/>
    <col min="3471" max="3471" width="11.7109375" style="9" customWidth="1"/>
    <col min="3472" max="3472" width="10.7109375" customWidth="1"/>
    <col min="3473" max="3473" width="11.7109375" style="9" customWidth="1"/>
    <col min="3474" max="3474" width="10.7109375" customWidth="1"/>
    <col min="3475" max="3475" width="11.7109375" style="9" customWidth="1"/>
    <col min="3476" max="3476" width="10.7109375" customWidth="1"/>
    <col min="3477" max="3477" width="11.7109375" style="9" customWidth="1"/>
    <col min="3478" max="3478" width="10.7109375" customWidth="1"/>
    <col min="3479" max="3479" width="11.7109375" style="9" customWidth="1"/>
    <col min="3480" max="3480" width="10.7109375" customWidth="1"/>
    <col min="3481" max="3481" width="11.7109375" style="9" customWidth="1"/>
    <col min="3482" max="3482" width="10.7109375" customWidth="1"/>
    <col min="3483" max="3483" width="11.7109375" style="9" customWidth="1"/>
    <col min="3484" max="3484" width="10.7109375" customWidth="1"/>
    <col min="3485" max="3485" width="11.7109375" style="9" customWidth="1"/>
    <col min="3486" max="3486" width="10.7109375" customWidth="1"/>
    <col min="3487" max="3487" width="11.7109375" style="9" customWidth="1"/>
    <col min="3488" max="3488" width="10.7109375" customWidth="1"/>
    <col min="3489" max="3489" width="11.7109375" style="9" customWidth="1"/>
    <col min="3490" max="3490" width="10.7109375" customWidth="1"/>
    <col min="3491" max="3491" width="11.7109375" style="9" customWidth="1"/>
    <col min="3492" max="3492" width="10.7109375" customWidth="1"/>
    <col min="3493" max="3493" width="11.7109375" style="9" customWidth="1"/>
    <col min="3494" max="3494" width="10.7109375" customWidth="1"/>
    <col min="3495" max="3495" width="11.7109375" style="9" customWidth="1"/>
    <col min="3496" max="3496" width="10.7109375" customWidth="1"/>
    <col min="3497" max="3497" width="11.7109375" style="9" customWidth="1"/>
    <col min="3498" max="3498" width="10.7109375" customWidth="1"/>
    <col min="3499" max="3499" width="11.7109375" style="9" customWidth="1"/>
    <col min="3500" max="3500" width="10.7109375" customWidth="1"/>
    <col min="3501" max="3501" width="11.7109375" style="9" customWidth="1"/>
    <col min="3502" max="3502" width="10.7109375" customWidth="1"/>
    <col min="3503" max="3503" width="11.7109375" style="9" customWidth="1"/>
    <col min="3504" max="3504" width="10.7109375" customWidth="1"/>
    <col min="3505" max="3505" width="11.7109375" style="9" customWidth="1"/>
    <col min="3506" max="3506" width="10.7109375" customWidth="1"/>
    <col min="3507" max="3507" width="11.7109375" style="9" customWidth="1"/>
    <col min="3508" max="3508" width="10.7109375" customWidth="1"/>
    <col min="3509" max="3509" width="11.7109375" style="9" customWidth="1"/>
    <col min="3510" max="3510" width="10.7109375" customWidth="1"/>
    <col min="3511" max="3511" width="11.7109375" style="9" customWidth="1"/>
    <col min="3512" max="3512" width="10.7109375" customWidth="1"/>
    <col min="3513" max="3513" width="11.7109375" style="9" customWidth="1"/>
    <col min="3514" max="3514" width="10.7109375" customWidth="1"/>
    <col min="3515" max="3515" width="11.7109375" style="9" customWidth="1"/>
    <col min="3516" max="3516" width="10.7109375" customWidth="1"/>
    <col min="3517" max="3517" width="11.7109375" style="9" customWidth="1"/>
    <col min="3518" max="3518" width="10.7109375" customWidth="1"/>
    <col min="3519" max="3519" width="11.7109375" style="9" customWidth="1"/>
    <col min="3520" max="3520" width="10.7109375" customWidth="1"/>
    <col min="3521" max="3521" width="11.7109375" style="9" customWidth="1"/>
    <col min="3522" max="3522" width="10.7109375" customWidth="1"/>
    <col min="3523" max="3523" width="11.7109375" style="9" customWidth="1"/>
    <col min="3524" max="3524" width="10.7109375" customWidth="1"/>
    <col min="3525" max="3525" width="11.7109375" style="9" customWidth="1"/>
    <col min="3526" max="3526" width="10.7109375" customWidth="1"/>
    <col min="3527" max="3527" width="11.7109375" style="9" customWidth="1"/>
    <col min="3528" max="3528" width="10.7109375" customWidth="1"/>
    <col min="3529" max="3529" width="11.7109375" style="9" customWidth="1"/>
    <col min="3530" max="3530" width="10.7109375" customWidth="1"/>
    <col min="3531" max="3531" width="11.7109375" style="9" customWidth="1"/>
    <col min="3532" max="3532" width="10.7109375" customWidth="1"/>
    <col min="3533" max="3533" width="11.7109375" style="9" customWidth="1"/>
    <col min="3534" max="3534" width="10.7109375" customWidth="1"/>
    <col min="3535" max="3535" width="11.7109375" style="9" customWidth="1"/>
    <col min="3536" max="3536" width="10.7109375" customWidth="1"/>
    <col min="3537" max="3537" width="11.7109375" style="9" customWidth="1"/>
    <col min="3538" max="3538" width="10.7109375" customWidth="1"/>
    <col min="3539" max="3539" width="11.7109375" style="9" customWidth="1"/>
    <col min="3540" max="3540" width="10.7109375" customWidth="1"/>
    <col min="3541" max="3541" width="11.7109375" style="9" customWidth="1"/>
    <col min="3542" max="3542" width="10.7109375" customWidth="1"/>
    <col min="3543" max="3543" width="11.7109375" style="9" customWidth="1"/>
    <col min="3544" max="3544" width="10.7109375" customWidth="1"/>
    <col min="3545" max="3545" width="11.7109375" style="9" customWidth="1"/>
    <col min="3546" max="3546" width="10.7109375" customWidth="1"/>
    <col min="3547" max="3547" width="11.7109375" style="9" customWidth="1"/>
    <col min="3548" max="3548" width="10.7109375" customWidth="1"/>
    <col min="3549" max="3549" width="11.7109375" style="9" customWidth="1"/>
    <col min="3550" max="3550" width="10.7109375" customWidth="1"/>
    <col min="3551" max="3551" width="11.7109375" style="9" customWidth="1"/>
    <col min="3552" max="3552" width="10.7109375" customWidth="1"/>
    <col min="3553" max="3553" width="11.7109375" style="9" customWidth="1"/>
    <col min="3554" max="3554" width="10.7109375" customWidth="1"/>
    <col min="3555" max="3555" width="11.7109375" style="9" customWidth="1"/>
    <col min="3556" max="3556" width="10.7109375" customWidth="1"/>
    <col min="3557" max="3557" width="11.7109375" style="9" customWidth="1"/>
    <col min="3558" max="3558" width="10.7109375" customWidth="1"/>
    <col min="3559" max="3559" width="11.7109375" style="9" customWidth="1"/>
    <col min="3560" max="3560" width="10.7109375" customWidth="1"/>
    <col min="3561" max="3561" width="11.7109375" style="9" customWidth="1"/>
    <col min="3562" max="3562" width="10.7109375" customWidth="1"/>
    <col min="3563" max="3563" width="11.7109375" style="9" customWidth="1"/>
    <col min="3564" max="3564" width="10.7109375" customWidth="1"/>
    <col min="3565" max="3565" width="11.7109375" style="9" customWidth="1"/>
    <col min="3566" max="3566" width="10.7109375" customWidth="1"/>
    <col min="3567" max="3567" width="11.7109375" style="9" customWidth="1"/>
    <col min="3568" max="3568" width="10.7109375" customWidth="1"/>
    <col min="3569" max="3569" width="11.7109375" style="9" customWidth="1"/>
    <col min="3570" max="3570" width="10.7109375" customWidth="1"/>
    <col min="3571" max="3571" width="11.7109375" style="9" customWidth="1"/>
    <col min="3572" max="3572" width="10.7109375" customWidth="1"/>
    <col min="3573" max="3573" width="11.7109375" style="9" customWidth="1"/>
    <col min="3574" max="3574" width="10.7109375" customWidth="1"/>
    <col min="3575" max="3575" width="11.7109375" style="9" customWidth="1"/>
    <col min="3576" max="3576" width="10.7109375" customWidth="1"/>
    <col min="3577" max="3577" width="11.7109375" style="9" customWidth="1"/>
    <col min="3578" max="3578" width="10.7109375" customWidth="1"/>
    <col min="3579" max="3579" width="11.7109375" style="9" customWidth="1"/>
    <col min="3580" max="3580" width="10.7109375" customWidth="1"/>
    <col min="3581" max="3581" width="11.7109375" style="9" customWidth="1"/>
    <col min="3582" max="3582" width="10.7109375" customWidth="1"/>
    <col min="3583" max="3583" width="11.7109375" style="9" customWidth="1"/>
    <col min="3584" max="3584" width="10.7109375" customWidth="1"/>
    <col min="3585" max="3585" width="11.7109375" style="9" customWidth="1"/>
    <col min="3586" max="3586" width="10.7109375" customWidth="1"/>
    <col min="3587" max="3587" width="11.7109375" style="9" customWidth="1"/>
    <col min="3588" max="3588" width="10.7109375" customWidth="1"/>
    <col min="3589" max="3589" width="11.7109375" style="9" customWidth="1"/>
    <col min="3590" max="3590" width="10.7109375" customWidth="1"/>
    <col min="3591" max="3591" width="11.7109375" style="9" customWidth="1"/>
    <col min="3592" max="3592" width="10.7109375" customWidth="1"/>
    <col min="3593" max="3593" width="11.7109375" style="9" customWidth="1"/>
    <col min="3594" max="3594" width="10.7109375" customWidth="1"/>
    <col min="3595" max="3595" width="11.7109375" style="9" customWidth="1"/>
    <col min="3596" max="3596" width="10.7109375" customWidth="1"/>
    <col min="3597" max="3597" width="11.7109375" style="9" customWidth="1"/>
    <col min="3598" max="3598" width="10.7109375" customWidth="1"/>
    <col min="3599" max="3599" width="11.7109375" style="9" customWidth="1"/>
    <col min="3600" max="3600" width="10.7109375" customWidth="1"/>
    <col min="3601" max="3601" width="11.7109375" style="9" customWidth="1"/>
    <col min="3602" max="3602" width="10.7109375" customWidth="1"/>
    <col min="3603" max="3603" width="11.7109375" style="9" customWidth="1"/>
    <col min="3604" max="3604" width="10.7109375" customWidth="1"/>
    <col min="3605" max="3605" width="11.7109375" style="9" customWidth="1"/>
    <col min="3606" max="3606" width="10.7109375" customWidth="1"/>
    <col min="3607" max="3607" width="11.7109375" style="9" customWidth="1"/>
    <col min="3608" max="3608" width="10.7109375" customWidth="1"/>
    <col min="3609" max="3609" width="11.7109375" style="9" customWidth="1"/>
    <col min="3610" max="3610" width="10.7109375" customWidth="1"/>
    <col min="3611" max="3611" width="11.7109375" style="9" customWidth="1"/>
    <col min="3612" max="3612" width="10.7109375" customWidth="1"/>
    <col min="3613" max="3613" width="11.7109375" style="9" customWidth="1"/>
    <col min="3614" max="3614" width="10.7109375" customWidth="1"/>
    <col min="3615" max="3615" width="11.7109375" style="9" customWidth="1"/>
    <col min="3616" max="3616" width="10.7109375" customWidth="1"/>
    <col min="3617" max="3617" width="11.7109375" style="9" customWidth="1"/>
    <col min="3618" max="3618" width="10.7109375" customWidth="1"/>
    <col min="3619" max="3619" width="11.7109375" style="9" customWidth="1"/>
    <col min="3620" max="3620" width="10.7109375" customWidth="1"/>
    <col min="3621" max="3621" width="11.7109375" style="9" customWidth="1"/>
    <col min="3622" max="3622" width="10.7109375" customWidth="1"/>
    <col min="3623" max="3623" width="11.7109375" style="9" customWidth="1"/>
    <col min="3624" max="3624" width="10.7109375" customWidth="1"/>
    <col min="3625" max="3625" width="11.7109375" style="9" customWidth="1"/>
    <col min="3626" max="3626" width="10.7109375" customWidth="1"/>
    <col min="3627" max="3627" width="11.7109375" style="9" customWidth="1"/>
    <col min="3628" max="3628" width="10.7109375" customWidth="1"/>
    <col min="3629" max="3629" width="11.7109375" style="9" customWidth="1"/>
    <col min="3630" max="3630" width="10.7109375" customWidth="1"/>
    <col min="3631" max="3631" width="11.7109375" style="9" customWidth="1"/>
    <col min="3632" max="3632" width="10.7109375" customWidth="1"/>
    <col min="3633" max="3633" width="11.7109375" style="9" customWidth="1"/>
    <col min="3634" max="3634" width="10.7109375" customWidth="1"/>
    <col min="3635" max="3635" width="11.7109375" style="9" customWidth="1"/>
    <col min="3636" max="3636" width="10.7109375" customWidth="1"/>
    <col min="3637" max="3637" width="11.7109375" style="9" customWidth="1"/>
    <col min="3638" max="3638" width="10.7109375" customWidth="1"/>
    <col min="3639" max="3639" width="11.7109375" style="9" customWidth="1"/>
    <col min="3640" max="3640" width="10.7109375" customWidth="1"/>
    <col min="3641" max="3641" width="11.7109375" style="9" customWidth="1"/>
    <col min="3642" max="3642" width="10.7109375" customWidth="1"/>
    <col min="3643" max="3643" width="11.7109375" style="9" customWidth="1"/>
    <col min="3644" max="3644" width="10.7109375" customWidth="1"/>
    <col min="3645" max="3645" width="11.7109375" style="9" customWidth="1"/>
    <col min="3646" max="3646" width="10.7109375" customWidth="1"/>
    <col min="3647" max="3647" width="11.7109375" style="9" customWidth="1"/>
    <col min="3648" max="3648" width="10.7109375" customWidth="1"/>
    <col min="3649" max="3649" width="11.7109375" style="9" customWidth="1"/>
    <col min="3650" max="3650" width="10.7109375" customWidth="1"/>
    <col min="3651" max="3651" width="11.7109375" style="9" customWidth="1"/>
    <col min="3652" max="3652" width="10.7109375" customWidth="1"/>
    <col min="3653" max="3653" width="11.7109375" style="9" customWidth="1"/>
    <col min="3654" max="3654" width="10.7109375" customWidth="1"/>
    <col min="3655" max="3655" width="11.7109375" style="9" customWidth="1"/>
    <col min="3656" max="3656" width="10.7109375" customWidth="1"/>
    <col min="3657" max="3657" width="11.7109375" style="9" customWidth="1"/>
    <col min="3658" max="3658" width="10.7109375" customWidth="1"/>
    <col min="3659" max="3659" width="11.7109375" style="9" customWidth="1"/>
    <col min="3660" max="3660" width="10.7109375" customWidth="1"/>
    <col min="3661" max="3661" width="11.7109375" style="9" customWidth="1"/>
    <col min="3662" max="3662" width="10.7109375" customWidth="1"/>
    <col min="3663" max="3663" width="11.7109375" style="9" customWidth="1"/>
    <col min="3664" max="3664" width="10.7109375" customWidth="1"/>
    <col min="3665" max="3665" width="11.7109375" style="9" customWidth="1"/>
    <col min="3666" max="3666" width="10.7109375" customWidth="1"/>
    <col min="3667" max="3667" width="11.7109375" style="9" customWidth="1"/>
    <col min="3668" max="3668" width="10.7109375" customWidth="1"/>
    <col min="3669" max="3669" width="11.7109375" style="9" customWidth="1"/>
    <col min="3670" max="3670" width="10.7109375" customWidth="1"/>
    <col min="3671" max="3671" width="11.7109375" style="9" customWidth="1"/>
    <col min="3672" max="3672" width="10.7109375" customWidth="1"/>
    <col min="3673" max="3673" width="11.7109375" style="9" customWidth="1"/>
    <col min="3674" max="3674" width="10.7109375" customWidth="1"/>
    <col min="3675" max="3675" width="11.7109375" style="9" customWidth="1"/>
    <col min="3676" max="3676" width="10.7109375" customWidth="1"/>
    <col min="3677" max="3677" width="11.7109375" style="9" customWidth="1"/>
    <col min="3678" max="3678" width="10.7109375" customWidth="1"/>
    <col min="3679" max="3679" width="11.7109375" style="9" customWidth="1"/>
    <col min="3680" max="3680" width="10.7109375" customWidth="1"/>
    <col min="3681" max="3681" width="11.7109375" style="9" customWidth="1"/>
    <col min="3682" max="3682" width="10.7109375" customWidth="1"/>
    <col min="3683" max="3683" width="11.7109375" style="9" customWidth="1"/>
    <col min="3684" max="3684" width="10.7109375" customWidth="1"/>
    <col min="3685" max="3685" width="11.7109375" style="9" customWidth="1"/>
    <col min="3686" max="3686" width="10.7109375" customWidth="1"/>
    <col min="3687" max="3687" width="11.7109375" style="9" customWidth="1"/>
    <col min="3688" max="3688" width="10.7109375" customWidth="1"/>
    <col min="3689" max="3689" width="11.7109375" style="9" customWidth="1"/>
    <col min="3690" max="3690" width="10.7109375" customWidth="1"/>
    <col min="3691" max="3691" width="11.7109375" style="9" customWidth="1"/>
    <col min="3692" max="3692" width="10.7109375" customWidth="1"/>
    <col min="3693" max="3693" width="11.7109375" style="9" customWidth="1"/>
    <col min="3694" max="3694" width="10.7109375" customWidth="1"/>
    <col min="3695" max="3695" width="11.7109375" style="9" customWidth="1"/>
    <col min="3696" max="3696" width="10.7109375" customWidth="1"/>
    <col min="3697" max="3697" width="11.7109375" style="9" customWidth="1"/>
    <col min="3698" max="3698" width="10.7109375" customWidth="1"/>
    <col min="3699" max="3699" width="11.7109375" style="9" customWidth="1"/>
    <col min="3700" max="3700" width="10.7109375" customWidth="1"/>
    <col min="3701" max="3701" width="11.7109375" style="9" customWidth="1"/>
    <col min="3702" max="3702" width="10.7109375" customWidth="1"/>
    <col min="3703" max="3703" width="11.7109375" style="9" customWidth="1"/>
    <col min="3704" max="3704" width="10.7109375" customWidth="1"/>
    <col min="3705" max="3705" width="11.7109375" style="9" customWidth="1"/>
    <col min="3706" max="3706" width="10.7109375" customWidth="1"/>
    <col min="3707" max="3707" width="11.7109375" style="9" customWidth="1"/>
    <col min="3708" max="3708" width="10.7109375" customWidth="1"/>
    <col min="3709" max="3709" width="11.7109375" style="9" customWidth="1"/>
    <col min="3710" max="3710" width="10.7109375" customWidth="1"/>
    <col min="3711" max="3711" width="11.7109375" style="9" customWidth="1"/>
    <col min="3712" max="3712" width="10.7109375" customWidth="1"/>
    <col min="3713" max="3713" width="11.7109375" style="9" customWidth="1"/>
    <col min="3714" max="3714" width="10.7109375" customWidth="1"/>
    <col min="3715" max="3715" width="11.7109375" style="9" customWidth="1"/>
    <col min="3716" max="3716" width="10.7109375" customWidth="1"/>
    <col min="3717" max="3717" width="11.7109375" style="9" customWidth="1"/>
    <col min="3718" max="3718" width="10.7109375" customWidth="1"/>
    <col min="3719" max="3719" width="11.7109375" style="9" customWidth="1"/>
    <col min="3720" max="3720" width="10.7109375" customWidth="1"/>
    <col min="3721" max="3721" width="11.7109375" style="9" customWidth="1"/>
    <col min="3722" max="3722" width="10.7109375" customWidth="1"/>
    <col min="3723" max="3723" width="11.7109375" style="9" customWidth="1"/>
    <col min="3724" max="3724" width="10.7109375" customWidth="1"/>
    <col min="3725" max="3725" width="11.7109375" style="9" customWidth="1"/>
    <col min="3726" max="3726" width="10.7109375" customWidth="1"/>
    <col min="3727" max="3727" width="11.7109375" style="9" customWidth="1"/>
    <col min="3728" max="3728" width="10.7109375" customWidth="1"/>
    <col min="3729" max="3729" width="11.7109375" style="9" customWidth="1"/>
    <col min="3730" max="3730" width="10.7109375" customWidth="1"/>
    <col min="3731" max="3731" width="11.7109375" style="9" customWidth="1"/>
    <col min="3732" max="3732" width="10.7109375" customWidth="1"/>
    <col min="3733" max="3733" width="11.7109375" style="9" customWidth="1"/>
    <col min="3734" max="3734" width="10.7109375" customWidth="1"/>
    <col min="3735" max="3735" width="11.7109375" style="9" customWidth="1"/>
    <col min="3736" max="3736" width="10.7109375" customWidth="1"/>
    <col min="3737" max="3737" width="11.7109375" style="9" customWidth="1"/>
    <col min="3738" max="3738" width="10.7109375" customWidth="1"/>
    <col min="3739" max="3739" width="11.7109375" style="9" customWidth="1"/>
    <col min="3740" max="3740" width="10.7109375" customWidth="1"/>
    <col min="3741" max="3741" width="11.7109375" style="9" customWidth="1"/>
    <col min="3742" max="3742" width="10.7109375" customWidth="1"/>
    <col min="3743" max="3743" width="11.7109375" style="9" customWidth="1"/>
    <col min="3744" max="3744" width="10.7109375" customWidth="1"/>
    <col min="3745" max="3745" width="11.7109375" style="9" customWidth="1"/>
    <col min="3746" max="3746" width="10.7109375" customWidth="1"/>
    <col min="3747" max="3747" width="11.7109375" style="9" customWidth="1"/>
    <col min="3748" max="3748" width="10.7109375" customWidth="1"/>
    <col min="3749" max="3749" width="11.7109375" style="9" customWidth="1"/>
    <col min="3750" max="3750" width="10.7109375" customWidth="1"/>
    <col min="3751" max="3751" width="11.7109375" style="9" customWidth="1"/>
    <col min="3752" max="3752" width="10.7109375" customWidth="1"/>
    <col min="3753" max="3753" width="11.7109375" style="9" customWidth="1"/>
    <col min="3754" max="3754" width="10.7109375" customWidth="1"/>
    <col min="3755" max="3755" width="11.7109375" style="9" customWidth="1"/>
    <col min="3756" max="3756" width="10.7109375" customWidth="1"/>
    <col min="3757" max="3757" width="11.7109375" style="9" customWidth="1"/>
    <col min="3758" max="3758" width="10.7109375" customWidth="1"/>
    <col min="3759" max="3759" width="11.7109375" style="9" customWidth="1"/>
    <col min="3760" max="3760" width="10.7109375" customWidth="1"/>
    <col min="3761" max="3761" width="11.7109375" style="9" customWidth="1"/>
    <col min="3762" max="3762" width="10.7109375" customWidth="1"/>
    <col min="3763" max="3763" width="11.7109375" style="9" customWidth="1"/>
    <col min="3764" max="3764" width="10.7109375" customWidth="1"/>
    <col min="3765" max="3765" width="11.7109375" style="9" customWidth="1"/>
    <col min="3766" max="3766" width="10.7109375" customWidth="1"/>
    <col min="3767" max="3767" width="11.7109375" style="9" customWidth="1"/>
    <col min="3768" max="3768" width="10.7109375" customWidth="1"/>
    <col min="3769" max="3769" width="11.7109375" style="9" customWidth="1"/>
    <col min="3770" max="3770" width="10.7109375" customWidth="1"/>
    <col min="3771" max="3771" width="11.7109375" style="9" customWidth="1"/>
    <col min="3772" max="3772" width="10.7109375" customWidth="1"/>
    <col min="3773" max="3773" width="11.7109375" style="9" customWidth="1"/>
    <col min="3774" max="3774" width="10.7109375" customWidth="1"/>
    <col min="3775" max="3775" width="11.7109375" style="9" customWidth="1"/>
    <col min="3776" max="3776" width="10.7109375" customWidth="1"/>
    <col min="3777" max="3777" width="11.7109375" style="9" customWidth="1"/>
    <col min="3778" max="3778" width="10.7109375" customWidth="1"/>
    <col min="3779" max="3779" width="11.7109375" style="9" customWidth="1"/>
    <col min="3780" max="3780" width="10.7109375" customWidth="1"/>
    <col min="3781" max="3781" width="11.7109375" style="9" customWidth="1"/>
    <col min="3782" max="3782" width="10.7109375" customWidth="1"/>
    <col min="3783" max="3783" width="11.7109375" style="9" customWidth="1"/>
    <col min="3784" max="3784" width="10.7109375" customWidth="1"/>
    <col min="3785" max="3785" width="11.7109375" style="9" customWidth="1"/>
    <col min="3786" max="3786" width="10.7109375" customWidth="1"/>
    <col min="3787" max="3787" width="11.7109375" style="9" customWidth="1"/>
    <col min="3788" max="3788" width="10.7109375" customWidth="1"/>
    <col min="3789" max="3789" width="11.7109375" style="9" customWidth="1"/>
    <col min="3790" max="3790" width="10.7109375" customWidth="1"/>
    <col min="3791" max="3791" width="11.7109375" style="9" customWidth="1"/>
    <col min="3792" max="3792" width="10.7109375" customWidth="1"/>
    <col min="3793" max="3793" width="11.7109375" style="9" customWidth="1"/>
    <col min="3794" max="3794" width="10.7109375" customWidth="1"/>
    <col min="3795" max="3795" width="11.7109375" style="9" customWidth="1"/>
    <col min="3796" max="3796" width="10.7109375" customWidth="1"/>
    <col min="3797" max="3797" width="11.7109375" style="9" customWidth="1"/>
    <col min="3798" max="3798" width="10.7109375" customWidth="1"/>
    <col min="3799" max="3799" width="11.7109375" style="9" customWidth="1"/>
    <col min="3800" max="3800" width="10.7109375" customWidth="1"/>
    <col min="3801" max="3801" width="11.7109375" style="9" customWidth="1"/>
    <col min="3802" max="3802" width="10.7109375" customWidth="1"/>
    <col min="3803" max="3803" width="11.7109375" style="9" customWidth="1"/>
    <col min="3804" max="3804" width="10.7109375" customWidth="1"/>
    <col min="3805" max="3805" width="11.7109375" style="9" customWidth="1"/>
    <col min="3806" max="3806" width="10.7109375" customWidth="1"/>
    <col min="3807" max="3807" width="11.7109375" style="9" customWidth="1"/>
    <col min="3808" max="3808" width="10.7109375" customWidth="1"/>
    <col min="3809" max="3809" width="11.7109375" style="9" customWidth="1"/>
    <col min="3810" max="3810" width="10.7109375" customWidth="1"/>
    <col min="3811" max="3811" width="11.7109375" style="9" customWidth="1"/>
    <col min="3812" max="3812" width="10.7109375" customWidth="1"/>
    <col min="3813" max="3813" width="11.7109375" style="9" customWidth="1"/>
    <col min="3814" max="3814" width="10.7109375" customWidth="1"/>
    <col min="3815" max="3815" width="11.7109375" style="9" customWidth="1"/>
    <col min="3816" max="3816" width="10.7109375" customWidth="1"/>
    <col min="3817" max="3817" width="11.7109375" style="9" customWidth="1"/>
    <col min="3818" max="3818" width="10.7109375" customWidth="1"/>
    <col min="3819" max="3819" width="11.7109375" style="9" customWidth="1"/>
    <col min="3820" max="3820" width="10.7109375" customWidth="1"/>
    <col min="3821" max="3821" width="11.7109375" style="9" customWidth="1"/>
    <col min="3822" max="3822" width="10.7109375" customWidth="1"/>
    <col min="3823" max="3823" width="11.7109375" style="9" customWidth="1"/>
    <col min="3824" max="3824" width="10.7109375" customWidth="1"/>
    <col min="3825" max="3825" width="11.7109375" style="9" customWidth="1"/>
    <col min="3826" max="3826" width="10.7109375" customWidth="1"/>
    <col min="3827" max="3827" width="11.7109375" style="9" customWidth="1"/>
    <col min="3828" max="3828" width="10.7109375" customWidth="1"/>
    <col min="3829" max="3829" width="11.7109375" style="9" customWidth="1"/>
    <col min="3830" max="3830" width="10.7109375" customWidth="1"/>
    <col min="3831" max="3831" width="11.7109375" style="9" customWidth="1"/>
    <col min="3832" max="3832" width="10.7109375" customWidth="1"/>
    <col min="3833" max="3833" width="11.7109375" style="9" customWidth="1"/>
    <col min="3834" max="3834" width="10.7109375" customWidth="1"/>
    <col min="3835" max="3835" width="11.7109375" style="9" customWidth="1"/>
    <col min="3836" max="3836" width="10.7109375" customWidth="1"/>
    <col min="3837" max="3837" width="11.7109375" style="9" customWidth="1"/>
    <col min="3838" max="3838" width="10.7109375" customWidth="1"/>
    <col min="3839" max="3839" width="11.7109375" style="9" customWidth="1"/>
    <col min="3840" max="3840" width="10.7109375" customWidth="1"/>
    <col min="3841" max="3841" width="11.7109375" style="9" customWidth="1"/>
    <col min="3842" max="3842" width="10.7109375" customWidth="1"/>
    <col min="3843" max="3843" width="11.7109375" style="9" customWidth="1"/>
    <col min="3844" max="3844" width="10.7109375" customWidth="1"/>
    <col min="3845" max="3845" width="11.7109375" style="9" customWidth="1"/>
    <col min="3846" max="3846" width="10.7109375" customWidth="1"/>
    <col min="3847" max="3847" width="11.7109375" style="9" customWidth="1"/>
    <col min="3848" max="3848" width="10.7109375" customWidth="1"/>
    <col min="3849" max="3849" width="11.7109375" style="9" customWidth="1"/>
    <col min="3850" max="3850" width="10.7109375" customWidth="1"/>
    <col min="3851" max="3851" width="11.7109375" style="9" customWidth="1"/>
    <col min="3852" max="3852" width="10.7109375" customWidth="1"/>
    <col min="3853" max="3853" width="11.7109375" style="9" customWidth="1"/>
    <col min="3854" max="3854" width="10.7109375" customWidth="1"/>
    <col min="3855" max="3855" width="11.7109375" style="9" customWidth="1"/>
    <col min="3856" max="3856" width="10.7109375" customWidth="1"/>
    <col min="3857" max="3857" width="11.7109375" style="9" customWidth="1"/>
    <col min="3858" max="3858" width="10.7109375" customWidth="1"/>
    <col min="3859" max="3859" width="11.7109375" style="9" customWidth="1"/>
    <col min="3860" max="3860" width="10.7109375" customWidth="1"/>
    <col min="3861" max="3861" width="11.7109375" style="9" customWidth="1"/>
    <col min="3862" max="3862" width="10.7109375" customWidth="1"/>
    <col min="3863" max="3863" width="11.7109375" style="9" customWidth="1"/>
    <col min="3864" max="3864" width="10.7109375" customWidth="1"/>
    <col min="3865" max="3865" width="11.7109375" style="9" customWidth="1"/>
    <col min="3866" max="3866" width="10.7109375" customWidth="1"/>
    <col min="3867" max="3867" width="11.7109375" style="9" customWidth="1"/>
    <col min="3868" max="3868" width="10.7109375" customWidth="1"/>
    <col min="3869" max="3869" width="11.7109375" style="9" customWidth="1"/>
    <col min="3870" max="3870" width="10.7109375" customWidth="1"/>
    <col min="3871" max="3871" width="11.7109375" style="9" customWidth="1"/>
    <col min="3872" max="3872" width="10.7109375" customWidth="1"/>
    <col min="3873" max="3873" width="11.7109375" style="9" customWidth="1"/>
    <col min="3874" max="3874" width="10.7109375" customWidth="1"/>
    <col min="3875" max="3875" width="11.7109375" style="9" customWidth="1"/>
    <col min="3876" max="3876" width="10.7109375" customWidth="1"/>
    <col min="3877" max="3877" width="11.7109375" style="9" customWidth="1"/>
    <col min="3878" max="3878" width="10.7109375" customWidth="1"/>
    <col min="3879" max="3879" width="11.7109375" style="9" customWidth="1"/>
    <col min="3880" max="3880" width="10.7109375" customWidth="1"/>
    <col min="3881" max="3881" width="11.7109375" style="9" customWidth="1"/>
    <col min="3882" max="3882" width="10.7109375" customWidth="1"/>
    <col min="3883" max="3883" width="11.7109375" style="9" customWidth="1"/>
    <col min="3884" max="3884" width="10.7109375" customWidth="1"/>
    <col min="3885" max="3885" width="11.7109375" style="9" customWidth="1"/>
    <col min="3886" max="3886" width="10.7109375" customWidth="1"/>
    <col min="3887" max="3887" width="11.7109375" style="9" customWidth="1"/>
    <col min="3888" max="3888" width="10.7109375" customWidth="1"/>
    <col min="3889" max="3889" width="11.7109375" style="9" customWidth="1"/>
    <col min="3890" max="3890" width="10.7109375" customWidth="1"/>
    <col min="3891" max="3891" width="11.7109375" style="9" customWidth="1"/>
    <col min="3892" max="3892" width="10.7109375" customWidth="1"/>
    <col min="3893" max="3893" width="11.7109375" style="9" customWidth="1"/>
    <col min="3894" max="3894" width="10.7109375" customWidth="1"/>
    <col min="3895" max="3895" width="11.7109375" style="9" customWidth="1"/>
    <col min="3896" max="3896" width="10.7109375" customWidth="1"/>
    <col min="3897" max="3897" width="11.7109375" style="9" customWidth="1"/>
    <col min="3898" max="3898" width="10.7109375" customWidth="1"/>
    <col min="3899" max="3899" width="11.7109375" style="9" customWidth="1"/>
    <col min="3900" max="3900" width="10.7109375" customWidth="1"/>
    <col min="3901" max="3901" width="11.7109375" style="9" customWidth="1"/>
    <col min="3902" max="3902" width="10.7109375" customWidth="1"/>
    <col min="3903" max="3903" width="11.7109375" style="9" customWidth="1"/>
    <col min="3904" max="3904" width="10.7109375" customWidth="1"/>
    <col min="3905" max="3905" width="11.7109375" style="9" customWidth="1"/>
    <col min="3906" max="3906" width="10.7109375" customWidth="1"/>
    <col min="3907" max="3907" width="11.7109375" style="9" customWidth="1"/>
    <col min="3908" max="3908" width="10.7109375" customWidth="1"/>
    <col min="3909" max="3909" width="11.7109375" style="9" customWidth="1"/>
    <col min="3910" max="3910" width="10.7109375" customWidth="1"/>
    <col min="3911" max="3911" width="11.7109375" style="9" customWidth="1"/>
    <col min="3912" max="3912" width="10.7109375" customWidth="1"/>
    <col min="3913" max="3913" width="11.7109375" style="9" customWidth="1"/>
    <col min="3914" max="3914" width="10.7109375" customWidth="1"/>
    <col min="3915" max="3915" width="11.7109375" style="9" customWidth="1"/>
    <col min="3916" max="3916" width="10.7109375" customWidth="1"/>
    <col min="3917" max="3917" width="11.7109375" style="9" customWidth="1"/>
    <col min="3918" max="3918" width="10.7109375" customWidth="1"/>
    <col min="3919" max="3919" width="11.7109375" style="9" customWidth="1"/>
    <col min="3920" max="3920" width="10.7109375" customWidth="1"/>
    <col min="3921" max="3921" width="11.7109375" style="9" customWidth="1"/>
    <col min="3922" max="3922" width="10.7109375" customWidth="1"/>
    <col min="3923" max="3923" width="11.7109375" style="9" customWidth="1"/>
    <col min="3924" max="3924" width="10.7109375" customWidth="1"/>
    <col min="3925" max="3925" width="11.7109375" style="9" customWidth="1"/>
    <col min="3926" max="3926" width="10.7109375" customWidth="1"/>
    <col min="3927" max="3927" width="11.7109375" style="9" customWidth="1"/>
    <col min="3928" max="3928" width="10.7109375" customWidth="1"/>
    <col min="3929" max="3929" width="11.7109375" style="9" customWidth="1"/>
    <col min="3930" max="3930" width="10.7109375" customWidth="1"/>
    <col min="3931" max="3931" width="11.7109375" style="9" customWidth="1"/>
    <col min="3932" max="3932" width="10.7109375" customWidth="1"/>
    <col min="3933" max="3933" width="11.7109375" style="9" customWidth="1"/>
    <col min="3934" max="3934" width="10.7109375" customWidth="1"/>
    <col min="3935" max="3935" width="11.7109375" style="9" customWidth="1"/>
    <col min="3936" max="3936" width="10.7109375" customWidth="1"/>
    <col min="3937" max="3937" width="11.7109375" style="9" customWidth="1"/>
    <col min="3938" max="3938" width="10.7109375" customWidth="1"/>
    <col min="3939" max="3939" width="11.7109375" style="9" customWidth="1"/>
    <col min="3940" max="3940" width="10.7109375" customWidth="1"/>
    <col min="3941" max="3941" width="11.7109375" style="9" customWidth="1"/>
    <col min="3942" max="3942" width="10.7109375" customWidth="1"/>
    <col min="3943" max="3943" width="11.7109375" style="9" customWidth="1"/>
    <col min="3944" max="3944" width="10.7109375" customWidth="1"/>
    <col min="3945" max="3945" width="11.7109375" style="9" customWidth="1"/>
    <col min="3946" max="3946" width="10.7109375" customWidth="1"/>
    <col min="3947" max="3947" width="11.7109375" style="9" customWidth="1"/>
    <col min="3948" max="3948" width="10.7109375" customWidth="1"/>
    <col min="3949" max="3949" width="11.7109375" style="9" customWidth="1"/>
    <col min="3950" max="3950" width="10.7109375" customWidth="1"/>
    <col min="3951" max="3951" width="11.7109375" style="9" customWidth="1"/>
    <col min="3952" max="3952" width="10.7109375" customWidth="1"/>
    <col min="3953" max="3953" width="11.7109375" style="9" customWidth="1"/>
    <col min="3954" max="3954" width="10.7109375" customWidth="1"/>
    <col min="3955" max="3955" width="11.7109375" style="9" customWidth="1"/>
    <col min="3956" max="3956" width="10.7109375" customWidth="1"/>
    <col min="3957" max="3957" width="11.7109375" style="9" customWidth="1"/>
    <col min="3958" max="3958" width="10.7109375" customWidth="1"/>
    <col min="3959" max="3959" width="11.7109375" style="9" customWidth="1"/>
    <col min="3960" max="3960" width="10.7109375" customWidth="1"/>
    <col min="3961" max="3961" width="11.7109375" style="9" customWidth="1"/>
    <col min="3962" max="3962" width="10.7109375" customWidth="1"/>
    <col min="3963" max="3963" width="11.7109375" style="9" customWidth="1"/>
    <col min="3964" max="3964" width="10.7109375" customWidth="1"/>
    <col min="3965" max="3965" width="11.7109375" style="9" customWidth="1"/>
    <col min="3966" max="3966" width="10.7109375" customWidth="1"/>
    <col min="3967" max="3967" width="11.7109375" style="9" customWidth="1"/>
    <col min="3968" max="3968" width="10.7109375" customWidth="1"/>
    <col min="3969" max="3969" width="11.7109375" style="9" customWidth="1"/>
    <col min="3970" max="3970" width="10.7109375" customWidth="1"/>
    <col min="3971" max="3971" width="11.7109375" style="9" customWidth="1"/>
    <col min="3972" max="3972" width="10.7109375" customWidth="1"/>
    <col min="3973" max="3973" width="11.7109375" style="9" customWidth="1"/>
    <col min="3974" max="3974" width="10.7109375" customWidth="1"/>
    <col min="3975" max="3975" width="11.7109375" style="9" customWidth="1"/>
    <col min="3976" max="3976" width="10.7109375" customWidth="1"/>
    <col min="3977" max="3977" width="11.7109375" style="9" customWidth="1"/>
    <col min="3978" max="3978" width="10.7109375" customWidth="1"/>
    <col min="3979" max="3979" width="11.7109375" style="9" customWidth="1"/>
    <col min="3980" max="3980" width="10.7109375" customWidth="1"/>
    <col min="3981" max="3981" width="11.7109375" style="9" customWidth="1"/>
    <col min="3982" max="3982" width="10.7109375" customWidth="1"/>
    <col min="3983" max="3983" width="11.7109375" style="9" customWidth="1"/>
    <col min="3984" max="3984" width="10.7109375" customWidth="1"/>
    <col min="3985" max="3985" width="11.7109375" style="9" customWidth="1"/>
    <col min="3986" max="3986" width="10.7109375" customWidth="1"/>
    <col min="3987" max="3987" width="11.7109375" style="9" customWidth="1"/>
    <col min="3988" max="3988" width="10.7109375" customWidth="1"/>
    <col min="3989" max="3989" width="11.7109375" style="9" customWidth="1"/>
    <col min="3990" max="3990" width="10.7109375" customWidth="1"/>
    <col min="3991" max="3991" width="11.7109375" style="9" customWidth="1"/>
    <col min="3992" max="3992" width="10.7109375" customWidth="1"/>
    <col min="3993" max="3993" width="11.7109375" style="9" customWidth="1"/>
    <col min="3994" max="3994" width="10.7109375" customWidth="1"/>
    <col min="3995" max="3995" width="11.7109375" style="9" customWidth="1"/>
    <col min="3996" max="3996" width="10.7109375" customWidth="1"/>
    <col min="3997" max="3997" width="11.7109375" style="9" customWidth="1"/>
    <col min="3998" max="3998" width="10.7109375" customWidth="1"/>
    <col min="3999" max="3999" width="11.7109375" style="9" customWidth="1"/>
    <col min="4000" max="4000" width="10.7109375" customWidth="1"/>
  </cols>
  <sheetData>
    <row r="1" spans="1:4000">
      <c r="A1" s="11">
        <f>IF(OR(SwitchTR&lt;&gt;"ON",Universe!$B$2=""),"",Universe!$B$2)</f>
        <v/>
      </c>
      <c r="C1" s="11">
        <f>IF(OR(SwitchTR&lt;&gt;"ON",Universe!$B$3=""),"",Universe!$B$3)</f>
        <v/>
      </c>
      <c r="E1" s="11">
        <f>IF(OR(SwitchTR&lt;&gt;"ON",Universe!$B$4=""),"",Universe!$B$4)</f>
        <v/>
      </c>
      <c r="G1" s="11">
        <f>IF(OR(SwitchTR&lt;&gt;"ON",Universe!$B$5=""),"",Universe!$B$5)</f>
        <v/>
      </c>
      <c r="I1" s="11">
        <f>IF(OR(SwitchTR&lt;&gt;"ON",Universe!$B$6=""),"",Universe!$B$6)</f>
        <v/>
      </c>
      <c r="K1" s="11">
        <f>IF(OR(SwitchTR&lt;&gt;"ON",Universe!$B$7=""),"",Universe!$B$7)</f>
        <v/>
      </c>
      <c r="M1" s="11">
        <f>IF(OR(SwitchTR&lt;&gt;"ON",Universe!$B$8=""),"",Universe!$B$8)</f>
        <v/>
      </c>
      <c r="O1" s="11">
        <f>IF(OR(SwitchTR&lt;&gt;"ON",Universe!$B$9=""),"",Universe!$B$9)</f>
        <v/>
      </c>
      <c r="Q1" s="11">
        <f>IF(OR(SwitchTR&lt;&gt;"ON",Universe!$B$10=""),"",Universe!$B$10)</f>
        <v/>
      </c>
      <c r="S1" s="11">
        <f>IF(OR(SwitchTR&lt;&gt;"ON",Universe!$B$11=""),"",Universe!$B$11)</f>
        <v/>
      </c>
      <c r="U1" s="11">
        <f>IF(OR(SwitchTR&lt;&gt;"ON",Universe!$B$12=""),"",Universe!$B$12)</f>
        <v/>
      </c>
      <c r="W1" s="11">
        <f>IF(OR(SwitchTR&lt;&gt;"ON",Universe!$B$13=""),"",Universe!$B$13)</f>
        <v/>
      </c>
      <c r="Y1" s="11">
        <f>IF(OR(SwitchTR&lt;&gt;"ON",Universe!$B$14=""),"",Universe!$B$14)</f>
        <v/>
      </c>
      <c r="AA1" s="11">
        <f>IF(OR(SwitchTR&lt;&gt;"ON",Universe!$B$15=""),"",Universe!$B$15)</f>
        <v/>
      </c>
      <c r="AC1" s="11">
        <f>IF(OR(SwitchTR&lt;&gt;"ON",Universe!$B$16=""),"",Universe!$B$16)</f>
        <v/>
      </c>
      <c r="AE1" s="11">
        <f>IF(OR(SwitchTR&lt;&gt;"ON",Universe!$B$17=""),"",Universe!$B$17)</f>
        <v/>
      </c>
      <c r="AG1" s="11">
        <f>IF(OR(SwitchTR&lt;&gt;"ON",Universe!$B$18=""),"",Universe!$B$18)</f>
        <v/>
      </c>
      <c r="AI1" s="11">
        <f>IF(OR(SwitchTR&lt;&gt;"ON",Universe!$B$19=""),"",Universe!$B$19)</f>
        <v/>
      </c>
      <c r="AK1" s="11">
        <f>IF(OR(SwitchTR&lt;&gt;"ON",Universe!$B$20=""),"",Universe!$B$20)</f>
        <v/>
      </c>
      <c r="AM1" s="11">
        <f>IF(OR(SwitchTR&lt;&gt;"ON",Universe!$B$21=""),"",Universe!$B$21)</f>
        <v/>
      </c>
      <c r="AO1" s="11">
        <f>IF(OR(SwitchTR&lt;&gt;"ON",Universe!$B$22=""),"",Universe!$B$22)</f>
        <v/>
      </c>
      <c r="AQ1" s="11">
        <f>IF(OR(SwitchTR&lt;&gt;"ON",Universe!$B$23=""),"",Universe!$B$23)</f>
        <v/>
      </c>
      <c r="AS1" s="11">
        <f>IF(OR(SwitchTR&lt;&gt;"ON",Universe!$B$24=""),"",Universe!$B$24)</f>
        <v/>
      </c>
      <c r="AU1" s="11">
        <f>IF(OR(SwitchTR&lt;&gt;"ON",Universe!$B$25=""),"",Universe!$B$25)</f>
        <v/>
      </c>
      <c r="AW1" s="11">
        <f>IF(OR(SwitchTR&lt;&gt;"ON",Universe!$B$26=""),"",Universe!$B$26)</f>
        <v/>
      </c>
      <c r="AY1" s="11">
        <f>IF(OR(SwitchTR&lt;&gt;"ON",Universe!$B$27=""),"",Universe!$B$27)</f>
        <v/>
      </c>
      <c r="BA1" s="11">
        <f>IF(OR(SwitchTR&lt;&gt;"ON",Universe!$B$28=""),"",Universe!$B$28)</f>
        <v/>
      </c>
      <c r="BC1" s="11">
        <f>IF(OR(SwitchTR&lt;&gt;"ON",Universe!$B$29=""),"",Universe!$B$29)</f>
        <v/>
      </c>
      <c r="BE1" s="11">
        <f>IF(OR(SwitchTR&lt;&gt;"ON",Universe!$B$30=""),"",Universe!$B$30)</f>
        <v/>
      </c>
      <c r="BG1" s="11">
        <f>IF(OR(SwitchTR&lt;&gt;"ON",Universe!$B$31=""),"",Universe!$B$31)</f>
        <v/>
      </c>
      <c r="BI1" s="11">
        <f>IF(OR(SwitchTR&lt;&gt;"ON",Universe!$B$32=""),"",Universe!$B$32)</f>
        <v/>
      </c>
      <c r="BK1" s="11">
        <f>IF(OR(SwitchTR&lt;&gt;"ON",Universe!$B$33=""),"",Universe!$B$33)</f>
        <v/>
      </c>
      <c r="BM1" s="11">
        <f>IF(OR(SwitchTR&lt;&gt;"ON",Universe!$B$34=""),"",Universe!$B$34)</f>
        <v/>
      </c>
      <c r="BO1" s="11">
        <f>IF(OR(SwitchTR&lt;&gt;"ON",Universe!$B$35=""),"",Universe!$B$35)</f>
        <v/>
      </c>
      <c r="BQ1" s="11">
        <f>IF(OR(SwitchTR&lt;&gt;"ON",Universe!$B$36=""),"",Universe!$B$36)</f>
        <v/>
      </c>
      <c r="BS1" s="11">
        <f>IF(OR(SwitchTR&lt;&gt;"ON",Universe!$B$37=""),"",Universe!$B$37)</f>
        <v/>
      </c>
      <c r="BU1" s="11">
        <f>IF(OR(SwitchTR&lt;&gt;"ON",Universe!$B$38=""),"",Universe!$B$38)</f>
        <v/>
      </c>
      <c r="BW1" s="11">
        <f>IF(OR(SwitchTR&lt;&gt;"ON",Universe!$B$39=""),"",Universe!$B$39)</f>
        <v/>
      </c>
      <c r="BY1" s="11">
        <f>IF(OR(SwitchTR&lt;&gt;"ON",Universe!$B$40=""),"",Universe!$B$40)</f>
        <v/>
      </c>
      <c r="CA1" s="11">
        <f>IF(OR(SwitchTR&lt;&gt;"ON",Universe!$B$41=""),"",Universe!$B$41)</f>
        <v/>
      </c>
      <c r="CC1" s="11">
        <f>IF(OR(SwitchTR&lt;&gt;"ON",Universe!$B$42=""),"",Universe!$B$42)</f>
        <v/>
      </c>
      <c r="CE1" s="11">
        <f>IF(OR(SwitchTR&lt;&gt;"ON",Universe!$B$43=""),"",Universe!$B$43)</f>
        <v/>
      </c>
      <c r="CG1" s="11">
        <f>IF(OR(SwitchTR&lt;&gt;"ON",Universe!$B$44=""),"",Universe!$B$44)</f>
        <v/>
      </c>
      <c r="CI1" s="11">
        <f>IF(OR(SwitchTR&lt;&gt;"ON",Universe!$B$45=""),"",Universe!$B$45)</f>
        <v/>
      </c>
      <c r="CK1" s="11">
        <f>IF(OR(SwitchTR&lt;&gt;"ON",Universe!$B$46=""),"",Universe!$B$46)</f>
        <v/>
      </c>
      <c r="CM1" s="11">
        <f>IF(OR(SwitchTR&lt;&gt;"ON",Universe!$B$47=""),"",Universe!$B$47)</f>
        <v/>
      </c>
      <c r="CO1" s="11">
        <f>IF(OR(SwitchTR&lt;&gt;"ON",Universe!$B$48=""),"",Universe!$B$48)</f>
        <v/>
      </c>
      <c r="CQ1" s="11">
        <f>IF(OR(SwitchTR&lt;&gt;"ON",Universe!$B$49=""),"",Universe!$B$49)</f>
        <v/>
      </c>
      <c r="CS1" s="11">
        <f>IF(OR(SwitchTR&lt;&gt;"ON",Universe!$B$50=""),"",Universe!$B$50)</f>
        <v/>
      </c>
      <c r="CU1" s="11">
        <f>IF(OR(SwitchTR&lt;&gt;"ON",Universe!$B$51=""),"",Universe!$B$51)</f>
        <v/>
      </c>
      <c r="CW1" s="11">
        <f>IF(OR(SwitchTR&lt;&gt;"ON",Universe!$B$52=""),"",Universe!$B$52)</f>
        <v/>
      </c>
      <c r="CY1" s="11">
        <f>IF(OR(SwitchTR&lt;&gt;"ON",Universe!$B$53=""),"",Universe!$B$53)</f>
        <v/>
      </c>
      <c r="DA1" s="11">
        <f>IF(OR(SwitchTR&lt;&gt;"ON",Universe!$B$54=""),"",Universe!$B$54)</f>
        <v/>
      </c>
      <c r="DC1" s="11">
        <f>IF(OR(SwitchTR&lt;&gt;"ON",Universe!$B$55=""),"",Universe!$B$55)</f>
        <v/>
      </c>
      <c r="DE1" s="11">
        <f>IF(OR(SwitchTR&lt;&gt;"ON",Universe!$B$56=""),"",Universe!$B$56)</f>
        <v/>
      </c>
      <c r="DG1" s="11">
        <f>IF(OR(SwitchTR&lt;&gt;"ON",Universe!$B$57=""),"",Universe!$B$57)</f>
        <v/>
      </c>
      <c r="DI1" s="11">
        <f>IF(OR(SwitchTR&lt;&gt;"ON",Universe!$B$58=""),"",Universe!$B$58)</f>
        <v/>
      </c>
      <c r="DK1" s="11">
        <f>IF(OR(SwitchTR&lt;&gt;"ON",Universe!$B$59=""),"",Universe!$B$59)</f>
        <v/>
      </c>
      <c r="DM1" s="11">
        <f>IF(OR(SwitchTR&lt;&gt;"ON",Universe!$B$60=""),"",Universe!$B$60)</f>
        <v/>
      </c>
      <c r="DO1" s="11">
        <f>IF(OR(SwitchTR&lt;&gt;"ON",Universe!$B$61=""),"",Universe!$B$61)</f>
        <v/>
      </c>
      <c r="DQ1" s="11">
        <f>IF(OR(SwitchTR&lt;&gt;"ON",Universe!$B$62=""),"",Universe!$B$62)</f>
        <v/>
      </c>
      <c r="DS1" s="11">
        <f>IF(OR(SwitchTR&lt;&gt;"ON",Universe!$B$63=""),"",Universe!$B$63)</f>
        <v/>
      </c>
      <c r="DU1" s="11">
        <f>IF(OR(SwitchTR&lt;&gt;"ON",Universe!$B$64=""),"",Universe!$B$64)</f>
        <v/>
      </c>
      <c r="DW1" s="11">
        <f>IF(OR(SwitchTR&lt;&gt;"ON",Universe!$B$65=""),"",Universe!$B$65)</f>
        <v/>
      </c>
      <c r="DY1" s="11">
        <f>IF(OR(SwitchTR&lt;&gt;"ON",Universe!$B$66=""),"",Universe!$B$66)</f>
        <v/>
      </c>
      <c r="EA1" s="11">
        <f>IF(OR(SwitchTR&lt;&gt;"ON",Universe!$B$67=""),"",Universe!$B$67)</f>
        <v/>
      </c>
      <c r="EC1" s="11">
        <f>IF(OR(SwitchTR&lt;&gt;"ON",Universe!$B$68=""),"",Universe!$B$68)</f>
        <v/>
      </c>
      <c r="EE1" s="11">
        <f>IF(OR(SwitchTR&lt;&gt;"ON",Universe!$B$69=""),"",Universe!$B$69)</f>
        <v/>
      </c>
      <c r="EG1" s="11">
        <f>IF(OR(SwitchTR&lt;&gt;"ON",Universe!$B$70=""),"",Universe!$B$70)</f>
        <v/>
      </c>
      <c r="EI1" s="11">
        <f>IF(OR(SwitchTR&lt;&gt;"ON",Universe!$B$71=""),"",Universe!$B$71)</f>
        <v/>
      </c>
      <c r="EK1" s="11">
        <f>IF(OR(SwitchTR&lt;&gt;"ON",Universe!$B$72=""),"",Universe!$B$72)</f>
        <v/>
      </c>
      <c r="EM1" s="11">
        <f>IF(OR(SwitchTR&lt;&gt;"ON",Universe!$B$73=""),"",Universe!$B$73)</f>
        <v/>
      </c>
      <c r="EO1" s="11">
        <f>IF(OR(SwitchTR&lt;&gt;"ON",Universe!$B$74=""),"",Universe!$B$74)</f>
        <v/>
      </c>
      <c r="EQ1" s="11">
        <f>IF(OR(SwitchTR&lt;&gt;"ON",Universe!$B$75=""),"",Universe!$B$75)</f>
        <v/>
      </c>
      <c r="ES1" s="11">
        <f>IF(OR(SwitchTR&lt;&gt;"ON",Universe!$B$76=""),"",Universe!$B$76)</f>
        <v/>
      </c>
      <c r="EU1" s="11">
        <f>IF(OR(SwitchTR&lt;&gt;"ON",Universe!$B$77=""),"",Universe!$B$77)</f>
        <v/>
      </c>
      <c r="EW1" s="11">
        <f>IF(OR(SwitchTR&lt;&gt;"ON",Universe!$B$78=""),"",Universe!$B$78)</f>
        <v/>
      </c>
      <c r="EY1" s="11">
        <f>IF(OR(SwitchTR&lt;&gt;"ON",Universe!$B$79=""),"",Universe!$B$79)</f>
        <v/>
      </c>
      <c r="FA1" s="11">
        <f>IF(OR(SwitchTR&lt;&gt;"ON",Universe!$B$80=""),"",Universe!$B$80)</f>
        <v/>
      </c>
      <c r="FC1" s="11">
        <f>IF(OR(SwitchTR&lt;&gt;"ON",Universe!$B$81=""),"",Universe!$B$81)</f>
        <v/>
      </c>
      <c r="FE1" s="11">
        <f>IF(OR(SwitchTR&lt;&gt;"ON",Universe!$B$82=""),"",Universe!$B$82)</f>
        <v/>
      </c>
      <c r="FG1" s="11">
        <f>IF(OR(SwitchTR&lt;&gt;"ON",Universe!$B$83=""),"",Universe!$B$83)</f>
        <v/>
      </c>
      <c r="FI1" s="11">
        <f>IF(OR(SwitchTR&lt;&gt;"ON",Universe!$B$84=""),"",Universe!$B$84)</f>
        <v/>
      </c>
      <c r="FK1" s="11">
        <f>IF(OR(SwitchTR&lt;&gt;"ON",Universe!$B$85=""),"",Universe!$B$85)</f>
        <v/>
      </c>
      <c r="FM1" s="11">
        <f>IF(OR(SwitchTR&lt;&gt;"ON",Universe!$B$86=""),"",Universe!$B$86)</f>
        <v/>
      </c>
      <c r="FO1" s="11">
        <f>IF(OR(SwitchTR&lt;&gt;"ON",Universe!$B$87=""),"",Universe!$B$87)</f>
        <v/>
      </c>
      <c r="FQ1" s="11">
        <f>IF(OR(SwitchTR&lt;&gt;"ON",Universe!$B$88=""),"",Universe!$B$88)</f>
        <v/>
      </c>
      <c r="FS1" s="11">
        <f>IF(OR(SwitchTR&lt;&gt;"ON",Universe!$B$89=""),"",Universe!$B$89)</f>
        <v/>
      </c>
      <c r="FU1" s="11">
        <f>IF(OR(SwitchTR&lt;&gt;"ON",Universe!$B$90=""),"",Universe!$B$90)</f>
        <v/>
      </c>
      <c r="FW1" s="11">
        <f>IF(OR(SwitchTR&lt;&gt;"ON",Universe!$B$91=""),"",Universe!$B$91)</f>
        <v/>
      </c>
      <c r="FY1" s="11">
        <f>IF(OR(SwitchTR&lt;&gt;"ON",Universe!$B$92=""),"",Universe!$B$92)</f>
        <v/>
      </c>
      <c r="GA1" s="11">
        <f>IF(OR(SwitchTR&lt;&gt;"ON",Universe!$B$93=""),"",Universe!$B$93)</f>
        <v/>
      </c>
      <c r="GC1" s="11">
        <f>IF(OR(SwitchTR&lt;&gt;"ON",Universe!$B$94=""),"",Universe!$B$94)</f>
        <v/>
      </c>
      <c r="GE1" s="11">
        <f>IF(OR(SwitchTR&lt;&gt;"ON",Universe!$B$95=""),"",Universe!$B$95)</f>
        <v/>
      </c>
      <c r="GG1" s="11">
        <f>IF(OR(SwitchTR&lt;&gt;"ON",Universe!$B$96=""),"",Universe!$B$96)</f>
        <v/>
      </c>
      <c r="GI1" s="11">
        <f>IF(OR(SwitchTR&lt;&gt;"ON",Universe!$B$97=""),"",Universe!$B$97)</f>
        <v/>
      </c>
      <c r="GK1" s="11">
        <f>IF(OR(SwitchTR&lt;&gt;"ON",Universe!$B$98=""),"",Universe!$B$98)</f>
        <v/>
      </c>
      <c r="GM1" s="11">
        <f>IF(OR(SwitchTR&lt;&gt;"ON",Universe!$B$99=""),"",Universe!$B$99)</f>
        <v/>
      </c>
      <c r="GO1" s="11">
        <f>IF(OR(SwitchTR&lt;&gt;"ON",Universe!$B$100=""),"",Universe!$B$100)</f>
        <v/>
      </c>
      <c r="GQ1" s="11">
        <f>IF(OR(SwitchTR&lt;&gt;"ON",Universe!$B$101=""),"",Universe!$B$101)</f>
        <v/>
      </c>
      <c r="GS1" s="11">
        <f>IF(OR(SwitchTR&lt;&gt;"ON",Universe!$B$102=""),"",Universe!$B$102)</f>
        <v/>
      </c>
      <c r="GU1" s="11">
        <f>IF(OR(SwitchTR&lt;&gt;"ON",Universe!$B$103=""),"",Universe!$B$103)</f>
        <v/>
      </c>
      <c r="GW1" s="11">
        <f>IF(OR(SwitchTR&lt;&gt;"ON",Universe!$B$104=""),"",Universe!$B$104)</f>
        <v/>
      </c>
      <c r="GY1" s="11">
        <f>IF(OR(SwitchTR&lt;&gt;"ON",Universe!$B$105=""),"",Universe!$B$105)</f>
        <v/>
      </c>
      <c r="HA1" s="11">
        <f>IF(OR(SwitchTR&lt;&gt;"ON",Universe!$B$106=""),"",Universe!$B$106)</f>
        <v/>
      </c>
      <c r="HC1" s="11">
        <f>IF(OR(SwitchTR&lt;&gt;"ON",Universe!$B$107=""),"",Universe!$B$107)</f>
        <v/>
      </c>
      <c r="HE1" s="11">
        <f>IF(OR(SwitchTR&lt;&gt;"ON",Universe!$B$108=""),"",Universe!$B$108)</f>
        <v/>
      </c>
      <c r="HG1" s="11">
        <f>IF(OR(SwitchTR&lt;&gt;"ON",Universe!$B$109=""),"",Universe!$B$109)</f>
        <v/>
      </c>
      <c r="HI1" s="11">
        <f>IF(OR(SwitchTR&lt;&gt;"ON",Universe!$B$110=""),"",Universe!$B$110)</f>
        <v/>
      </c>
      <c r="HK1" s="11">
        <f>IF(OR(SwitchTR&lt;&gt;"ON",Universe!$B$111=""),"",Universe!$B$111)</f>
        <v/>
      </c>
      <c r="HM1" s="11">
        <f>IF(OR(SwitchTR&lt;&gt;"ON",Universe!$B$112=""),"",Universe!$B$112)</f>
        <v/>
      </c>
      <c r="HO1" s="11">
        <f>IF(OR(SwitchTR&lt;&gt;"ON",Universe!$B$113=""),"",Universe!$B$113)</f>
        <v/>
      </c>
      <c r="HQ1" s="11">
        <f>IF(OR(SwitchTR&lt;&gt;"ON",Universe!$B$114=""),"",Universe!$B$114)</f>
        <v/>
      </c>
      <c r="HS1" s="11">
        <f>IF(OR(SwitchTR&lt;&gt;"ON",Universe!$B$115=""),"",Universe!$B$115)</f>
        <v/>
      </c>
      <c r="HU1" s="11">
        <f>IF(OR(SwitchTR&lt;&gt;"ON",Universe!$B$116=""),"",Universe!$B$116)</f>
        <v/>
      </c>
      <c r="HW1" s="11">
        <f>IF(OR(SwitchTR&lt;&gt;"ON",Universe!$B$117=""),"",Universe!$B$117)</f>
        <v/>
      </c>
      <c r="HY1" s="11">
        <f>IF(OR(SwitchTR&lt;&gt;"ON",Universe!$B$118=""),"",Universe!$B$118)</f>
        <v/>
      </c>
      <c r="IA1" s="11">
        <f>IF(OR(SwitchTR&lt;&gt;"ON",Universe!$B$119=""),"",Universe!$B$119)</f>
        <v/>
      </c>
      <c r="IC1" s="11">
        <f>IF(OR(SwitchTR&lt;&gt;"ON",Universe!$B$120=""),"",Universe!$B$120)</f>
        <v/>
      </c>
      <c r="IE1" s="11">
        <f>IF(OR(SwitchTR&lt;&gt;"ON",Universe!$B$121=""),"",Universe!$B$121)</f>
        <v/>
      </c>
      <c r="IG1" s="11">
        <f>IF(OR(SwitchTR&lt;&gt;"ON",Universe!$B$122=""),"",Universe!$B$122)</f>
        <v/>
      </c>
      <c r="II1" s="11">
        <f>IF(OR(SwitchTR&lt;&gt;"ON",Universe!$B$123=""),"",Universe!$B$123)</f>
        <v/>
      </c>
      <c r="IK1" s="11">
        <f>IF(OR(SwitchTR&lt;&gt;"ON",Universe!$B$124=""),"",Universe!$B$124)</f>
        <v/>
      </c>
      <c r="IM1" s="11">
        <f>IF(OR(SwitchTR&lt;&gt;"ON",Universe!$B$125=""),"",Universe!$B$125)</f>
        <v/>
      </c>
      <c r="IO1" s="11">
        <f>IF(OR(SwitchTR&lt;&gt;"ON",Universe!$B$126=""),"",Universe!$B$126)</f>
        <v/>
      </c>
      <c r="IQ1" s="11">
        <f>IF(OR(SwitchTR&lt;&gt;"ON",Universe!$B$127=""),"",Universe!$B$127)</f>
        <v/>
      </c>
      <c r="IS1" s="11">
        <f>IF(OR(SwitchTR&lt;&gt;"ON",Universe!$B$128=""),"",Universe!$B$128)</f>
        <v/>
      </c>
      <c r="IU1" s="11">
        <f>IF(OR(SwitchTR&lt;&gt;"ON",Universe!$B$129=""),"",Universe!$B$129)</f>
        <v/>
      </c>
      <c r="IW1" s="11">
        <f>IF(OR(SwitchTR&lt;&gt;"ON",Universe!$B$130=""),"",Universe!$B$130)</f>
        <v/>
      </c>
      <c r="IY1" s="11">
        <f>IF(OR(SwitchTR&lt;&gt;"ON",Universe!$B$131=""),"",Universe!$B$131)</f>
        <v/>
      </c>
      <c r="JA1" s="11">
        <f>IF(OR(SwitchTR&lt;&gt;"ON",Universe!$B$132=""),"",Universe!$B$132)</f>
        <v/>
      </c>
      <c r="JC1" s="11">
        <f>IF(OR(SwitchTR&lt;&gt;"ON",Universe!$B$133=""),"",Universe!$B$133)</f>
        <v/>
      </c>
      <c r="JE1" s="11">
        <f>IF(OR(SwitchTR&lt;&gt;"ON",Universe!$B$134=""),"",Universe!$B$134)</f>
        <v/>
      </c>
      <c r="JG1" s="11">
        <f>IF(OR(SwitchTR&lt;&gt;"ON",Universe!$B$135=""),"",Universe!$B$135)</f>
        <v/>
      </c>
      <c r="JI1" s="11">
        <f>IF(OR(SwitchTR&lt;&gt;"ON",Universe!$B$136=""),"",Universe!$B$136)</f>
        <v/>
      </c>
      <c r="JK1" s="11">
        <f>IF(OR(SwitchTR&lt;&gt;"ON",Universe!$B$137=""),"",Universe!$B$137)</f>
        <v/>
      </c>
      <c r="JM1" s="11">
        <f>IF(OR(SwitchTR&lt;&gt;"ON",Universe!$B$138=""),"",Universe!$B$138)</f>
        <v/>
      </c>
      <c r="JO1" s="11">
        <f>IF(OR(SwitchTR&lt;&gt;"ON",Universe!$B$139=""),"",Universe!$B$139)</f>
        <v/>
      </c>
      <c r="JQ1" s="11">
        <f>IF(OR(SwitchTR&lt;&gt;"ON",Universe!$B$140=""),"",Universe!$B$140)</f>
        <v/>
      </c>
      <c r="JS1" s="11">
        <f>IF(OR(SwitchTR&lt;&gt;"ON",Universe!$B$141=""),"",Universe!$B$141)</f>
        <v/>
      </c>
      <c r="JU1" s="11">
        <f>IF(OR(SwitchTR&lt;&gt;"ON",Universe!$B$142=""),"",Universe!$B$142)</f>
        <v/>
      </c>
      <c r="JW1" s="11">
        <f>IF(OR(SwitchTR&lt;&gt;"ON",Universe!$B$143=""),"",Universe!$B$143)</f>
        <v/>
      </c>
      <c r="JY1" s="11">
        <f>IF(OR(SwitchTR&lt;&gt;"ON",Universe!$B$144=""),"",Universe!$B$144)</f>
        <v/>
      </c>
      <c r="KA1" s="11">
        <f>IF(OR(SwitchTR&lt;&gt;"ON",Universe!$B$145=""),"",Universe!$B$145)</f>
        <v/>
      </c>
      <c r="KC1" s="11">
        <f>IF(OR(SwitchTR&lt;&gt;"ON",Universe!$B$146=""),"",Universe!$B$146)</f>
        <v/>
      </c>
      <c r="KE1" s="11">
        <f>IF(OR(SwitchTR&lt;&gt;"ON",Universe!$B$147=""),"",Universe!$B$147)</f>
        <v/>
      </c>
      <c r="KG1" s="11">
        <f>IF(OR(SwitchTR&lt;&gt;"ON",Universe!$B$148=""),"",Universe!$B$148)</f>
        <v/>
      </c>
      <c r="KI1" s="11">
        <f>IF(OR(SwitchTR&lt;&gt;"ON",Universe!$B$149=""),"",Universe!$B$149)</f>
        <v/>
      </c>
      <c r="KK1" s="11">
        <f>IF(OR(SwitchTR&lt;&gt;"ON",Universe!$B$150=""),"",Universe!$B$150)</f>
        <v/>
      </c>
      <c r="KM1" s="11">
        <f>IF(OR(SwitchTR&lt;&gt;"ON",Universe!$B$151=""),"",Universe!$B$151)</f>
        <v/>
      </c>
      <c r="KO1" s="11">
        <f>IF(OR(SwitchTR&lt;&gt;"ON",Universe!$B$152=""),"",Universe!$B$152)</f>
        <v/>
      </c>
      <c r="KQ1" s="11">
        <f>IF(OR(SwitchTR&lt;&gt;"ON",Universe!$B$153=""),"",Universe!$B$153)</f>
        <v/>
      </c>
      <c r="KS1" s="11">
        <f>IF(OR(SwitchTR&lt;&gt;"ON",Universe!$B$154=""),"",Universe!$B$154)</f>
        <v/>
      </c>
      <c r="KU1" s="11">
        <f>IF(OR(SwitchTR&lt;&gt;"ON",Universe!$B$155=""),"",Universe!$B$155)</f>
        <v/>
      </c>
      <c r="KW1" s="11">
        <f>IF(OR(SwitchTR&lt;&gt;"ON",Universe!$B$156=""),"",Universe!$B$156)</f>
        <v/>
      </c>
      <c r="KY1" s="11">
        <f>IF(OR(SwitchTR&lt;&gt;"ON",Universe!$B$157=""),"",Universe!$B$157)</f>
        <v/>
      </c>
      <c r="LA1" s="11">
        <f>IF(OR(SwitchTR&lt;&gt;"ON",Universe!$B$158=""),"",Universe!$B$158)</f>
        <v/>
      </c>
      <c r="LC1" s="11">
        <f>IF(OR(SwitchTR&lt;&gt;"ON",Universe!$B$159=""),"",Universe!$B$159)</f>
        <v/>
      </c>
      <c r="LE1" s="11">
        <f>IF(OR(SwitchTR&lt;&gt;"ON",Universe!$B$160=""),"",Universe!$B$160)</f>
        <v/>
      </c>
      <c r="LG1" s="11">
        <f>IF(OR(SwitchTR&lt;&gt;"ON",Universe!$B$161=""),"",Universe!$B$161)</f>
        <v/>
      </c>
      <c r="LI1" s="11">
        <f>IF(OR(SwitchTR&lt;&gt;"ON",Universe!$B$162=""),"",Universe!$B$162)</f>
        <v/>
      </c>
      <c r="LK1" s="11">
        <f>IF(OR(SwitchTR&lt;&gt;"ON",Universe!$B$163=""),"",Universe!$B$163)</f>
        <v/>
      </c>
      <c r="LM1" s="11">
        <f>IF(OR(SwitchTR&lt;&gt;"ON",Universe!$B$164=""),"",Universe!$B$164)</f>
        <v/>
      </c>
      <c r="LO1" s="11">
        <f>IF(OR(SwitchTR&lt;&gt;"ON",Universe!$B$165=""),"",Universe!$B$165)</f>
        <v/>
      </c>
      <c r="LQ1" s="11">
        <f>IF(OR(SwitchTR&lt;&gt;"ON",Universe!$B$166=""),"",Universe!$B$166)</f>
        <v/>
      </c>
      <c r="LS1" s="11">
        <f>IF(OR(SwitchTR&lt;&gt;"ON",Universe!$B$167=""),"",Universe!$B$167)</f>
        <v/>
      </c>
      <c r="LU1" s="11">
        <f>IF(OR(SwitchTR&lt;&gt;"ON",Universe!$B$168=""),"",Universe!$B$168)</f>
        <v/>
      </c>
      <c r="LW1" s="11">
        <f>IF(OR(SwitchTR&lt;&gt;"ON",Universe!$B$169=""),"",Universe!$B$169)</f>
        <v/>
      </c>
      <c r="LY1" s="11">
        <f>IF(OR(SwitchTR&lt;&gt;"ON",Universe!$B$170=""),"",Universe!$B$170)</f>
        <v/>
      </c>
      <c r="MA1" s="11">
        <f>IF(OR(SwitchTR&lt;&gt;"ON",Universe!$B$171=""),"",Universe!$B$171)</f>
        <v/>
      </c>
      <c r="MC1" s="11">
        <f>IF(OR(SwitchTR&lt;&gt;"ON",Universe!$B$172=""),"",Universe!$B$172)</f>
        <v/>
      </c>
      <c r="ME1" s="11">
        <f>IF(OR(SwitchTR&lt;&gt;"ON",Universe!$B$173=""),"",Universe!$B$173)</f>
        <v/>
      </c>
      <c r="MG1" s="11">
        <f>IF(OR(SwitchTR&lt;&gt;"ON",Universe!$B$174=""),"",Universe!$B$174)</f>
        <v/>
      </c>
      <c r="MI1" s="11">
        <f>IF(OR(SwitchTR&lt;&gt;"ON",Universe!$B$175=""),"",Universe!$B$175)</f>
        <v/>
      </c>
      <c r="MK1" s="11">
        <f>IF(OR(SwitchTR&lt;&gt;"ON",Universe!$B$176=""),"",Universe!$B$176)</f>
        <v/>
      </c>
      <c r="MM1" s="11">
        <f>IF(OR(SwitchTR&lt;&gt;"ON",Universe!$B$177=""),"",Universe!$B$177)</f>
        <v/>
      </c>
      <c r="MO1" s="11">
        <f>IF(OR(SwitchTR&lt;&gt;"ON",Universe!$B$178=""),"",Universe!$B$178)</f>
        <v/>
      </c>
      <c r="MQ1" s="11">
        <f>IF(OR(SwitchTR&lt;&gt;"ON",Universe!$B$179=""),"",Universe!$B$179)</f>
        <v/>
      </c>
      <c r="MS1" s="11">
        <f>IF(OR(SwitchTR&lt;&gt;"ON",Universe!$B$180=""),"",Universe!$B$180)</f>
        <v/>
      </c>
      <c r="MU1" s="11">
        <f>IF(OR(SwitchTR&lt;&gt;"ON",Universe!$B$181=""),"",Universe!$B$181)</f>
        <v/>
      </c>
      <c r="MW1" s="11">
        <f>IF(OR(SwitchTR&lt;&gt;"ON",Universe!$B$182=""),"",Universe!$B$182)</f>
        <v/>
      </c>
      <c r="MY1" s="11">
        <f>IF(OR(SwitchTR&lt;&gt;"ON",Universe!$B$183=""),"",Universe!$B$183)</f>
        <v/>
      </c>
      <c r="NA1" s="11">
        <f>IF(OR(SwitchTR&lt;&gt;"ON",Universe!$B$184=""),"",Universe!$B$184)</f>
        <v/>
      </c>
      <c r="NC1" s="11">
        <f>IF(OR(SwitchTR&lt;&gt;"ON",Universe!$B$185=""),"",Universe!$B$185)</f>
        <v/>
      </c>
      <c r="NE1" s="11">
        <f>IF(OR(SwitchTR&lt;&gt;"ON",Universe!$B$186=""),"",Universe!$B$186)</f>
        <v/>
      </c>
      <c r="NG1" s="11">
        <f>IF(OR(SwitchTR&lt;&gt;"ON",Universe!$B$187=""),"",Universe!$B$187)</f>
        <v/>
      </c>
      <c r="NI1" s="11">
        <f>IF(OR(SwitchTR&lt;&gt;"ON",Universe!$B$188=""),"",Universe!$B$188)</f>
        <v/>
      </c>
      <c r="NK1" s="11">
        <f>IF(OR(SwitchTR&lt;&gt;"ON",Universe!$B$189=""),"",Universe!$B$189)</f>
        <v/>
      </c>
      <c r="NM1" s="11">
        <f>IF(OR(SwitchTR&lt;&gt;"ON",Universe!$B$190=""),"",Universe!$B$190)</f>
        <v/>
      </c>
      <c r="NO1" s="11">
        <f>IF(OR(SwitchTR&lt;&gt;"ON",Universe!$B$191=""),"",Universe!$B$191)</f>
        <v/>
      </c>
      <c r="NQ1" s="11">
        <f>IF(OR(SwitchTR&lt;&gt;"ON",Universe!$B$192=""),"",Universe!$B$192)</f>
        <v/>
      </c>
      <c r="NS1" s="11">
        <f>IF(OR(SwitchTR&lt;&gt;"ON",Universe!$B$193=""),"",Universe!$B$193)</f>
        <v/>
      </c>
      <c r="NU1" s="11">
        <f>IF(OR(SwitchTR&lt;&gt;"ON",Universe!$B$194=""),"",Universe!$B$194)</f>
        <v/>
      </c>
      <c r="NW1" s="11">
        <f>IF(OR(SwitchTR&lt;&gt;"ON",Universe!$B$195=""),"",Universe!$B$195)</f>
        <v/>
      </c>
      <c r="NY1" s="11">
        <f>IF(OR(SwitchTR&lt;&gt;"ON",Universe!$B$196=""),"",Universe!$B$196)</f>
        <v/>
      </c>
      <c r="OA1" s="11">
        <f>IF(OR(SwitchTR&lt;&gt;"ON",Universe!$B$197=""),"",Universe!$B$197)</f>
        <v/>
      </c>
      <c r="OC1" s="11">
        <f>IF(OR(SwitchTR&lt;&gt;"ON",Universe!$B$198=""),"",Universe!$B$198)</f>
        <v/>
      </c>
      <c r="OE1" s="11">
        <f>IF(OR(SwitchTR&lt;&gt;"ON",Universe!$B$199=""),"",Universe!$B$199)</f>
        <v/>
      </c>
      <c r="OG1" s="11">
        <f>IF(OR(SwitchTR&lt;&gt;"ON",Universe!$B$200=""),"",Universe!$B$200)</f>
        <v/>
      </c>
      <c r="OI1" s="11">
        <f>IF(OR(SwitchTR&lt;&gt;"ON",Universe!$B$201=""),"",Universe!$B$201)</f>
        <v/>
      </c>
      <c r="OK1" s="11">
        <f>IF(OR(SwitchTR&lt;&gt;"ON",Universe!$B$202=""),"",Universe!$B$202)</f>
        <v/>
      </c>
      <c r="OM1" s="11">
        <f>IF(OR(SwitchTR&lt;&gt;"ON",Universe!$B$203=""),"",Universe!$B$203)</f>
        <v/>
      </c>
      <c r="OO1" s="11">
        <f>IF(OR(SwitchTR&lt;&gt;"ON",Universe!$B$204=""),"",Universe!$B$204)</f>
        <v/>
      </c>
      <c r="OQ1" s="11">
        <f>IF(OR(SwitchTR&lt;&gt;"ON",Universe!$B$205=""),"",Universe!$B$205)</f>
        <v/>
      </c>
      <c r="OS1" s="11">
        <f>IF(OR(SwitchTR&lt;&gt;"ON",Universe!$B$206=""),"",Universe!$B$206)</f>
        <v/>
      </c>
      <c r="OU1" s="11">
        <f>IF(OR(SwitchTR&lt;&gt;"ON",Universe!$B$207=""),"",Universe!$B$207)</f>
        <v/>
      </c>
      <c r="OW1" s="11">
        <f>IF(OR(SwitchTR&lt;&gt;"ON",Universe!$B$208=""),"",Universe!$B$208)</f>
        <v/>
      </c>
      <c r="OY1" s="11">
        <f>IF(OR(SwitchTR&lt;&gt;"ON",Universe!$B$209=""),"",Universe!$B$209)</f>
        <v/>
      </c>
      <c r="PA1" s="11">
        <f>IF(OR(SwitchTR&lt;&gt;"ON",Universe!$B$210=""),"",Universe!$B$210)</f>
        <v/>
      </c>
      <c r="PC1" s="11">
        <f>IF(OR(SwitchTR&lt;&gt;"ON",Universe!$B$211=""),"",Universe!$B$211)</f>
        <v/>
      </c>
      <c r="PE1" s="11">
        <f>IF(OR(SwitchTR&lt;&gt;"ON",Universe!$B$212=""),"",Universe!$B$212)</f>
        <v/>
      </c>
      <c r="PG1" s="11">
        <f>IF(OR(SwitchTR&lt;&gt;"ON",Universe!$B$213=""),"",Universe!$B$213)</f>
        <v/>
      </c>
      <c r="PI1" s="11">
        <f>IF(OR(SwitchTR&lt;&gt;"ON",Universe!$B$214=""),"",Universe!$B$214)</f>
        <v/>
      </c>
      <c r="PK1" s="11">
        <f>IF(OR(SwitchTR&lt;&gt;"ON",Universe!$B$215=""),"",Universe!$B$215)</f>
        <v/>
      </c>
      <c r="PM1" s="11">
        <f>IF(OR(SwitchTR&lt;&gt;"ON",Universe!$B$216=""),"",Universe!$B$216)</f>
        <v/>
      </c>
      <c r="PO1" s="11">
        <f>IF(OR(SwitchTR&lt;&gt;"ON",Universe!$B$217=""),"",Universe!$B$217)</f>
        <v/>
      </c>
      <c r="PQ1" s="11">
        <f>IF(OR(SwitchTR&lt;&gt;"ON",Universe!$B$218=""),"",Universe!$B$218)</f>
        <v/>
      </c>
      <c r="PS1" s="11">
        <f>IF(OR(SwitchTR&lt;&gt;"ON",Universe!$B$219=""),"",Universe!$B$219)</f>
        <v/>
      </c>
      <c r="PU1" s="11">
        <f>IF(OR(SwitchTR&lt;&gt;"ON",Universe!$B$220=""),"",Universe!$B$220)</f>
        <v/>
      </c>
      <c r="PW1" s="11">
        <f>IF(OR(SwitchTR&lt;&gt;"ON",Universe!$B$221=""),"",Universe!$B$221)</f>
        <v/>
      </c>
      <c r="PY1" s="11">
        <f>IF(OR(SwitchTR&lt;&gt;"ON",Universe!$B$222=""),"",Universe!$B$222)</f>
        <v/>
      </c>
      <c r="QA1" s="11">
        <f>IF(OR(SwitchTR&lt;&gt;"ON",Universe!$B$223=""),"",Universe!$B$223)</f>
        <v/>
      </c>
      <c r="QC1" s="11">
        <f>IF(OR(SwitchTR&lt;&gt;"ON",Universe!$B$224=""),"",Universe!$B$224)</f>
        <v/>
      </c>
      <c r="QE1" s="11">
        <f>IF(OR(SwitchTR&lt;&gt;"ON",Universe!$B$225=""),"",Universe!$B$225)</f>
        <v/>
      </c>
      <c r="QG1" s="11">
        <f>IF(OR(SwitchTR&lt;&gt;"ON",Universe!$B$226=""),"",Universe!$B$226)</f>
        <v/>
      </c>
      <c r="QI1" s="11">
        <f>IF(OR(SwitchTR&lt;&gt;"ON",Universe!$B$227=""),"",Universe!$B$227)</f>
        <v/>
      </c>
      <c r="QK1" s="11">
        <f>IF(OR(SwitchTR&lt;&gt;"ON",Universe!$B$228=""),"",Universe!$B$228)</f>
        <v/>
      </c>
      <c r="QM1" s="11">
        <f>IF(OR(SwitchTR&lt;&gt;"ON",Universe!$B$229=""),"",Universe!$B$229)</f>
        <v/>
      </c>
      <c r="QO1" s="11">
        <f>IF(OR(SwitchTR&lt;&gt;"ON",Universe!$B$230=""),"",Universe!$B$230)</f>
        <v/>
      </c>
      <c r="QQ1" s="11">
        <f>IF(OR(SwitchTR&lt;&gt;"ON",Universe!$B$231=""),"",Universe!$B$231)</f>
        <v/>
      </c>
      <c r="QS1" s="11">
        <f>IF(OR(SwitchTR&lt;&gt;"ON",Universe!$B$232=""),"",Universe!$B$232)</f>
        <v/>
      </c>
      <c r="QU1" s="11">
        <f>IF(OR(SwitchTR&lt;&gt;"ON",Universe!$B$233=""),"",Universe!$B$233)</f>
        <v/>
      </c>
      <c r="QW1" s="11">
        <f>IF(OR(SwitchTR&lt;&gt;"ON",Universe!$B$234=""),"",Universe!$B$234)</f>
        <v/>
      </c>
      <c r="QY1" s="11">
        <f>IF(OR(SwitchTR&lt;&gt;"ON",Universe!$B$235=""),"",Universe!$B$235)</f>
        <v/>
      </c>
      <c r="RA1" s="11">
        <f>IF(OR(SwitchTR&lt;&gt;"ON",Universe!$B$236=""),"",Universe!$B$236)</f>
        <v/>
      </c>
      <c r="RC1" s="11">
        <f>IF(OR(SwitchTR&lt;&gt;"ON",Universe!$B$237=""),"",Universe!$B$237)</f>
        <v/>
      </c>
      <c r="RE1" s="11">
        <f>IF(OR(SwitchTR&lt;&gt;"ON",Universe!$B$238=""),"",Universe!$B$238)</f>
        <v/>
      </c>
      <c r="RG1" s="11">
        <f>IF(OR(SwitchTR&lt;&gt;"ON",Universe!$B$239=""),"",Universe!$B$239)</f>
        <v/>
      </c>
      <c r="RI1" s="11">
        <f>IF(OR(SwitchTR&lt;&gt;"ON",Universe!$B$240=""),"",Universe!$B$240)</f>
        <v/>
      </c>
      <c r="RK1" s="11">
        <f>IF(OR(SwitchTR&lt;&gt;"ON",Universe!$B$241=""),"",Universe!$B$241)</f>
        <v/>
      </c>
      <c r="RM1" s="11">
        <f>IF(OR(SwitchTR&lt;&gt;"ON",Universe!$B$242=""),"",Universe!$B$242)</f>
        <v/>
      </c>
      <c r="RO1" s="11">
        <f>IF(OR(SwitchTR&lt;&gt;"ON",Universe!$B$243=""),"",Universe!$B$243)</f>
        <v/>
      </c>
      <c r="RQ1" s="11">
        <f>IF(OR(SwitchTR&lt;&gt;"ON",Universe!$B$244=""),"",Universe!$B$244)</f>
        <v/>
      </c>
      <c r="RS1" s="11">
        <f>IF(OR(SwitchTR&lt;&gt;"ON",Universe!$B$245=""),"",Universe!$B$245)</f>
        <v/>
      </c>
      <c r="RU1" s="11">
        <f>IF(OR(SwitchTR&lt;&gt;"ON",Universe!$B$246=""),"",Universe!$B$246)</f>
        <v/>
      </c>
      <c r="RW1" s="11">
        <f>IF(OR(SwitchTR&lt;&gt;"ON",Universe!$B$247=""),"",Universe!$B$247)</f>
        <v/>
      </c>
      <c r="RY1" s="11">
        <f>IF(OR(SwitchTR&lt;&gt;"ON",Universe!$B$248=""),"",Universe!$B$248)</f>
        <v/>
      </c>
      <c r="SA1" s="11">
        <f>IF(OR(SwitchTR&lt;&gt;"ON",Universe!$B$249=""),"",Universe!$B$249)</f>
        <v/>
      </c>
      <c r="SC1" s="11">
        <f>IF(OR(SwitchTR&lt;&gt;"ON",Universe!$B$250=""),"",Universe!$B$250)</f>
        <v/>
      </c>
      <c r="SE1" s="11">
        <f>IF(OR(SwitchTR&lt;&gt;"ON",Universe!$B$251=""),"",Universe!$B$251)</f>
        <v/>
      </c>
      <c r="SG1" s="11">
        <f>IF(OR(SwitchTR&lt;&gt;"ON",Universe!$B$252=""),"",Universe!$B$252)</f>
        <v/>
      </c>
      <c r="SI1" s="11">
        <f>IF(OR(SwitchTR&lt;&gt;"ON",Universe!$B$253=""),"",Universe!$B$253)</f>
        <v/>
      </c>
      <c r="SK1" s="11">
        <f>IF(OR(SwitchTR&lt;&gt;"ON",Universe!$B$254=""),"",Universe!$B$254)</f>
        <v/>
      </c>
      <c r="SM1" s="11">
        <f>IF(OR(SwitchTR&lt;&gt;"ON",Universe!$B$255=""),"",Universe!$B$255)</f>
        <v/>
      </c>
      <c r="SO1" s="11">
        <f>IF(OR(SwitchTR&lt;&gt;"ON",Universe!$B$256=""),"",Universe!$B$256)</f>
        <v/>
      </c>
      <c r="SQ1" s="11">
        <f>IF(OR(SwitchTR&lt;&gt;"ON",Universe!$B$257=""),"",Universe!$B$257)</f>
        <v/>
      </c>
      <c r="SS1" s="11">
        <f>IF(OR(SwitchTR&lt;&gt;"ON",Universe!$B$258=""),"",Universe!$B$258)</f>
        <v/>
      </c>
      <c r="SU1" s="11">
        <f>IF(OR(SwitchTR&lt;&gt;"ON",Universe!$B$259=""),"",Universe!$B$259)</f>
        <v/>
      </c>
      <c r="SW1" s="11">
        <f>IF(OR(SwitchTR&lt;&gt;"ON",Universe!$B$260=""),"",Universe!$B$260)</f>
        <v/>
      </c>
      <c r="SY1" s="11">
        <f>IF(OR(SwitchTR&lt;&gt;"ON",Universe!$B$261=""),"",Universe!$B$261)</f>
        <v/>
      </c>
      <c r="TA1" s="11">
        <f>IF(OR(SwitchTR&lt;&gt;"ON",Universe!$B$262=""),"",Universe!$B$262)</f>
        <v/>
      </c>
      <c r="TC1" s="11">
        <f>IF(OR(SwitchTR&lt;&gt;"ON",Universe!$B$263=""),"",Universe!$B$263)</f>
        <v/>
      </c>
      <c r="TE1" s="11">
        <f>IF(OR(SwitchTR&lt;&gt;"ON",Universe!$B$264=""),"",Universe!$B$264)</f>
        <v/>
      </c>
      <c r="TG1" s="11">
        <f>IF(OR(SwitchTR&lt;&gt;"ON",Universe!$B$265=""),"",Universe!$B$265)</f>
        <v/>
      </c>
      <c r="TI1" s="11">
        <f>IF(OR(SwitchTR&lt;&gt;"ON",Universe!$B$266=""),"",Universe!$B$266)</f>
        <v/>
      </c>
      <c r="TK1" s="11">
        <f>IF(OR(SwitchTR&lt;&gt;"ON",Universe!$B$267=""),"",Universe!$B$267)</f>
        <v/>
      </c>
      <c r="TM1" s="11">
        <f>IF(OR(SwitchTR&lt;&gt;"ON",Universe!$B$268=""),"",Universe!$B$268)</f>
        <v/>
      </c>
      <c r="TO1" s="11">
        <f>IF(OR(SwitchTR&lt;&gt;"ON",Universe!$B$269=""),"",Universe!$B$269)</f>
        <v/>
      </c>
      <c r="TQ1" s="11">
        <f>IF(OR(SwitchTR&lt;&gt;"ON",Universe!$B$270=""),"",Universe!$B$270)</f>
        <v/>
      </c>
      <c r="TS1" s="11">
        <f>IF(OR(SwitchTR&lt;&gt;"ON",Universe!$B$271=""),"",Universe!$B$271)</f>
        <v/>
      </c>
      <c r="TU1" s="11">
        <f>IF(OR(SwitchTR&lt;&gt;"ON",Universe!$B$272=""),"",Universe!$B$272)</f>
        <v/>
      </c>
      <c r="TW1" s="11">
        <f>IF(OR(SwitchTR&lt;&gt;"ON",Universe!$B$273=""),"",Universe!$B$273)</f>
        <v/>
      </c>
      <c r="TY1" s="11">
        <f>IF(OR(SwitchTR&lt;&gt;"ON",Universe!$B$274=""),"",Universe!$B$274)</f>
        <v/>
      </c>
      <c r="UA1" s="11">
        <f>IF(OR(SwitchTR&lt;&gt;"ON",Universe!$B$275=""),"",Universe!$B$275)</f>
        <v/>
      </c>
      <c r="UC1" s="11">
        <f>IF(OR(SwitchTR&lt;&gt;"ON",Universe!$B$276=""),"",Universe!$B$276)</f>
        <v/>
      </c>
      <c r="UE1" s="11">
        <f>IF(OR(SwitchTR&lt;&gt;"ON",Universe!$B$277=""),"",Universe!$B$277)</f>
        <v/>
      </c>
      <c r="UG1" s="11">
        <f>IF(OR(SwitchTR&lt;&gt;"ON",Universe!$B$278=""),"",Universe!$B$278)</f>
        <v/>
      </c>
      <c r="UI1" s="11">
        <f>IF(OR(SwitchTR&lt;&gt;"ON",Universe!$B$279=""),"",Universe!$B$279)</f>
        <v/>
      </c>
      <c r="UK1" s="11">
        <f>IF(OR(SwitchTR&lt;&gt;"ON",Universe!$B$280=""),"",Universe!$B$280)</f>
        <v/>
      </c>
      <c r="UM1" s="11">
        <f>IF(OR(SwitchTR&lt;&gt;"ON",Universe!$B$281=""),"",Universe!$B$281)</f>
        <v/>
      </c>
      <c r="UO1" s="11">
        <f>IF(OR(SwitchTR&lt;&gt;"ON",Universe!$B$282=""),"",Universe!$B$282)</f>
        <v/>
      </c>
      <c r="UQ1" s="11">
        <f>IF(OR(SwitchTR&lt;&gt;"ON",Universe!$B$283=""),"",Universe!$B$283)</f>
        <v/>
      </c>
      <c r="US1" s="11">
        <f>IF(OR(SwitchTR&lt;&gt;"ON",Universe!$B$284=""),"",Universe!$B$284)</f>
        <v/>
      </c>
      <c r="UU1" s="11">
        <f>IF(OR(SwitchTR&lt;&gt;"ON",Universe!$B$285=""),"",Universe!$B$285)</f>
        <v/>
      </c>
      <c r="UW1" s="11">
        <f>IF(OR(SwitchTR&lt;&gt;"ON",Universe!$B$286=""),"",Universe!$B$286)</f>
        <v/>
      </c>
      <c r="UY1" s="11">
        <f>IF(OR(SwitchTR&lt;&gt;"ON",Universe!$B$287=""),"",Universe!$B$287)</f>
        <v/>
      </c>
      <c r="VA1" s="11">
        <f>IF(OR(SwitchTR&lt;&gt;"ON",Universe!$B$288=""),"",Universe!$B$288)</f>
        <v/>
      </c>
      <c r="VC1" s="11">
        <f>IF(OR(SwitchTR&lt;&gt;"ON",Universe!$B$289=""),"",Universe!$B$289)</f>
        <v/>
      </c>
      <c r="VE1" s="11">
        <f>IF(OR(SwitchTR&lt;&gt;"ON",Universe!$B$290=""),"",Universe!$B$290)</f>
        <v/>
      </c>
      <c r="VG1" s="11">
        <f>IF(OR(SwitchTR&lt;&gt;"ON",Universe!$B$291=""),"",Universe!$B$291)</f>
        <v/>
      </c>
      <c r="VI1" s="11">
        <f>IF(OR(SwitchTR&lt;&gt;"ON",Universe!$B$292=""),"",Universe!$B$292)</f>
        <v/>
      </c>
      <c r="VK1" s="11">
        <f>IF(OR(SwitchTR&lt;&gt;"ON",Universe!$B$293=""),"",Universe!$B$293)</f>
        <v/>
      </c>
      <c r="VM1" s="11">
        <f>IF(OR(SwitchTR&lt;&gt;"ON",Universe!$B$294=""),"",Universe!$B$294)</f>
        <v/>
      </c>
      <c r="VO1" s="11">
        <f>IF(OR(SwitchTR&lt;&gt;"ON",Universe!$B$295=""),"",Universe!$B$295)</f>
        <v/>
      </c>
      <c r="VQ1" s="11">
        <f>IF(OR(SwitchTR&lt;&gt;"ON",Universe!$B$296=""),"",Universe!$B$296)</f>
        <v/>
      </c>
      <c r="VS1" s="11">
        <f>IF(OR(SwitchTR&lt;&gt;"ON",Universe!$B$297=""),"",Universe!$B$297)</f>
        <v/>
      </c>
      <c r="VU1" s="11">
        <f>IF(OR(SwitchTR&lt;&gt;"ON",Universe!$B$298=""),"",Universe!$B$298)</f>
        <v/>
      </c>
      <c r="VW1" s="11">
        <f>IF(OR(SwitchTR&lt;&gt;"ON",Universe!$B$299=""),"",Universe!$B$299)</f>
        <v/>
      </c>
      <c r="VY1" s="11">
        <f>IF(OR(SwitchTR&lt;&gt;"ON",Universe!$B$300=""),"",Universe!$B$300)</f>
        <v/>
      </c>
      <c r="WA1" s="11">
        <f>IF(OR(SwitchTR&lt;&gt;"ON",Universe!$B$301=""),"",Universe!$B$301)</f>
        <v/>
      </c>
      <c r="WC1" s="11">
        <f>IF(OR(SwitchTR&lt;&gt;"ON",Universe!$B$302=""),"",Universe!$B$302)</f>
        <v/>
      </c>
      <c r="WE1" s="11">
        <f>IF(OR(SwitchTR&lt;&gt;"ON",Universe!$B$303=""),"",Universe!$B$303)</f>
        <v/>
      </c>
      <c r="WG1" s="11">
        <f>IF(OR(SwitchTR&lt;&gt;"ON",Universe!$B$304=""),"",Universe!$B$304)</f>
        <v/>
      </c>
      <c r="WI1" s="11">
        <f>IF(OR(SwitchTR&lt;&gt;"ON",Universe!$B$305=""),"",Universe!$B$305)</f>
        <v/>
      </c>
      <c r="WK1" s="11">
        <f>IF(OR(SwitchTR&lt;&gt;"ON",Universe!$B$306=""),"",Universe!$B$306)</f>
        <v/>
      </c>
      <c r="WM1" s="11">
        <f>IF(OR(SwitchTR&lt;&gt;"ON",Universe!$B$307=""),"",Universe!$B$307)</f>
        <v/>
      </c>
      <c r="WO1" s="11">
        <f>IF(OR(SwitchTR&lt;&gt;"ON",Universe!$B$308=""),"",Universe!$B$308)</f>
        <v/>
      </c>
      <c r="WQ1" s="11">
        <f>IF(OR(SwitchTR&lt;&gt;"ON",Universe!$B$309=""),"",Universe!$B$309)</f>
        <v/>
      </c>
      <c r="WS1" s="11">
        <f>IF(OR(SwitchTR&lt;&gt;"ON",Universe!$B$310=""),"",Universe!$B$310)</f>
        <v/>
      </c>
      <c r="WU1" s="11">
        <f>IF(OR(SwitchTR&lt;&gt;"ON",Universe!$B$311=""),"",Universe!$B$311)</f>
        <v/>
      </c>
      <c r="WW1" s="11">
        <f>IF(OR(SwitchTR&lt;&gt;"ON",Universe!$B$312=""),"",Universe!$B$312)</f>
        <v/>
      </c>
      <c r="WY1" s="11">
        <f>IF(OR(SwitchTR&lt;&gt;"ON",Universe!$B$313=""),"",Universe!$B$313)</f>
        <v/>
      </c>
      <c r="XA1" s="11">
        <f>IF(OR(SwitchTR&lt;&gt;"ON",Universe!$B$314=""),"",Universe!$B$314)</f>
        <v/>
      </c>
      <c r="XC1" s="11">
        <f>IF(OR(SwitchTR&lt;&gt;"ON",Universe!$B$315=""),"",Universe!$B$315)</f>
        <v/>
      </c>
      <c r="XE1" s="11">
        <f>IF(OR(SwitchTR&lt;&gt;"ON",Universe!$B$316=""),"",Universe!$B$316)</f>
        <v/>
      </c>
      <c r="XG1" s="11">
        <f>IF(OR(SwitchTR&lt;&gt;"ON",Universe!$B$317=""),"",Universe!$B$317)</f>
        <v/>
      </c>
      <c r="XI1" s="11">
        <f>IF(OR(SwitchTR&lt;&gt;"ON",Universe!$B$318=""),"",Universe!$B$318)</f>
        <v/>
      </c>
      <c r="XK1" s="11">
        <f>IF(OR(SwitchTR&lt;&gt;"ON",Universe!$B$319=""),"",Universe!$B$319)</f>
        <v/>
      </c>
      <c r="XM1" s="11">
        <f>IF(OR(SwitchTR&lt;&gt;"ON",Universe!$B$320=""),"",Universe!$B$320)</f>
        <v/>
      </c>
      <c r="XO1" s="11">
        <f>IF(OR(SwitchTR&lt;&gt;"ON",Universe!$B$321=""),"",Universe!$B$321)</f>
        <v/>
      </c>
      <c r="XQ1" s="11">
        <f>IF(OR(SwitchTR&lt;&gt;"ON",Universe!$B$322=""),"",Universe!$B$322)</f>
        <v/>
      </c>
      <c r="XS1" s="11">
        <f>IF(OR(SwitchTR&lt;&gt;"ON",Universe!$B$323=""),"",Universe!$B$323)</f>
        <v/>
      </c>
      <c r="XU1" s="11">
        <f>IF(OR(SwitchTR&lt;&gt;"ON",Universe!$B$324=""),"",Universe!$B$324)</f>
        <v/>
      </c>
      <c r="XW1" s="11">
        <f>IF(OR(SwitchTR&lt;&gt;"ON",Universe!$B$325=""),"",Universe!$B$325)</f>
        <v/>
      </c>
      <c r="XY1" s="11">
        <f>IF(OR(SwitchTR&lt;&gt;"ON",Universe!$B$326=""),"",Universe!$B$326)</f>
        <v/>
      </c>
      <c r="YA1" s="11">
        <f>IF(OR(SwitchTR&lt;&gt;"ON",Universe!$B$327=""),"",Universe!$B$327)</f>
        <v/>
      </c>
      <c r="YC1" s="11">
        <f>IF(OR(SwitchTR&lt;&gt;"ON",Universe!$B$328=""),"",Universe!$B$328)</f>
        <v/>
      </c>
      <c r="YE1" s="11">
        <f>IF(OR(SwitchTR&lt;&gt;"ON",Universe!$B$329=""),"",Universe!$B$329)</f>
        <v/>
      </c>
      <c r="YG1" s="11">
        <f>IF(OR(SwitchTR&lt;&gt;"ON",Universe!$B$330=""),"",Universe!$B$330)</f>
        <v/>
      </c>
      <c r="YI1" s="11">
        <f>IF(OR(SwitchTR&lt;&gt;"ON",Universe!$B$331=""),"",Universe!$B$331)</f>
        <v/>
      </c>
      <c r="YK1" s="11">
        <f>IF(OR(SwitchTR&lt;&gt;"ON",Universe!$B$332=""),"",Universe!$B$332)</f>
        <v/>
      </c>
      <c r="YM1" s="11">
        <f>IF(OR(SwitchTR&lt;&gt;"ON",Universe!$B$333=""),"",Universe!$B$333)</f>
        <v/>
      </c>
      <c r="YO1" s="11">
        <f>IF(OR(SwitchTR&lt;&gt;"ON",Universe!$B$334=""),"",Universe!$B$334)</f>
        <v/>
      </c>
      <c r="YQ1" s="11">
        <f>IF(OR(SwitchTR&lt;&gt;"ON",Universe!$B$335=""),"",Universe!$B$335)</f>
        <v/>
      </c>
      <c r="YS1" s="11">
        <f>IF(OR(SwitchTR&lt;&gt;"ON",Universe!$B$336=""),"",Universe!$B$336)</f>
        <v/>
      </c>
      <c r="YU1" s="11">
        <f>IF(OR(SwitchTR&lt;&gt;"ON",Universe!$B$337=""),"",Universe!$B$337)</f>
        <v/>
      </c>
      <c r="YW1" s="11">
        <f>IF(OR(SwitchTR&lt;&gt;"ON",Universe!$B$338=""),"",Universe!$B$338)</f>
        <v/>
      </c>
      <c r="YY1" s="11">
        <f>IF(OR(SwitchTR&lt;&gt;"ON",Universe!$B$339=""),"",Universe!$B$339)</f>
        <v/>
      </c>
      <c r="ZA1" s="11">
        <f>IF(OR(SwitchTR&lt;&gt;"ON",Universe!$B$340=""),"",Universe!$B$340)</f>
        <v/>
      </c>
      <c r="ZC1" s="11">
        <f>IF(OR(SwitchTR&lt;&gt;"ON",Universe!$B$341=""),"",Universe!$B$341)</f>
        <v/>
      </c>
      <c r="ZE1" s="11">
        <f>IF(OR(SwitchTR&lt;&gt;"ON",Universe!$B$342=""),"",Universe!$B$342)</f>
        <v/>
      </c>
      <c r="ZG1" s="11">
        <f>IF(OR(SwitchTR&lt;&gt;"ON",Universe!$B$343=""),"",Universe!$B$343)</f>
        <v/>
      </c>
      <c r="ZI1" s="11">
        <f>IF(OR(SwitchTR&lt;&gt;"ON",Universe!$B$344=""),"",Universe!$B$344)</f>
        <v/>
      </c>
      <c r="ZK1" s="11">
        <f>IF(OR(SwitchTR&lt;&gt;"ON",Universe!$B$345=""),"",Universe!$B$345)</f>
        <v/>
      </c>
      <c r="ZM1" s="11">
        <f>IF(OR(SwitchTR&lt;&gt;"ON",Universe!$B$346=""),"",Universe!$B$346)</f>
        <v/>
      </c>
      <c r="ZO1" s="11">
        <f>IF(OR(SwitchTR&lt;&gt;"ON",Universe!$B$347=""),"",Universe!$B$347)</f>
        <v/>
      </c>
      <c r="ZQ1" s="11">
        <f>IF(OR(SwitchTR&lt;&gt;"ON",Universe!$B$348=""),"",Universe!$B$348)</f>
        <v/>
      </c>
      <c r="ZS1" s="11">
        <f>IF(OR(SwitchTR&lt;&gt;"ON",Universe!$B$349=""),"",Universe!$B$349)</f>
        <v/>
      </c>
      <c r="ZU1" s="11">
        <f>IF(OR(SwitchTR&lt;&gt;"ON",Universe!$B$350=""),"",Universe!$B$350)</f>
        <v/>
      </c>
      <c r="ZW1" s="11">
        <f>IF(OR(SwitchTR&lt;&gt;"ON",Universe!$B$351=""),"",Universe!$B$351)</f>
        <v/>
      </c>
      <c r="ZY1" s="11">
        <f>IF(OR(SwitchTR&lt;&gt;"ON",Universe!$B$352=""),"",Universe!$B$352)</f>
        <v/>
      </c>
      <c r="AAA1" s="11">
        <f>IF(OR(SwitchTR&lt;&gt;"ON",Universe!$B$353=""),"",Universe!$B$353)</f>
        <v/>
      </c>
      <c r="AAC1" s="11">
        <f>IF(OR(SwitchTR&lt;&gt;"ON",Universe!$B$354=""),"",Universe!$B$354)</f>
        <v/>
      </c>
      <c r="AAE1" s="11">
        <f>IF(OR(SwitchTR&lt;&gt;"ON",Universe!$B$355=""),"",Universe!$B$355)</f>
        <v/>
      </c>
      <c r="AAG1" s="11">
        <f>IF(OR(SwitchTR&lt;&gt;"ON",Universe!$B$356=""),"",Universe!$B$356)</f>
        <v/>
      </c>
      <c r="AAI1" s="11">
        <f>IF(OR(SwitchTR&lt;&gt;"ON",Universe!$B$357=""),"",Universe!$B$357)</f>
        <v/>
      </c>
      <c r="AAK1" s="11">
        <f>IF(OR(SwitchTR&lt;&gt;"ON",Universe!$B$358=""),"",Universe!$B$358)</f>
        <v/>
      </c>
      <c r="AAM1" s="11">
        <f>IF(OR(SwitchTR&lt;&gt;"ON",Universe!$B$359=""),"",Universe!$B$359)</f>
        <v/>
      </c>
      <c r="AAO1" s="11">
        <f>IF(OR(SwitchTR&lt;&gt;"ON",Universe!$B$360=""),"",Universe!$B$360)</f>
        <v/>
      </c>
      <c r="AAQ1" s="11">
        <f>IF(OR(SwitchTR&lt;&gt;"ON",Universe!$B$361=""),"",Universe!$B$361)</f>
        <v/>
      </c>
      <c r="AAS1" s="11">
        <f>IF(OR(SwitchTR&lt;&gt;"ON",Universe!$B$362=""),"",Universe!$B$362)</f>
        <v/>
      </c>
      <c r="AAU1" s="11">
        <f>IF(OR(SwitchTR&lt;&gt;"ON",Universe!$B$363=""),"",Universe!$B$363)</f>
        <v/>
      </c>
      <c r="AAW1" s="11">
        <f>IF(OR(SwitchTR&lt;&gt;"ON",Universe!$B$364=""),"",Universe!$B$364)</f>
        <v/>
      </c>
      <c r="AAY1" s="11">
        <f>IF(OR(SwitchTR&lt;&gt;"ON",Universe!$B$365=""),"",Universe!$B$365)</f>
        <v/>
      </c>
      <c r="ABA1" s="11">
        <f>IF(OR(SwitchTR&lt;&gt;"ON",Universe!$B$366=""),"",Universe!$B$366)</f>
        <v/>
      </c>
      <c r="ABC1" s="11">
        <f>IF(OR(SwitchTR&lt;&gt;"ON",Universe!$B$367=""),"",Universe!$B$367)</f>
        <v/>
      </c>
      <c r="ABE1" s="11">
        <f>IF(OR(SwitchTR&lt;&gt;"ON",Universe!$B$368=""),"",Universe!$B$368)</f>
        <v/>
      </c>
      <c r="ABG1" s="11">
        <f>IF(OR(SwitchTR&lt;&gt;"ON",Universe!$B$369=""),"",Universe!$B$369)</f>
        <v/>
      </c>
      <c r="ABI1" s="11">
        <f>IF(OR(SwitchTR&lt;&gt;"ON",Universe!$B$370=""),"",Universe!$B$370)</f>
        <v/>
      </c>
      <c r="ABK1" s="11">
        <f>IF(OR(SwitchTR&lt;&gt;"ON",Universe!$B$371=""),"",Universe!$B$371)</f>
        <v/>
      </c>
      <c r="ABM1" s="11">
        <f>IF(OR(SwitchTR&lt;&gt;"ON",Universe!$B$372=""),"",Universe!$B$372)</f>
        <v/>
      </c>
      <c r="ABO1" s="11">
        <f>IF(OR(SwitchTR&lt;&gt;"ON",Universe!$B$373=""),"",Universe!$B$373)</f>
        <v/>
      </c>
      <c r="ABQ1" s="11">
        <f>IF(OR(SwitchTR&lt;&gt;"ON",Universe!$B$374=""),"",Universe!$B$374)</f>
        <v/>
      </c>
      <c r="ABS1" s="11">
        <f>IF(OR(SwitchTR&lt;&gt;"ON",Universe!$B$375=""),"",Universe!$B$375)</f>
        <v/>
      </c>
      <c r="ABU1" s="11">
        <f>IF(OR(SwitchTR&lt;&gt;"ON",Universe!$B$376=""),"",Universe!$B$376)</f>
        <v/>
      </c>
      <c r="ABW1" s="11">
        <f>IF(OR(SwitchTR&lt;&gt;"ON",Universe!$B$377=""),"",Universe!$B$377)</f>
        <v/>
      </c>
      <c r="ABY1" s="11">
        <f>IF(OR(SwitchTR&lt;&gt;"ON",Universe!$B$378=""),"",Universe!$B$378)</f>
        <v/>
      </c>
      <c r="ACA1" s="11">
        <f>IF(OR(SwitchTR&lt;&gt;"ON",Universe!$B$379=""),"",Universe!$B$379)</f>
        <v/>
      </c>
      <c r="ACC1" s="11">
        <f>IF(OR(SwitchTR&lt;&gt;"ON",Universe!$B$380=""),"",Universe!$B$380)</f>
        <v/>
      </c>
      <c r="ACE1" s="11">
        <f>IF(OR(SwitchTR&lt;&gt;"ON",Universe!$B$381=""),"",Universe!$B$381)</f>
        <v/>
      </c>
      <c r="ACG1" s="11">
        <f>IF(OR(SwitchTR&lt;&gt;"ON",Universe!$B$382=""),"",Universe!$B$382)</f>
        <v/>
      </c>
      <c r="ACI1" s="11">
        <f>IF(OR(SwitchTR&lt;&gt;"ON",Universe!$B$383=""),"",Universe!$B$383)</f>
        <v/>
      </c>
      <c r="ACK1" s="11">
        <f>IF(OR(SwitchTR&lt;&gt;"ON",Universe!$B$384=""),"",Universe!$B$384)</f>
        <v/>
      </c>
      <c r="ACM1" s="11">
        <f>IF(OR(SwitchTR&lt;&gt;"ON",Universe!$B$385=""),"",Universe!$B$385)</f>
        <v/>
      </c>
      <c r="ACO1" s="11">
        <f>IF(OR(SwitchTR&lt;&gt;"ON",Universe!$B$386=""),"",Universe!$B$386)</f>
        <v/>
      </c>
      <c r="ACQ1" s="11">
        <f>IF(OR(SwitchTR&lt;&gt;"ON",Universe!$B$387=""),"",Universe!$B$387)</f>
        <v/>
      </c>
      <c r="ACS1" s="11">
        <f>IF(OR(SwitchTR&lt;&gt;"ON",Universe!$B$388=""),"",Universe!$B$388)</f>
        <v/>
      </c>
      <c r="ACU1" s="11">
        <f>IF(OR(SwitchTR&lt;&gt;"ON",Universe!$B$389=""),"",Universe!$B$389)</f>
        <v/>
      </c>
      <c r="ACW1" s="11">
        <f>IF(OR(SwitchTR&lt;&gt;"ON",Universe!$B$390=""),"",Universe!$B$390)</f>
        <v/>
      </c>
      <c r="ACY1" s="11">
        <f>IF(OR(SwitchTR&lt;&gt;"ON",Universe!$B$391=""),"",Universe!$B$391)</f>
        <v/>
      </c>
      <c r="ADA1" s="11">
        <f>IF(OR(SwitchTR&lt;&gt;"ON",Universe!$B$392=""),"",Universe!$B$392)</f>
        <v/>
      </c>
      <c r="ADC1" s="11">
        <f>IF(OR(SwitchTR&lt;&gt;"ON",Universe!$B$393=""),"",Universe!$B$393)</f>
        <v/>
      </c>
      <c r="ADE1" s="11">
        <f>IF(OR(SwitchTR&lt;&gt;"ON",Universe!$B$394=""),"",Universe!$B$394)</f>
        <v/>
      </c>
      <c r="ADG1" s="11">
        <f>IF(OR(SwitchTR&lt;&gt;"ON",Universe!$B$395=""),"",Universe!$B$395)</f>
        <v/>
      </c>
      <c r="ADI1" s="11">
        <f>IF(OR(SwitchTR&lt;&gt;"ON",Universe!$B$396=""),"",Universe!$B$396)</f>
        <v/>
      </c>
      <c r="ADK1" s="11">
        <f>IF(OR(SwitchTR&lt;&gt;"ON",Universe!$B$397=""),"",Universe!$B$397)</f>
        <v/>
      </c>
      <c r="ADM1" s="11">
        <f>IF(OR(SwitchTR&lt;&gt;"ON",Universe!$B$398=""),"",Universe!$B$398)</f>
        <v/>
      </c>
      <c r="ADO1" s="11">
        <f>IF(OR(SwitchTR&lt;&gt;"ON",Universe!$B$399=""),"",Universe!$B$399)</f>
        <v/>
      </c>
      <c r="ADQ1" s="11">
        <f>IF(OR(SwitchTR&lt;&gt;"ON",Universe!$B$400=""),"",Universe!$B$400)</f>
        <v/>
      </c>
      <c r="ADS1" s="11">
        <f>IF(OR(SwitchTR&lt;&gt;"ON",Universe!$B$401=""),"",Universe!$B$401)</f>
        <v/>
      </c>
      <c r="ADU1" s="11">
        <f>IF(OR(SwitchTR&lt;&gt;"ON",Universe!$B$402=""),"",Universe!$B$402)</f>
        <v/>
      </c>
      <c r="ADW1" s="11">
        <f>IF(OR(SwitchTR&lt;&gt;"ON",Universe!$B$403=""),"",Universe!$B$403)</f>
        <v/>
      </c>
      <c r="ADY1" s="11">
        <f>IF(OR(SwitchTR&lt;&gt;"ON",Universe!$B$404=""),"",Universe!$B$404)</f>
        <v/>
      </c>
      <c r="AEA1" s="11">
        <f>IF(OR(SwitchTR&lt;&gt;"ON",Universe!$B$405=""),"",Universe!$B$405)</f>
        <v/>
      </c>
      <c r="AEC1" s="11">
        <f>IF(OR(SwitchTR&lt;&gt;"ON",Universe!$B$406=""),"",Universe!$B$406)</f>
        <v/>
      </c>
      <c r="AEE1" s="11">
        <f>IF(OR(SwitchTR&lt;&gt;"ON",Universe!$B$407=""),"",Universe!$B$407)</f>
        <v/>
      </c>
      <c r="AEG1" s="11">
        <f>IF(OR(SwitchTR&lt;&gt;"ON",Universe!$B$408=""),"",Universe!$B$408)</f>
        <v/>
      </c>
      <c r="AEI1" s="11">
        <f>IF(OR(SwitchTR&lt;&gt;"ON",Universe!$B$409=""),"",Universe!$B$409)</f>
        <v/>
      </c>
      <c r="AEK1" s="11">
        <f>IF(OR(SwitchTR&lt;&gt;"ON",Universe!$B$410=""),"",Universe!$B$410)</f>
        <v/>
      </c>
      <c r="AEM1" s="11">
        <f>IF(OR(SwitchTR&lt;&gt;"ON",Universe!$B$411=""),"",Universe!$B$411)</f>
        <v/>
      </c>
      <c r="AEO1" s="11">
        <f>IF(OR(SwitchTR&lt;&gt;"ON",Universe!$B$412=""),"",Universe!$B$412)</f>
        <v/>
      </c>
      <c r="AEQ1" s="11">
        <f>IF(OR(SwitchTR&lt;&gt;"ON",Universe!$B$413=""),"",Universe!$B$413)</f>
        <v/>
      </c>
      <c r="AES1" s="11">
        <f>IF(OR(SwitchTR&lt;&gt;"ON",Universe!$B$414=""),"",Universe!$B$414)</f>
        <v/>
      </c>
      <c r="AEU1" s="11">
        <f>IF(OR(SwitchTR&lt;&gt;"ON",Universe!$B$415=""),"",Universe!$B$415)</f>
        <v/>
      </c>
      <c r="AEW1" s="11">
        <f>IF(OR(SwitchTR&lt;&gt;"ON",Universe!$B$416=""),"",Universe!$B$416)</f>
        <v/>
      </c>
      <c r="AEY1" s="11">
        <f>IF(OR(SwitchTR&lt;&gt;"ON",Universe!$B$417=""),"",Universe!$B$417)</f>
        <v/>
      </c>
      <c r="AFA1" s="11">
        <f>IF(OR(SwitchTR&lt;&gt;"ON",Universe!$B$418=""),"",Universe!$B$418)</f>
        <v/>
      </c>
      <c r="AFC1" s="11">
        <f>IF(OR(SwitchTR&lt;&gt;"ON",Universe!$B$419=""),"",Universe!$B$419)</f>
        <v/>
      </c>
      <c r="AFE1" s="11">
        <f>IF(OR(SwitchTR&lt;&gt;"ON",Universe!$B$420=""),"",Universe!$B$420)</f>
        <v/>
      </c>
      <c r="AFG1" s="11">
        <f>IF(OR(SwitchTR&lt;&gt;"ON",Universe!$B$421=""),"",Universe!$B$421)</f>
        <v/>
      </c>
      <c r="AFI1" s="11">
        <f>IF(OR(SwitchTR&lt;&gt;"ON",Universe!$B$422=""),"",Universe!$B$422)</f>
        <v/>
      </c>
      <c r="AFK1" s="11">
        <f>IF(OR(SwitchTR&lt;&gt;"ON",Universe!$B$423=""),"",Universe!$B$423)</f>
        <v/>
      </c>
      <c r="AFM1" s="11">
        <f>IF(OR(SwitchTR&lt;&gt;"ON",Universe!$B$424=""),"",Universe!$B$424)</f>
        <v/>
      </c>
      <c r="AFO1" s="11">
        <f>IF(OR(SwitchTR&lt;&gt;"ON",Universe!$B$425=""),"",Universe!$B$425)</f>
        <v/>
      </c>
      <c r="AFQ1" s="11">
        <f>IF(OR(SwitchTR&lt;&gt;"ON",Universe!$B$426=""),"",Universe!$B$426)</f>
        <v/>
      </c>
      <c r="AFS1" s="11">
        <f>IF(OR(SwitchTR&lt;&gt;"ON",Universe!$B$427=""),"",Universe!$B$427)</f>
        <v/>
      </c>
      <c r="AFU1" s="11">
        <f>IF(OR(SwitchTR&lt;&gt;"ON",Universe!$B$428=""),"",Universe!$B$428)</f>
        <v/>
      </c>
      <c r="AFW1" s="11">
        <f>IF(OR(SwitchTR&lt;&gt;"ON",Universe!$B$429=""),"",Universe!$B$429)</f>
        <v/>
      </c>
      <c r="AFY1" s="11">
        <f>IF(OR(SwitchTR&lt;&gt;"ON",Universe!$B$430=""),"",Universe!$B$430)</f>
        <v/>
      </c>
      <c r="AGA1" s="11">
        <f>IF(OR(SwitchTR&lt;&gt;"ON",Universe!$B$431=""),"",Universe!$B$431)</f>
        <v/>
      </c>
      <c r="AGC1" s="11">
        <f>IF(OR(SwitchTR&lt;&gt;"ON",Universe!$B$432=""),"",Universe!$B$432)</f>
        <v/>
      </c>
      <c r="AGE1" s="11">
        <f>IF(OR(SwitchTR&lt;&gt;"ON",Universe!$B$433=""),"",Universe!$B$433)</f>
        <v/>
      </c>
      <c r="AGG1" s="11">
        <f>IF(OR(SwitchTR&lt;&gt;"ON",Universe!$B$434=""),"",Universe!$B$434)</f>
        <v/>
      </c>
      <c r="AGI1" s="11">
        <f>IF(OR(SwitchTR&lt;&gt;"ON",Universe!$B$435=""),"",Universe!$B$435)</f>
        <v/>
      </c>
      <c r="AGK1" s="11">
        <f>IF(OR(SwitchTR&lt;&gt;"ON",Universe!$B$436=""),"",Universe!$B$436)</f>
        <v/>
      </c>
      <c r="AGM1" s="11">
        <f>IF(OR(SwitchTR&lt;&gt;"ON",Universe!$B$437=""),"",Universe!$B$437)</f>
        <v/>
      </c>
      <c r="AGO1" s="11">
        <f>IF(OR(SwitchTR&lt;&gt;"ON",Universe!$B$438=""),"",Universe!$B$438)</f>
        <v/>
      </c>
      <c r="AGQ1" s="11">
        <f>IF(OR(SwitchTR&lt;&gt;"ON",Universe!$B$439=""),"",Universe!$B$439)</f>
        <v/>
      </c>
      <c r="AGS1" s="11">
        <f>IF(OR(SwitchTR&lt;&gt;"ON",Universe!$B$440=""),"",Universe!$B$440)</f>
        <v/>
      </c>
      <c r="AGU1" s="11">
        <f>IF(OR(SwitchTR&lt;&gt;"ON",Universe!$B$441=""),"",Universe!$B$441)</f>
        <v/>
      </c>
      <c r="AGW1" s="11">
        <f>IF(OR(SwitchTR&lt;&gt;"ON",Universe!$B$442=""),"",Universe!$B$442)</f>
        <v/>
      </c>
      <c r="AGY1" s="11">
        <f>IF(OR(SwitchTR&lt;&gt;"ON",Universe!$B$443=""),"",Universe!$B$443)</f>
        <v/>
      </c>
      <c r="AHA1" s="11">
        <f>IF(OR(SwitchTR&lt;&gt;"ON",Universe!$B$444=""),"",Universe!$B$444)</f>
        <v/>
      </c>
      <c r="AHC1" s="11">
        <f>IF(OR(SwitchTR&lt;&gt;"ON",Universe!$B$445=""),"",Universe!$B$445)</f>
        <v/>
      </c>
      <c r="AHE1" s="11">
        <f>IF(OR(SwitchTR&lt;&gt;"ON",Universe!$B$446=""),"",Universe!$B$446)</f>
        <v/>
      </c>
      <c r="AHG1" s="11">
        <f>IF(OR(SwitchTR&lt;&gt;"ON",Universe!$B$447=""),"",Universe!$B$447)</f>
        <v/>
      </c>
      <c r="AHI1" s="11">
        <f>IF(OR(SwitchTR&lt;&gt;"ON",Universe!$B$448=""),"",Universe!$B$448)</f>
        <v/>
      </c>
      <c r="AHK1" s="11">
        <f>IF(OR(SwitchTR&lt;&gt;"ON",Universe!$B$449=""),"",Universe!$B$449)</f>
        <v/>
      </c>
      <c r="AHM1" s="11">
        <f>IF(OR(SwitchTR&lt;&gt;"ON",Universe!$B$450=""),"",Universe!$B$450)</f>
        <v/>
      </c>
      <c r="AHO1" s="11">
        <f>IF(OR(SwitchTR&lt;&gt;"ON",Universe!$B$451=""),"",Universe!$B$451)</f>
        <v/>
      </c>
      <c r="AHQ1" s="11">
        <f>IF(OR(SwitchTR&lt;&gt;"ON",Universe!$B$452=""),"",Universe!$B$452)</f>
        <v/>
      </c>
      <c r="AHS1" s="11">
        <f>IF(OR(SwitchTR&lt;&gt;"ON",Universe!$B$453=""),"",Universe!$B$453)</f>
        <v/>
      </c>
      <c r="AHU1" s="11">
        <f>IF(OR(SwitchTR&lt;&gt;"ON",Universe!$B$454=""),"",Universe!$B$454)</f>
        <v/>
      </c>
      <c r="AHW1" s="11">
        <f>IF(OR(SwitchTR&lt;&gt;"ON",Universe!$B$455=""),"",Universe!$B$455)</f>
        <v/>
      </c>
      <c r="AHY1" s="11">
        <f>IF(OR(SwitchTR&lt;&gt;"ON",Universe!$B$456=""),"",Universe!$B$456)</f>
        <v/>
      </c>
      <c r="AIA1" s="11">
        <f>IF(OR(SwitchTR&lt;&gt;"ON",Universe!$B$457=""),"",Universe!$B$457)</f>
        <v/>
      </c>
      <c r="AIC1" s="11">
        <f>IF(OR(SwitchTR&lt;&gt;"ON",Universe!$B$458=""),"",Universe!$B$458)</f>
        <v/>
      </c>
      <c r="AIE1" s="11">
        <f>IF(OR(SwitchTR&lt;&gt;"ON",Universe!$B$459=""),"",Universe!$B$459)</f>
        <v/>
      </c>
      <c r="AIG1" s="11">
        <f>IF(OR(SwitchTR&lt;&gt;"ON",Universe!$B$460=""),"",Universe!$B$460)</f>
        <v/>
      </c>
      <c r="AII1" s="11">
        <f>IF(OR(SwitchTR&lt;&gt;"ON",Universe!$B$461=""),"",Universe!$B$461)</f>
        <v/>
      </c>
      <c r="AIK1" s="11">
        <f>IF(OR(SwitchTR&lt;&gt;"ON",Universe!$B$462=""),"",Universe!$B$462)</f>
        <v/>
      </c>
      <c r="AIM1" s="11">
        <f>IF(OR(SwitchTR&lt;&gt;"ON",Universe!$B$463=""),"",Universe!$B$463)</f>
        <v/>
      </c>
      <c r="AIO1" s="11">
        <f>IF(OR(SwitchTR&lt;&gt;"ON",Universe!$B$464=""),"",Universe!$B$464)</f>
        <v/>
      </c>
      <c r="AIQ1" s="11">
        <f>IF(OR(SwitchTR&lt;&gt;"ON",Universe!$B$465=""),"",Universe!$B$465)</f>
        <v/>
      </c>
      <c r="AIS1" s="11">
        <f>IF(OR(SwitchTR&lt;&gt;"ON",Universe!$B$466=""),"",Universe!$B$466)</f>
        <v/>
      </c>
      <c r="AIU1" s="11">
        <f>IF(OR(SwitchTR&lt;&gt;"ON",Universe!$B$467=""),"",Universe!$B$467)</f>
        <v/>
      </c>
      <c r="AIW1" s="11">
        <f>IF(OR(SwitchTR&lt;&gt;"ON",Universe!$B$468=""),"",Universe!$B$468)</f>
        <v/>
      </c>
      <c r="AIY1" s="11">
        <f>IF(OR(SwitchTR&lt;&gt;"ON",Universe!$B$469=""),"",Universe!$B$469)</f>
        <v/>
      </c>
      <c r="AJA1" s="11">
        <f>IF(OR(SwitchTR&lt;&gt;"ON",Universe!$B$470=""),"",Universe!$B$470)</f>
        <v/>
      </c>
      <c r="AJC1" s="11">
        <f>IF(OR(SwitchTR&lt;&gt;"ON",Universe!$B$471=""),"",Universe!$B$471)</f>
        <v/>
      </c>
      <c r="AJE1" s="11">
        <f>IF(OR(SwitchTR&lt;&gt;"ON",Universe!$B$472=""),"",Universe!$B$472)</f>
        <v/>
      </c>
      <c r="AJG1" s="11">
        <f>IF(OR(SwitchTR&lt;&gt;"ON",Universe!$B$473=""),"",Universe!$B$473)</f>
        <v/>
      </c>
      <c r="AJI1" s="11">
        <f>IF(OR(SwitchTR&lt;&gt;"ON",Universe!$B$474=""),"",Universe!$B$474)</f>
        <v/>
      </c>
      <c r="AJK1" s="11">
        <f>IF(OR(SwitchTR&lt;&gt;"ON",Universe!$B$475=""),"",Universe!$B$475)</f>
        <v/>
      </c>
      <c r="AJM1" s="11">
        <f>IF(OR(SwitchTR&lt;&gt;"ON",Universe!$B$476=""),"",Universe!$B$476)</f>
        <v/>
      </c>
      <c r="AJO1" s="11">
        <f>IF(OR(SwitchTR&lt;&gt;"ON",Universe!$B$477=""),"",Universe!$B$477)</f>
        <v/>
      </c>
      <c r="AJQ1" s="11">
        <f>IF(OR(SwitchTR&lt;&gt;"ON",Universe!$B$478=""),"",Universe!$B$478)</f>
        <v/>
      </c>
      <c r="AJS1" s="11">
        <f>IF(OR(SwitchTR&lt;&gt;"ON",Universe!$B$479=""),"",Universe!$B$479)</f>
        <v/>
      </c>
      <c r="AJU1" s="11">
        <f>IF(OR(SwitchTR&lt;&gt;"ON",Universe!$B$480=""),"",Universe!$B$480)</f>
        <v/>
      </c>
      <c r="AJW1" s="11">
        <f>IF(OR(SwitchTR&lt;&gt;"ON",Universe!$B$481=""),"",Universe!$B$481)</f>
        <v/>
      </c>
      <c r="AJY1" s="11">
        <f>IF(OR(SwitchTR&lt;&gt;"ON",Universe!$B$482=""),"",Universe!$B$482)</f>
        <v/>
      </c>
      <c r="AKA1" s="11">
        <f>IF(OR(SwitchTR&lt;&gt;"ON",Universe!$B$483=""),"",Universe!$B$483)</f>
        <v/>
      </c>
      <c r="AKC1" s="11">
        <f>IF(OR(SwitchTR&lt;&gt;"ON",Universe!$B$484=""),"",Universe!$B$484)</f>
        <v/>
      </c>
      <c r="AKE1" s="11">
        <f>IF(OR(SwitchTR&lt;&gt;"ON",Universe!$B$485=""),"",Universe!$B$485)</f>
        <v/>
      </c>
      <c r="AKG1" s="11">
        <f>IF(OR(SwitchTR&lt;&gt;"ON",Universe!$B$486=""),"",Universe!$B$486)</f>
        <v/>
      </c>
      <c r="AKI1" s="11">
        <f>IF(OR(SwitchTR&lt;&gt;"ON",Universe!$B$487=""),"",Universe!$B$487)</f>
        <v/>
      </c>
      <c r="AKK1" s="11">
        <f>IF(OR(SwitchTR&lt;&gt;"ON",Universe!$B$488=""),"",Universe!$B$488)</f>
        <v/>
      </c>
      <c r="AKM1" s="11">
        <f>IF(OR(SwitchTR&lt;&gt;"ON",Universe!$B$489=""),"",Universe!$B$489)</f>
        <v/>
      </c>
      <c r="AKO1" s="11">
        <f>IF(OR(SwitchTR&lt;&gt;"ON",Universe!$B$490=""),"",Universe!$B$490)</f>
        <v/>
      </c>
      <c r="AKQ1" s="11">
        <f>IF(OR(SwitchTR&lt;&gt;"ON",Universe!$B$491=""),"",Universe!$B$491)</f>
        <v/>
      </c>
      <c r="AKS1" s="11">
        <f>IF(OR(SwitchTR&lt;&gt;"ON",Universe!$B$492=""),"",Universe!$B$492)</f>
        <v/>
      </c>
      <c r="AKU1" s="11">
        <f>IF(OR(SwitchTR&lt;&gt;"ON",Universe!$B$493=""),"",Universe!$B$493)</f>
        <v/>
      </c>
      <c r="AKW1" s="11">
        <f>IF(OR(SwitchTR&lt;&gt;"ON",Universe!$B$494=""),"",Universe!$B$494)</f>
        <v/>
      </c>
      <c r="AKY1" s="11">
        <f>IF(OR(SwitchTR&lt;&gt;"ON",Universe!$B$495=""),"",Universe!$B$495)</f>
        <v/>
      </c>
      <c r="ALA1" s="11">
        <f>IF(OR(SwitchTR&lt;&gt;"ON",Universe!$B$496=""),"",Universe!$B$496)</f>
        <v/>
      </c>
      <c r="ALC1" s="11">
        <f>IF(OR(SwitchTR&lt;&gt;"ON",Universe!$B$497=""),"",Universe!$B$497)</f>
        <v/>
      </c>
      <c r="ALE1" s="11">
        <f>IF(OR(SwitchTR&lt;&gt;"ON",Universe!$B$498=""),"",Universe!$B$498)</f>
        <v/>
      </c>
      <c r="ALG1" s="11">
        <f>IF(OR(SwitchTR&lt;&gt;"ON",Universe!$B$499=""),"",Universe!$B$499)</f>
        <v/>
      </c>
      <c r="ALI1" s="11">
        <f>IF(OR(SwitchTR&lt;&gt;"ON",Universe!$B$500=""),"",Universe!$B$500)</f>
        <v/>
      </c>
      <c r="ALK1" s="11">
        <f>IF(OR(SwitchTR&lt;&gt;"ON",Universe!$B$501=""),"",Universe!$B$501)</f>
        <v/>
      </c>
      <c r="ALM1" s="11">
        <f>IF(OR(SwitchTR&lt;&gt;"ON",Universe!$B$502=""),"",Universe!$B$502)</f>
        <v/>
      </c>
      <c r="ALO1" s="11">
        <f>IF(OR(SwitchTR&lt;&gt;"ON",Universe!$B$503=""),"",Universe!$B$503)</f>
        <v/>
      </c>
      <c r="ALQ1" s="11">
        <f>IF(OR(SwitchTR&lt;&gt;"ON",Universe!$B$504=""),"",Universe!$B$504)</f>
        <v/>
      </c>
      <c r="ALS1" s="11">
        <f>IF(OR(SwitchTR&lt;&gt;"ON",Universe!$B$505=""),"",Universe!$B$505)</f>
        <v/>
      </c>
      <c r="ALU1" s="11">
        <f>IF(OR(SwitchTR&lt;&gt;"ON",Universe!$B$506=""),"",Universe!$B$506)</f>
        <v/>
      </c>
      <c r="ALW1" s="11">
        <f>IF(OR(SwitchTR&lt;&gt;"ON",Universe!$B$507=""),"",Universe!$B$507)</f>
        <v/>
      </c>
      <c r="ALY1" s="11">
        <f>IF(OR(SwitchTR&lt;&gt;"ON",Universe!$B$508=""),"",Universe!$B$508)</f>
        <v/>
      </c>
      <c r="AMA1" s="11">
        <f>IF(OR(SwitchTR&lt;&gt;"ON",Universe!$B$509=""),"",Universe!$B$509)</f>
        <v/>
      </c>
      <c r="AMC1" s="11">
        <f>IF(OR(SwitchTR&lt;&gt;"ON",Universe!$B$510=""),"",Universe!$B$510)</f>
        <v/>
      </c>
      <c r="AME1" s="11">
        <f>IF(OR(SwitchTR&lt;&gt;"ON",Universe!$B$511=""),"",Universe!$B$511)</f>
        <v/>
      </c>
      <c r="AMG1" s="11">
        <f>IF(OR(SwitchTR&lt;&gt;"ON",Universe!$B$512=""),"",Universe!$B$512)</f>
        <v/>
      </c>
      <c r="AMI1" s="11">
        <f>IF(OR(SwitchTR&lt;&gt;"ON",Universe!$B$513=""),"",Universe!$B$513)</f>
        <v/>
      </c>
      <c r="AMK1" s="11">
        <f>IF(OR(SwitchTR&lt;&gt;"ON",Universe!$B$514=""),"",Universe!$B$514)</f>
        <v/>
      </c>
      <c r="AMM1" s="11">
        <f>IF(OR(SwitchTR&lt;&gt;"ON",Universe!$B$515=""),"",Universe!$B$515)</f>
        <v/>
      </c>
      <c r="AMO1" s="11">
        <f>IF(OR(SwitchTR&lt;&gt;"ON",Universe!$B$516=""),"",Universe!$B$516)</f>
        <v/>
      </c>
      <c r="AMQ1" s="11">
        <f>IF(OR(SwitchTR&lt;&gt;"ON",Universe!$B$517=""),"",Universe!$B$517)</f>
        <v/>
      </c>
      <c r="AMS1" s="11">
        <f>IF(OR(SwitchTR&lt;&gt;"ON",Universe!$B$518=""),"",Universe!$B$518)</f>
        <v/>
      </c>
      <c r="AMU1" s="11">
        <f>IF(OR(SwitchTR&lt;&gt;"ON",Universe!$B$519=""),"",Universe!$B$519)</f>
        <v/>
      </c>
      <c r="AMW1" s="11">
        <f>IF(OR(SwitchTR&lt;&gt;"ON",Universe!$B$520=""),"",Universe!$B$520)</f>
        <v/>
      </c>
      <c r="AMY1" s="11">
        <f>IF(OR(SwitchTR&lt;&gt;"ON",Universe!$B$521=""),"",Universe!$B$521)</f>
        <v/>
      </c>
      <c r="ANA1" s="11">
        <f>IF(OR(SwitchTR&lt;&gt;"ON",Universe!$B$522=""),"",Universe!$B$522)</f>
        <v/>
      </c>
      <c r="ANC1" s="11">
        <f>IF(OR(SwitchTR&lt;&gt;"ON",Universe!$B$523=""),"",Universe!$B$523)</f>
        <v/>
      </c>
      <c r="ANE1" s="11">
        <f>IF(OR(SwitchTR&lt;&gt;"ON",Universe!$B$524=""),"",Universe!$B$524)</f>
        <v/>
      </c>
      <c r="ANG1" s="11">
        <f>IF(OR(SwitchTR&lt;&gt;"ON",Universe!$B$525=""),"",Universe!$B$525)</f>
        <v/>
      </c>
      <c r="ANI1" s="11">
        <f>IF(OR(SwitchTR&lt;&gt;"ON",Universe!$B$526=""),"",Universe!$B$526)</f>
        <v/>
      </c>
      <c r="ANK1" s="11">
        <f>IF(OR(SwitchTR&lt;&gt;"ON",Universe!$B$527=""),"",Universe!$B$527)</f>
        <v/>
      </c>
      <c r="ANM1" s="11">
        <f>IF(OR(SwitchTR&lt;&gt;"ON",Universe!$B$528=""),"",Universe!$B$528)</f>
        <v/>
      </c>
      <c r="ANO1" s="11">
        <f>IF(OR(SwitchTR&lt;&gt;"ON",Universe!$B$529=""),"",Universe!$B$529)</f>
        <v/>
      </c>
      <c r="ANQ1" s="11">
        <f>IF(OR(SwitchTR&lt;&gt;"ON",Universe!$B$530=""),"",Universe!$B$530)</f>
        <v/>
      </c>
      <c r="ANS1" s="11">
        <f>IF(OR(SwitchTR&lt;&gt;"ON",Universe!$B$531=""),"",Universe!$B$531)</f>
        <v/>
      </c>
      <c r="ANU1" s="11">
        <f>IF(OR(SwitchTR&lt;&gt;"ON",Universe!$B$532=""),"",Universe!$B$532)</f>
        <v/>
      </c>
      <c r="ANW1" s="11">
        <f>IF(OR(SwitchTR&lt;&gt;"ON",Universe!$B$533=""),"",Universe!$B$533)</f>
        <v/>
      </c>
      <c r="ANY1" s="11">
        <f>IF(OR(SwitchTR&lt;&gt;"ON",Universe!$B$534=""),"",Universe!$B$534)</f>
        <v/>
      </c>
      <c r="AOA1" s="11">
        <f>IF(OR(SwitchTR&lt;&gt;"ON",Universe!$B$535=""),"",Universe!$B$535)</f>
        <v/>
      </c>
      <c r="AOC1" s="11">
        <f>IF(OR(SwitchTR&lt;&gt;"ON",Universe!$B$536=""),"",Universe!$B$536)</f>
        <v/>
      </c>
      <c r="AOE1" s="11">
        <f>IF(OR(SwitchTR&lt;&gt;"ON",Universe!$B$537=""),"",Universe!$B$537)</f>
        <v/>
      </c>
      <c r="AOG1" s="11">
        <f>IF(OR(SwitchTR&lt;&gt;"ON",Universe!$B$538=""),"",Universe!$B$538)</f>
        <v/>
      </c>
      <c r="AOI1" s="11">
        <f>IF(OR(SwitchTR&lt;&gt;"ON",Universe!$B$539=""),"",Universe!$B$539)</f>
        <v/>
      </c>
      <c r="AOK1" s="11">
        <f>IF(OR(SwitchTR&lt;&gt;"ON",Universe!$B$540=""),"",Universe!$B$540)</f>
        <v/>
      </c>
      <c r="AOM1" s="11">
        <f>IF(OR(SwitchTR&lt;&gt;"ON",Universe!$B$541=""),"",Universe!$B$541)</f>
        <v/>
      </c>
      <c r="AOO1" s="11">
        <f>IF(OR(SwitchTR&lt;&gt;"ON",Universe!$B$542=""),"",Universe!$B$542)</f>
        <v/>
      </c>
      <c r="AOQ1" s="11">
        <f>IF(OR(SwitchTR&lt;&gt;"ON",Universe!$B$543=""),"",Universe!$B$543)</f>
        <v/>
      </c>
      <c r="AOS1" s="11">
        <f>IF(OR(SwitchTR&lt;&gt;"ON",Universe!$B$544=""),"",Universe!$B$544)</f>
        <v/>
      </c>
      <c r="AOU1" s="11">
        <f>IF(OR(SwitchTR&lt;&gt;"ON",Universe!$B$545=""),"",Universe!$B$545)</f>
        <v/>
      </c>
      <c r="AOW1" s="11">
        <f>IF(OR(SwitchTR&lt;&gt;"ON",Universe!$B$546=""),"",Universe!$B$546)</f>
        <v/>
      </c>
      <c r="AOY1" s="11">
        <f>IF(OR(SwitchTR&lt;&gt;"ON",Universe!$B$547=""),"",Universe!$B$547)</f>
        <v/>
      </c>
      <c r="APA1" s="11">
        <f>IF(OR(SwitchTR&lt;&gt;"ON",Universe!$B$548=""),"",Universe!$B$548)</f>
        <v/>
      </c>
      <c r="APC1" s="11">
        <f>IF(OR(SwitchTR&lt;&gt;"ON",Universe!$B$549=""),"",Universe!$B$549)</f>
        <v/>
      </c>
      <c r="APE1" s="11">
        <f>IF(OR(SwitchTR&lt;&gt;"ON",Universe!$B$550=""),"",Universe!$B$550)</f>
        <v/>
      </c>
      <c r="APG1" s="11">
        <f>IF(OR(SwitchTR&lt;&gt;"ON",Universe!$B$551=""),"",Universe!$B$551)</f>
        <v/>
      </c>
      <c r="API1" s="11">
        <f>IF(OR(SwitchTR&lt;&gt;"ON",Universe!$B$552=""),"",Universe!$B$552)</f>
        <v/>
      </c>
      <c r="APK1" s="11">
        <f>IF(OR(SwitchTR&lt;&gt;"ON",Universe!$B$553=""),"",Universe!$B$553)</f>
        <v/>
      </c>
      <c r="APM1" s="11">
        <f>IF(OR(SwitchTR&lt;&gt;"ON",Universe!$B$554=""),"",Universe!$B$554)</f>
        <v/>
      </c>
      <c r="APO1" s="11">
        <f>IF(OR(SwitchTR&lt;&gt;"ON",Universe!$B$555=""),"",Universe!$B$555)</f>
        <v/>
      </c>
      <c r="APQ1" s="11">
        <f>IF(OR(SwitchTR&lt;&gt;"ON",Universe!$B$556=""),"",Universe!$B$556)</f>
        <v/>
      </c>
      <c r="APS1" s="11">
        <f>IF(OR(SwitchTR&lt;&gt;"ON",Universe!$B$557=""),"",Universe!$B$557)</f>
        <v/>
      </c>
      <c r="APU1" s="11">
        <f>IF(OR(SwitchTR&lt;&gt;"ON",Universe!$B$558=""),"",Universe!$B$558)</f>
        <v/>
      </c>
      <c r="APW1" s="11">
        <f>IF(OR(SwitchTR&lt;&gt;"ON",Universe!$B$559=""),"",Universe!$B$559)</f>
        <v/>
      </c>
      <c r="APY1" s="11">
        <f>IF(OR(SwitchTR&lt;&gt;"ON",Universe!$B$560=""),"",Universe!$B$560)</f>
        <v/>
      </c>
      <c r="AQA1" s="11">
        <f>IF(OR(SwitchTR&lt;&gt;"ON",Universe!$B$561=""),"",Universe!$B$561)</f>
        <v/>
      </c>
      <c r="AQC1" s="11">
        <f>IF(OR(SwitchTR&lt;&gt;"ON",Universe!$B$562=""),"",Universe!$B$562)</f>
        <v/>
      </c>
      <c r="AQE1" s="11">
        <f>IF(OR(SwitchTR&lt;&gt;"ON",Universe!$B$563=""),"",Universe!$B$563)</f>
        <v/>
      </c>
      <c r="AQG1" s="11">
        <f>IF(OR(SwitchTR&lt;&gt;"ON",Universe!$B$564=""),"",Universe!$B$564)</f>
        <v/>
      </c>
      <c r="AQI1" s="11">
        <f>IF(OR(SwitchTR&lt;&gt;"ON",Universe!$B$565=""),"",Universe!$B$565)</f>
        <v/>
      </c>
      <c r="AQK1" s="11">
        <f>IF(OR(SwitchTR&lt;&gt;"ON",Universe!$B$566=""),"",Universe!$B$566)</f>
        <v/>
      </c>
      <c r="AQM1" s="11">
        <f>IF(OR(SwitchTR&lt;&gt;"ON",Universe!$B$567=""),"",Universe!$B$567)</f>
        <v/>
      </c>
      <c r="AQO1" s="11">
        <f>IF(OR(SwitchTR&lt;&gt;"ON",Universe!$B$568=""),"",Universe!$B$568)</f>
        <v/>
      </c>
      <c r="AQQ1" s="11">
        <f>IF(OR(SwitchTR&lt;&gt;"ON",Universe!$B$569=""),"",Universe!$B$569)</f>
        <v/>
      </c>
      <c r="AQS1" s="11">
        <f>IF(OR(SwitchTR&lt;&gt;"ON",Universe!$B$570=""),"",Universe!$B$570)</f>
        <v/>
      </c>
      <c r="AQU1" s="11">
        <f>IF(OR(SwitchTR&lt;&gt;"ON",Universe!$B$571=""),"",Universe!$B$571)</f>
        <v/>
      </c>
      <c r="AQW1" s="11">
        <f>IF(OR(SwitchTR&lt;&gt;"ON",Universe!$B$572=""),"",Universe!$B$572)</f>
        <v/>
      </c>
      <c r="AQY1" s="11">
        <f>IF(OR(SwitchTR&lt;&gt;"ON",Universe!$B$573=""),"",Universe!$B$573)</f>
        <v/>
      </c>
      <c r="ARA1" s="11">
        <f>IF(OR(SwitchTR&lt;&gt;"ON",Universe!$B$574=""),"",Universe!$B$574)</f>
        <v/>
      </c>
      <c r="ARC1" s="11">
        <f>IF(OR(SwitchTR&lt;&gt;"ON",Universe!$B$575=""),"",Universe!$B$575)</f>
        <v/>
      </c>
      <c r="ARE1" s="11">
        <f>IF(OR(SwitchTR&lt;&gt;"ON",Universe!$B$576=""),"",Universe!$B$576)</f>
        <v/>
      </c>
      <c r="ARG1" s="11">
        <f>IF(OR(SwitchTR&lt;&gt;"ON",Universe!$B$577=""),"",Universe!$B$577)</f>
        <v/>
      </c>
      <c r="ARI1" s="11">
        <f>IF(OR(SwitchTR&lt;&gt;"ON",Universe!$B$578=""),"",Universe!$B$578)</f>
        <v/>
      </c>
      <c r="ARK1" s="11">
        <f>IF(OR(SwitchTR&lt;&gt;"ON",Universe!$B$579=""),"",Universe!$B$579)</f>
        <v/>
      </c>
      <c r="ARM1" s="11">
        <f>IF(OR(SwitchTR&lt;&gt;"ON",Universe!$B$580=""),"",Universe!$B$580)</f>
        <v/>
      </c>
      <c r="ARO1" s="11">
        <f>IF(OR(SwitchTR&lt;&gt;"ON",Universe!$B$581=""),"",Universe!$B$581)</f>
        <v/>
      </c>
      <c r="ARQ1" s="11">
        <f>IF(OR(SwitchTR&lt;&gt;"ON",Universe!$B$582=""),"",Universe!$B$582)</f>
        <v/>
      </c>
      <c r="ARS1" s="11">
        <f>IF(OR(SwitchTR&lt;&gt;"ON",Universe!$B$583=""),"",Universe!$B$583)</f>
        <v/>
      </c>
      <c r="ARU1" s="11">
        <f>IF(OR(SwitchTR&lt;&gt;"ON",Universe!$B$584=""),"",Universe!$B$584)</f>
        <v/>
      </c>
      <c r="ARW1" s="11">
        <f>IF(OR(SwitchTR&lt;&gt;"ON",Universe!$B$585=""),"",Universe!$B$585)</f>
        <v/>
      </c>
      <c r="ARY1" s="11">
        <f>IF(OR(SwitchTR&lt;&gt;"ON",Universe!$B$586=""),"",Universe!$B$586)</f>
        <v/>
      </c>
      <c r="ASA1" s="11">
        <f>IF(OR(SwitchTR&lt;&gt;"ON",Universe!$B$587=""),"",Universe!$B$587)</f>
        <v/>
      </c>
      <c r="ASC1" s="11">
        <f>IF(OR(SwitchTR&lt;&gt;"ON",Universe!$B$588=""),"",Universe!$B$588)</f>
        <v/>
      </c>
      <c r="ASE1" s="11">
        <f>IF(OR(SwitchTR&lt;&gt;"ON",Universe!$B$589=""),"",Universe!$B$589)</f>
        <v/>
      </c>
      <c r="ASG1" s="11">
        <f>IF(OR(SwitchTR&lt;&gt;"ON",Universe!$B$590=""),"",Universe!$B$590)</f>
        <v/>
      </c>
      <c r="ASI1" s="11">
        <f>IF(OR(SwitchTR&lt;&gt;"ON",Universe!$B$591=""),"",Universe!$B$591)</f>
        <v/>
      </c>
      <c r="ASK1" s="11">
        <f>IF(OR(SwitchTR&lt;&gt;"ON",Universe!$B$592=""),"",Universe!$B$592)</f>
        <v/>
      </c>
      <c r="ASM1" s="11">
        <f>IF(OR(SwitchTR&lt;&gt;"ON",Universe!$B$593=""),"",Universe!$B$593)</f>
        <v/>
      </c>
      <c r="ASO1" s="11">
        <f>IF(OR(SwitchTR&lt;&gt;"ON",Universe!$B$594=""),"",Universe!$B$594)</f>
        <v/>
      </c>
      <c r="ASQ1" s="11">
        <f>IF(OR(SwitchTR&lt;&gt;"ON",Universe!$B$595=""),"",Universe!$B$595)</f>
        <v/>
      </c>
      <c r="ASS1" s="11">
        <f>IF(OR(SwitchTR&lt;&gt;"ON",Universe!$B$596=""),"",Universe!$B$596)</f>
        <v/>
      </c>
      <c r="ASU1" s="11">
        <f>IF(OR(SwitchTR&lt;&gt;"ON",Universe!$B$597=""),"",Universe!$B$597)</f>
        <v/>
      </c>
      <c r="ASW1" s="11">
        <f>IF(OR(SwitchTR&lt;&gt;"ON",Universe!$B$598=""),"",Universe!$B$598)</f>
        <v/>
      </c>
      <c r="ASY1" s="11">
        <f>IF(OR(SwitchTR&lt;&gt;"ON",Universe!$B$599=""),"",Universe!$B$599)</f>
        <v/>
      </c>
      <c r="ATA1" s="11">
        <f>IF(OR(SwitchTR&lt;&gt;"ON",Universe!$B$600=""),"",Universe!$B$600)</f>
        <v/>
      </c>
      <c r="ATC1" s="11">
        <f>IF(OR(SwitchTR&lt;&gt;"ON",Universe!$B$601=""),"",Universe!$B$601)</f>
        <v/>
      </c>
      <c r="ATE1" s="11">
        <f>IF(OR(SwitchTR&lt;&gt;"ON",Universe!$B$602=""),"",Universe!$B$602)</f>
        <v/>
      </c>
      <c r="ATG1" s="11">
        <f>IF(OR(SwitchTR&lt;&gt;"ON",Universe!$B$603=""),"",Universe!$B$603)</f>
        <v/>
      </c>
      <c r="ATI1" s="11">
        <f>IF(OR(SwitchTR&lt;&gt;"ON",Universe!$B$604=""),"",Universe!$B$604)</f>
        <v/>
      </c>
      <c r="ATK1" s="11">
        <f>IF(OR(SwitchTR&lt;&gt;"ON",Universe!$B$605=""),"",Universe!$B$605)</f>
        <v/>
      </c>
      <c r="ATM1" s="11">
        <f>IF(OR(SwitchTR&lt;&gt;"ON",Universe!$B$606=""),"",Universe!$B$606)</f>
        <v/>
      </c>
      <c r="ATO1" s="11">
        <f>IF(OR(SwitchTR&lt;&gt;"ON",Universe!$B$607=""),"",Universe!$B$607)</f>
        <v/>
      </c>
      <c r="ATQ1" s="11">
        <f>IF(OR(SwitchTR&lt;&gt;"ON",Universe!$B$608=""),"",Universe!$B$608)</f>
        <v/>
      </c>
      <c r="ATS1" s="11">
        <f>IF(OR(SwitchTR&lt;&gt;"ON",Universe!$B$609=""),"",Universe!$B$609)</f>
        <v/>
      </c>
      <c r="ATU1" s="11">
        <f>IF(OR(SwitchTR&lt;&gt;"ON",Universe!$B$610=""),"",Universe!$B$610)</f>
        <v/>
      </c>
      <c r="ATW1" s="11">
        <f>IF(OR(SwitchTR&lt;&gt;"ON",Universe!$B$611=""),"",Universe!$B$611)</f>
        <v/>
      </c>
      <c r="ATY1" s="11">
        <f>IF(OR(SwitchTR&lt;&gt;"ON",Universe!$B$612=""),"",Universe!$B$612)</f>
        <v/>
      </c>
      <c r="AUA1" s="11">
        <f>IF(OR(SwitchTR&lt;&gt;"ON",Universe!$B$613=""),"",Universe!$B$613)</f>
        <v/>
      </c>
      <c r="AUC1" s="11">
        <f>IF(OR(SwitchTR&lt;&gt;"ON",Universe!$B$614=""),"",Universe!$B$614)</f>
        <v/>
      </c>
      <c r="AUE1" s="11">
        <f>IF(OR(SwitchTR&lt;&gt;"ON",Universe!$B$615=""),"",Universe!$B$615)</f>
        <v/>
      </c>
      <c r="AUG1" s="11">
        <f>IF(OR(SwitchTR&lt;&gt;"ON",Universe!$B$616=""),"",Universe!$B$616)</f>
        <v/>
      </c>
      <c r="AUI1" s="11">
        <f>IF(OR(SwitchTR&lt;&gt;"ON",Universe!$B$617=""),"",Universe!$B$617)</f>
        <v/>
      </c>
      <c r="AUK1" s="11">
        <f>IF(OR(SwitchTR&lt;&gt;"ON",Universe!$B$618=""),"",Universe!$B$618)</f>
        <v/>
      </c>
      <c r="AUM1" s="11">
        <f>IF(OR(SwitchTR&lt;&gt;"ON",Universe!$B$619=""),"",Universe!$B$619)</f>
        <v/>
      </c>
      <c r="AUO1" s="11">
        <f>IF(OR(SwitchTR&lt;&gt;"ON",Universe!$B$620=""),"",Universe!$B$620)</f>
        <v/>
      </c>
      <c r="AUQ1" s="11">
        <f>IF(OR(SwitchTR&lt;&gt;"ON",Universe!$B$621=""),"",Universe!$B$621)</f>
        <v/>
      </c>
      <c r="AUS1" s="11">
        <f>IF(OR(SwitchTR&lt;&gt;"ON",Universe!$B$622=""),"",Universe!$B$622)</f>
        <v/>
      </c>
      <c r="AUU1" s="11">
        <f>IF(OR(SwitchTR&lt;&gt;"ON",Universe!$B$623=""),"",Universe!$B$623)</f>
        <v/>
      </c>
      <c r="AUW1" s="11">
        <f>IF(OR(SwitchTR&lt;&gt;"ON",Universe!$B$624=""),"",Universe!$B$624)</f>
        <v/>
      </c>
      <c r="AUY1" s="11">
        <f>IF(OR(SwitchTR&lt;&gt;"ON",Universe!$B$625=""),"",Universe!$B$625)</f>
        <v/>
      </c>
      <c r="AVA1" s="11">
        <f>IF(OR(SwitchTR&lt;&gt;"ON",Universe!$B$626=""),"",Universe!$B$626)</f>
        <v/>
      </c>
      <c r="AVC1" s="11">
        <f>IF(OR(SwitchTR&lt;&gt;"ON",Universe!$B$627=""),"",Universe!$B$627)</f>
        <v/>
      </c>
      <c r="AVE1" s="11">
        <f>IF(OR(SwitchTR&lt;&gt;"ON",Universe!$B$628=""),"",Universe!$B$628)</f>
        <v/>
      </c>
      <c r="AVG1" s="11">
        <f>IF(OR(SwitchTR&lt;&gt;"ON",Universe!$B$629=""),"",Universe!$B$629)</f>
        <v/>
      </c>
      <c r="AVI1" s="11">
        <f>IF(OR(SwitchTR&lt;&gt;"ON",Universe!$B$630=""),"",Universe!$B$630)</f>
        <v/>
      </c>
      <c r="AVK1" s="11">
        <f>IF(OR(SwitchTR&lt;&gt;"ON",Universe!$B$631=""),"",Universe!$B$631)</f>
        <v/>
      </c>
      <c r="AVM1" s="11">
        <f>IF(OR(SwitchTR&lt;&gt;"ON",Universe!$B$632=""),"",Universe!$B$632)</f>
        <v/>
      </c>
      <c r="AVO1" s="11">
        <f>IF(OR(SwitchTR&lt;&gt;"ON",Universe!$B$633=""),"",Universe!$B$633)</f>
        <v/>
      </c>
      <c r="AVQ1" s="11">
        <f>IF(OR(SwitchTR&lt;&gt;"ON",Universe!$B$634=""),"",Universe!$B$634)</f>
        <v/>
      </c>
      <c r="AVS1" s="11">
        <f>IF(OR(SwitchTR&lt;&gt;"ON",Universe!$B$635=""),"",Universe!$B$635)</f>
        <v/>
      </c>
      <c r="AVU1" s="11">
        <f>IF(OR(SwitchTR&lt;&gt;"ON",Universe!$B$636=""),"",Universe!$B$636)</f>
        <v/>
      </c>
      <c r="AVW1" s="11">
        <f>IF(OR(SwitchTR&lt;&gt;"ON",Universe!$B$637=""),"",Universe!$B$637)</f>
        <v/>
      </c>
      <c r="AVY1" s="11">
        <f>IF(OR(SwitchTR&lt;&gt;"ON",Universe!$B$638=""),"",Universe!$B$638)</f>
        <v/>
      </c>
      <c r="AWA1" s="11">
        <f>IF(OR(SwitchTR&lt;&gt;"ON",Universe!$B$639=""),"",Universe!$B$639)</f>
        <v/>
      </c>
      <c r="AWC1" s="11">
        <f>IF(OR(SwitchTR&lt;&gt;"ON",Universe!$B$640=""),"",Universe!$B$640)</f>
        <v/>
      </c>
      <c r="AWE1" s="11">
        <f>IF(OR(SwitchTR&lt;&gt;"ON",Universe!$B$641=""),"",Universe!$B$641)</f>
        <v/>
      </c>
      <c r="AWG1" s="11">
        <f>IF(OR(SwitchTR&lt;&gt;"ON",Universe!$B$642=""),"",Universe!$B$642)</f>
        <v/>
      </c>
      <c r="AWI1" s="11">
        <f>IF(OR(SwitchTR&lt;&gt;"ON",Universe!$B$643=""),"",Universe!$B$643)</f>
        <v/>
      </c>
      <c r="AWK1" s="11">
        <f>IF(OR(SwitchTR&lt;&gt;"ON",Universe!$B$644=""),"",Universe!$B$644)</f>
        <v/>
      </c>
      <c r="AWM1" s="11">
        <f>IF(OR(SwitchTR&lt;&gt;"ON",Universe!$B$645=""),"",Universe!$B$645)</f>
        <v/>
      </c>
      <c r="AWO1" s="11">
        <f>IF(OR(SwitchTR&lt;&gt;"ON",Universe!$B$646=""),"",Universe!$B$646)</f>
        <v/>
      </c>
      <c r="AWQ1" s="11">
        <f>IF(OR(SwitchTR&lt;&gt;"ON",Universe!$B$647=""),"",Universe!$B$647)</f>
        <v/>
      </c>
      <c r="AWS1" s="11">
        <f>IF(OR(SwitchTR&lt;&gt;"ON",Universe!$B$648=""),"",Universe!$B$648)</f>
        <v/>
      </c>
      <c r="AWU1" s="11">
        <f>IF(OR(SwitchTR&lt;&gt;"ON",Universe!$B$649=""),"",Universe!$B$649)</f>
        <v/>
      </c>
      <c r="AWW1" s="11">
        <f>IF(OR(SwitchTR&lt;&gt;"ON",Universe!$B$650=""),"",Universe!$B$650)</f>
        <v/>
      </c>
      <c r="AWY1" s="11">
        <f>IF(OR(SwitchTR&lt;&gt;"ON",Universe!$B$651=""),"",Universe!$B$651)</f>
        <v/>
      </c>
      <c r="AXA1" s="11">
        <f>IF(OR(SwitchTR&lt;&gt;"ON",Universe!$B$652=""),"",Universe!$B$652)</f>
        <v/>
      </c>
      <c r="AXC1" s="11">
        <f>IF(OR(SwitchTR&lt;&gt;"ON",Universe!$B$653=""),"",Universe!$B$653)</f>
        <v/>
      </c>
      <c r="AXE1" s="11">
        <f>IF(OR(SwitchTR&lt;&gt;"ON",Universe!$B$654=""),"",Universe!$B$654)</f>
        <v/>
      </c>
      <c r="AXG1" s="11">
        <f>IF(OR(SwitchTR&lt;&gt;"ON",Universe!$B$655=""),"",Universe!$B$655)</f>
        <v/>
      </c>
      <c r="AXI1" s="11">
        <f>IF(OR(SwitchTR&lt;&gt;"ON",Universe!$B$656=""),"",Universe!$B$656)</f>
        <v/>
      </c>
      <c r="AXK1" s="11">
        <f>IF(OR(SwitchTR&lt;&gt;"ON",Universe!$B$657=""),"",Universe!$B$657)</f>
        <v/>
      </c>
      <c r="AXM1" s="11">
        <f>IF(OR(SwitchTR&lt;&gt;"ON",Universe!$B$658=""),"",Universe!$B$658)</f>
        <v/>
      </c>
      <c r="AXO1" s="11">
        <f>IF(OR(SwitchTR&lt;&gt;"ON",Universe!$B$659=""),"",Universe!$B$659)</f>
        <v/>
      </c>
      <c r="AXQ1" s="11">
        <f>IF(OR(SwitchTR&lt;&gt;"ON",Universe!$B$660=""),"",Universe!$B$660)</f>
        <v/>
      </c>
      <c r="AXS1" s="11">
        <f>IF(OR(SwitchTR&lt;&gt;"ON",Universe!$B$661=""),"",Universe!$B$661)</f>
        <v/>
      </c>
      <c r="AXU1" s="11">
        <f>IF(OR(SwitchTR&lt;&gt;"ON",Universe!$B$662=""),"",Universe!$B$662)</f>
        <v/>
      </c>
      <c r="AXW1" s="11">
        <f>IF(OR(SwitchTR&lt;&gt;"ON",Universe!$B$663=""),"",Universe!$B$663)</f>
        <v/>
      </c>
      <c r="AXY1" s="11">
        <f>IF(OR(SwitchTR&lt;&gt;"ON",Universe!$B$664=""),"",Universe!$B$664)</f>
        <v/>
      </c>
      <c r="AYA1" s="11">
        <f>IF(OR(SwitchTR&lt;&gt;"ON",Universe!$B$665=""),"",Universe!$B$665)</f>
        <v/>
      </c>
      <c r="AYC1" s="11">
        <f>IF(OR(SwitchTR&lt;&gt;"ON",Universe!$B$666=""),"",Universe!$B$666)</f>
        <v/>
      </c>
      <c r="AYE1" s="11">
        <f>IF(OR(SwitchTR&lt;&gt;"ON",Universe!$B$667=""),"",Universe!$B$667)</f>
        <v/>
      </c>
      <c r="AYG1" s="11">
        <f>IF(OR(SwitchTR&lt;&gt;"ON",Universe!$B$668=""),"",Universe!$B$668)</f>
        <v/>
      </c>
      <c r="AYI1" s="11">
        <f>IF(OR(SwitchTR&lt;&gt;"ON",Universe!$B$669=""),"",Universe!$B$669)</f>
        <v/>
      </c>
      <c r="AYK1" s="11">
        <f>IF(OR(SwitchTR&lt;&gt;"ON",Universe!$B$670=""),"",Universe!$B$670)</f>
        <v/>
      </c>
      <c r="AYM1" s="11">
        <f>IF(OR(SwitchTR&lt;&gt;"ON",Universe!$B$671=""),"",Universe!$B$671)</f>
        <v/>
      </c>
      <c r="AYO1" s="11">
        <f>IF(OR(SwitchTR&lt;&gt;"ON",Universe!$B$672=""),"",Universe!$B$672)</f>
        <v/>
      </c>
      <c r="AYQ1" s="11">
        <f>IF(OR(SwitchTR&lt;&gt;"ON",Universe!$B$673=""),"",Universe!$B$673)</f>
        <v/>
      </c>
      <c r="AYS1" s="11">
        <f>IF(OR(SwitchTR&lt;&gt;"ON",Universe!$B$674=""),"",Universe!$B$674)</f>
        <v/>
      </c>
      <c r="AYU1" s="11">
        <f>IF(OR(SwitchTR&lt;&gt;"ON",Universe!$B$675=""),"",Universe!$B$675)</f>
        <v/>
      </c>
      <c r="AYW1" s="11">
        <f>IF(OR(SwitchTR&lt;&gt;"ON",Universe!$B$676=""),"",Universe!$B$676)</f>
        <v/>
      </c>
      <c r="AYY1" s="11">
        <f>IF(OR(SwitchTR&lt;&gt;"ON",Universe!$B$677=""),"",Universe!$B$677)</f>
        <v/>
      </c>
      <c r="AZA1" s="11">
        <f>IF(OR(SwitchTR&lt;&gt;"ON",Universe!$B$678=""),"",Universe!$B$678)</f>
        <v/>
      </c>
      <c r="AZC1" s="11">
        <f>IF(OR(SwitchTR&lt;&gt;"ON",Universe!$B$679=""),"",Universe!$B$679)</f>
        <v/>
      </c>
      <c r="AZE1" s="11">
        <f>IF(OR(SwitchTR&lt;&gt;"ON",Universe!$B$680=""),"",Universe!$B$680)</f>
        <v/>
      </c>
      <c r="AZG1" s="11">
        <f>IF(OR(SwitchTR&lt;&gt;"ON",Universe!$B$681=""),"",Universe!$B$681)</f>
        <v/>
      </c>
      <c r="AZI1" s="11">
        <f>IF(OR(SwitchTR&lt;&gt;"ON",Universe!$B$682=""),"",Universe!$B$682)</f>
        <v/>
      </c>
      <c r="AZK1" s="11">
        <f>IF(OR(SwitchTR&lt;&gt;"ON",Universe!$B$683=""),"",Universe!$B$683)</f>
        <v/>
      </c>
      <c r="AZM1" s="11">
        <f>IF(OR(SwitchTR&lt;&gt;"ON",Universe!$B$684=""),"",Universe!$B$684)</f>
        <v/>
      </c>
      <c r="AZO1" s="11">
        <f>IF(OR(SwitchTR&lt;&gt;"ON",Universe!$B$685=""),"",Universe!$B$685)</f>
        <v/>
      </c>
      <c r="AZQ1" s="11">
        <f>IF(OR(SwitchTR&lt;&gt;"ON",Universe!$B$686=""),"",Universe!$B$686)</f>
        <v/>
      </c>
      <c r="AZS1" s="11">
        <f>IF(OR(SwitchTR&lt;&gt;"ON",Universe!$B$687=""),"",Universe!$B$687)</f>
        <v/>
      </c>
      <c r="AZU1" s="11">
        <f>IF(OR(SwitchTR&lt;&gt;"ON",Universe!$B$688=""),"",Universe!$B$688)</f>
        <v/>
      </c>
      <c r="AZW1" s="11">
        <f>IF(OR(SwitchTR&lt;&gt;"ON",Universe!$B$689=""),"",Universe!$B$689)</f>
        <v/>
      </c>
      <c r="AZY1" s="11">
        <f>IF(OR(SwitchTR&lt;&gt;"ON",Universe!$B$690=""),"",Universe!$B$690)</f>
        <v/>
      </c>
      <c r="BAA1" s="11">
        <f>IF(OR(SwitchTR&lt;&gt;"ON",Universe!$B$691=""),"",Universe!$B$691)</f>
        <v/>
      </c>
      <c r="BAC1" s="11">
        <f>IF(OR(SwitchTR&lt;&gt;"ON",Universe!$B$692=""),"",Universe!$B$692)</f>
        <v/>
      </c>
      <c r="BAE1" s="11">
        <f>IF(OR(SwitchTR&lt;&gt;"ON",Universe!$B$693=""),"",Universe!$B$693)</f>
        <v/>
      </c>
      <c r="BAG1" s="11">
        <f>IF(OR(SwitchTR&lt;&gt;"ON",Universe!$B$694=""),"",Universe!$B$694)</f>
        <v/>
      </c>
      <c r="BAI1" s="11">
        <f>IF(OR(SwitchTR&lt;&gt;"ON",Universe!$B$695=""),"",Universe!$B$695)</f>
        <v/>
      </c>
      <c r="BAK1" s="11">
        <f>IF(OR(SwitchTR&lt;&gt;"ON",Universe!$B$696=""),"",Universe!$B$696)</f>
        <v/>
      </c>
      <c r="BAM1" s="11">
        <f>IF(OR(SwitchTR&lt;&gt;"ON",Universe!$B$697=""),"",Universe!$B$697)</f>
        <v/>
      </c>
      <c r="BAO1" s="11">
        <f>IF(OR(SwitchTR&lt;&gt;"ON",Universe!$B$698=""),"",Universe!$B$698)</f>
        <v/>
      </c>
      <c r="BAQ1" s="11">
        <f>IF(OR(SwitchTR&lt;&gt;"ON",Universe!$B$699=""),"",Universe!$B$699)</f>
        <v/>
      </c>
      <c r="BAS1" s="11">
        <f>IF(OR(SwitchTR&lt;&gt;"ON",Universe!$B$700=""),"",Universe!$B$700)</f>
        <v/>
      </c>
      <c r="BAU1" s="11">
        <f>IF(OR(SwitchTR&lt;&gt;"ON",Universe!$B$701=""),"",Universe!$B$701)</f>
        <v/>
      </c>
      <c r="BAW1" s="11">
        <f>IF(OR(SwitchTR&lt;&gt;"ON",Universe!$B$702=""),"",Universe!$B$702)</f>
        <v/>
      </c>
      <c r="BAY1" s="11">
        <f>IF(OR(SwitchTR&lt;&gt;"ON",Universe!$B$703=""),"",Universe!$B$703)</f>
        <v/>
      </c>
      <c r="BBA1" s="11">
        <f>IF(OR(SwitchTR&lt;&gt;"ON",Universe!$B$704=""),"",Universe!$B$704)</f>
        <v/>
      </c>
      <c r="BBC1" s="11">
        <f>IF(OR(SwitchTR&lt;&gt;"ON",Universe!$B$705=""),"",Universe!$B$705)</f>
        <v/>
      </c>
      <c r="BBE1" s="11">
        <f>IF(OR(SwitchTR&lt;&gt;"ON",Universe!$B$706=""),"",Universe!$B$706)</f>
        <v/>
      </c>
      <c r="BBG1" s="11">
        <f>IF(OR(SwitchTR&lt;&gt;"ON",Universe!$B$707=""),"",Universe!$B$707)</f>
        <v/>
      </c>
      <c r="BBI1" s="11">
        <f>IF(OR(SwitchTR&lt;&gt;"ON",Universe!$B$708=""),"",Universe!$B$708)</f>
        <v/>
      </c>
      <c r="BBK1" s="11">
        <f>IF(OR(SwitchTR&lt;&gt;"ON",Universe!$B$709=""),"",Universe!$B$709)</f>
        <v/>
      </c>
      <c r="BBM1" s="11">
        <f>IF(OR(SwitchTR&lt;&gt;"ON",Universe!$B$710=""),"",Universe!$B$710)</f>
        <v/>
      </c>
      <c r="BBO1" s="11">
        <f>IF(OR(SwitchTR&lt;&gt;"ON",Universe!$B$711=""),"",Universe!$B$711)</f>
        <v/>
      </c>
      <c r="BBQ1" s="11">
        <f>IF(OR(SwitchTR&lt;&gt;"ON",Universe!$B$712=""),"",Universe!$B$712)</f>
        <v/>
      </c>
      <c r="BBS1" s="11">
        <f>IF(OR(SwitchTR&lt;&gt;"ON",Universe!$B$713=""),"",Universe!$B$713)</f>
        <v/>
      </c>
      <c r="BBU1" s="11">
        <f>IF(OR(SwitchTR&lt;&gt;"ON",Universe!$B$714=""),"",Universe!$B$714)</f>
        <v/>
      </c>
      <c r="BBW1" s="11">
        <f>IF(OR(SwitchTR&lt;&gt;"ON",Universe!$B$715=""),"",Universe!$B$715)</f>
        <v/>
      </c>
      <c r="BBY1" s="11">
        <f>IF(OR(SwitchTR&lt;&gt;"ON",Universe!$B$716=""),"",Universe!$B$716)</f>
        <v/>
      </c>
      <c r="BCA1" s="11">
        <f>IF(OR(SwitchTR&lt;&gt;"ON",Universe!$B$717=""),"",Universe!$B$717)</f>
        <v/>
      </c>
      <c r="BCC1" s="11">
        <f>IF(OR(SwitchTR&lt;&gt;"ON",Universe!$B$718=""),"",Universe!$B$718)</f>
        <v/>
      </c>
      <c r="BCE1" s="11">
        <f>IF(OR(SwitchTR&lt;&gt;"ON",Universe!$B$719=""),"",Universe!$B$719)</f>
        <v/>
      </c>
      <c r="BCG1" s="11">
        <f>IF(OR(SwitchTR&lt;&gt;"ON",Universe!$B$720=""),"",Universe!$B$720)</f>
        <v/>
      </c>
      <c r="BCI1" s="11">
        <f>IF(OR(SwitchTR&lt;&gt;"ON",Universe!$B$721=""),"",Universe!$B$721)</f>
        <v/>
      </c>
      <c r="BCK1" s="11">
        <f>IF(OR(SwitchTR&lt;&gt;"ON",Universe!$B$722=""),"",Universe!$B$722)</f>
        <v/>
      </c>
      <c r="BCM1" s="11">
        <f>IF(OR(SwitchTR&lt;&gt;"ON",Universe!$B$723=""),"",Universe!$B$723)</f>
        <v/>
      </c>
      <c r="BCO1" s="11">
        <f>IF(OR(SwitchTR&lt;&gt;"ON",Universe!$B$724=""),"",Universe!$B$724)</f>
        <v/>
      </c>
      <c r="BCQ1" s="11">
        <f>IF(OR(SwitchTR&lt;&gt;"ON",Universe!$B$725=""),"",Universe!$B$725)</f>
        <v/>
      </c>
      <c r="BCS1" s="11">
        <f>IF(OR(SwitchTR&lt;&gt;"ON",Universe!$B$726=""),"",Universe!$B$726)</f>
        <v/>
      </c>
      <c r="BCU1" s="11">
        <f>IF(OR(SwitchTR&lt;&gt;"ON",Universe!$B$727=""),"",Universe!$B$727)</f>
        <v/>
      </c>
      <c r="BCW1" s="11">
        <f>IF(OR(SwitchTR&lt;&gt;"ON",Universe!$B$728=""),"",Universe!$B$728)</f>
        <v/>
      </c>
      <c r="BCY1" s="11">
        <f>IF(OR(SwitchTR&lt;&gt;"ON",Universe!$B$729=""),"",Universe!$B$729)</f>
        <v/>
      </c>
      <c r="BDA1" s="11">
        <f>IF(OR(SwitchTR&lt;&gt;"ON",Universe!$B$730=""),"",Universe!$B$730)</f>
        <v/>
      </c>
      <c r="BDC1" s="11">
        <f>IF(OR(SwitchTR&lt;&gt;"ON",Universe!$B$731=""),"",Universe!$B$731)</f>
        <v/>
      </c>
      <c r="BDE1" s="11">
        <f>IF(OR(SwitchTR&lt;&gt;"ON",Universe!$B$732=""),"",Universe!$B$732)</f>
        <v/>
      </c>
      <c r="BDG1" s="11">
        <f>IF(OR(SwitchTR&lt;&gt;"ON",Universe!$B$733=""),"",Universe!$B$733)</f>
        <v/>
      </c>
      <c r="BDI1" s="11">
        <f>IF(OR(SwitchTR&lt;&gt;"ON",Universe!$B$734=""),"",Universe!$B$734)</f>
        <v/>
      </c>
      <c r="BDK1" s="11">
        <f>IF(OR(SwitchTR&lt;&gt;"ON",Universe!$B$735=""),"",Universe!$B$735)</f>
        <v/>
      </c>
      <c r="BDM1" s="11">
        <f>IF(OR(SwitchTR&lt;&gt;"ON",Universe!$B$736=""),"",Universe!$B$736)</f>
        <v/>
      </c>
      <c r="BDO1" s="11">
        <f>IF(OR(SwitchTR&lt;&gt;"ON",Universe!$B$737=""),"",Universe!$B$737)</f>
        <v/>
      </c>
      <c r="BDQ1" s="11">
        <f>IF(OR(SwitchTR&lt;&gt;"ON",Universe!$B$738=""),"",Universe!$B$738)</f>
        <v/>
      </c>
      <c r="BDS1" s="11">
        <f>IF(OR(SwitchTR&lt;&gt;"ON",Universe!$B$739=""),"",Universe!$B$739)</f>
        <v/>
      </c>
      <c r="BDU1" s="11">
        <f>IF(OR(SwitchTR&lt;&gt;"ON",Universe!$B$740=""),"",Universe!$B$740)</f>
        <v/>
      </c>
      <c r="BDW1" s="11">
        <f>IF(OR(SwitchTR&lt;&gt;"ON",Universe!$B$741=""),"",Universe!$B$741)</f>
        <v/>
      </c>
      <c r="BDY1" s="11">
        <f>IF(OR(SwitchTR&lt;&gt;"ON",Universe!$B$742=""),"",Universe!$B$742)</f>
        <v/>
      </c>
      <c r="BEA1" s="11">
        <f>IF(OR(SwitchTR&lt;&gt;"ON",Universe!$B$743=""),"",Universe!$B$743)</f>
        <v/>
      </c>
      <c r="BEC1" s="11">
        <f>IF(OR(SwitchTR&lt;&gt;"ON",Universe!$B$744=""),"",Universe!$B$744)</f>
        <v/>
      </c>
      <c r="BEE1" s="11">
        <f>IF(OR(SwitchTR&lt;&gt;"ON",Universe!$B$745=""),"",Universe!$B$745)</f>
        <v/>
      </c>
      <c r="BEG1" s="11">
        <f>IF(OR(SwitchTR&lt;&gt;"ON",Universe!$B$746=""),"",Universe!$B$746)</f>
        <v/>
      </c>
      <c r="BEI1" s="11">
        <f>IF(OR(SwitchTR&lt;&gt;"ON",Universe!$B$747=""),"",Universe!$B$747)</f>
        <v/>
      </c>
      <c r="BEK1" s="11">
        <f>IF(OR(SwitchTR&lt;&gt;"ON",Universe!$B$748=""),"",Universe!$B$748)</f>
        <v/>
      </c>
      <c r="BEM1" s="11">
        <f>IF(OR(SwitchTR&lt;&gt;"ON",Universe!$B$749=""),"",Universe!$B$749)</f>
        <v/>
      </c>
      <c r="BEO1" s="11">
        <f>IF(OR(SwitchTR&lt;&gt;"ON",Universe!$B$750=""),"",Universe!$B$750)</f>
        <v/>
      </c>
      <c r="BEQ1" s="11">
        <f>IF(OR(SwitchTR&lt;&gt;"ON",Universe!$B$751=""),"",Universe!$B$751)</f>
        <v/>
      </c>
      <c r="BES1" s="11">
        <f>IF(OR(SwitchTR&lt;&gt;"ON",Universe!$B$752=""),"",Universe!$B$752)</f>
        <v/>
      </c>
      <c r="BEU1" s="11">
        <f>IF(OR(SwitchTR&lt;&gt;"ON",Universe!$B$753=""),"",Universe!$B$753)</f>
        <v/>
      </c>
      <c r="BEW1" s="11">
        <f>IF(OR(SwitchTR&lt;&gt;"ON",Universe!$B$754=""),"",Universe!$B$754)</f>
        <v/>
      </c>
      <c r="BEY1" s="11">
        <f>IF(OR(SwitchTR&lt;&gt;"ON",Universe!$B$755=""),"",Universe!$B$755)</f>
        <v/>
      </c>
      <c r="BFA1" s="11">
        <f>IF(OR(SwitchTR&lt;&gt;"ON",Universe!$B$756=""),"",Universe!$B$756)</f>
        <v/>
      </c>
      <c r="BFC1" s="11">
        <f>IF(OR(SwitchTR&lt;&gt;"ON",Universe!$B$757=""),"",Universe!$B$757)</f>
        <v/>
      </c>
      <c r="BFE1" s="11">
        <f>IF(OR(SwitchTR&lt;&gt;"ON",Universe!$B$758=""),"",Universe!$B$758)</f>
        <v/>
      </c>
      <c r="BFG1" s="11">
        <f>IF(OR(SwitchTR&lt;&gt;"ON",Universe!$B$759=""),"",Universe!$B$759)</f>
        <v/>
      </c>
      <c r="BFI1" s="11">
        <f>IF(OR(SwitchTR&lt;&gt;"ON",Universe!$B$760=""),"",Universe!$B$760)</f>
        <v/>
      </c>
      <c r="BFK1" s="11">
        <f>IF(OR(SwitchTR&lt;&gt;"ON",Universe!$B$761=""),"",Universe!$B$761)</f>
        <v/>
      </c>
      <c r="BFM1" s="11">
        <f>IF(OR(SwitchTR&lt;&gt;"ON",Universe!$B$762=""),"",Universe!$B$762)</f>
        <v/>
      </c>
      <c r="BFO1" s="11">
        <f>IF(OR(SwitchTR&lt;&gt;"ON",Universe!$B$763=""),"",Universe!$B$763)</f>
        <v/>
      </c>
      <c r="BFQ1" s="11">
        <f>IF(OR(SwitchTR&lt;&gt;"ON",Universe!$B$764=""),"",Universe!$B$764)</f>
        <v/>
      </c>
      <c r="BFS1" s="11">
        <f>IF(OR(SwitchTR&lt;&gt;"ON",Universe!$B$765=""),"",Universe!$B$765)</f>
        <v/>
      </c>
      <c r="BFU1" s="11">
        <f>IF(OR(SwitchTR&lt;&gt;"ON",Universe!$B$766=""),"",Universe!$B$766)</f>
        <v/>
      </c>
      <c r="BFW1" s="11">
        <f>IF(OR(SwitchTR&lt;&gt;"ON",Universe!$B$767=""),"",Universe!$B$767)</f>
        <v/>
      </c>
      <c r="BFY1" s="11">
        <f>IF(OR(SwitchTR&lt;&gt;"ON",Universe!$B$768=""),"",Universe!$B$768)</f>
        <v/>
      </c>
      <c r="BGA1" s="11">
        <f>IF(OR(SwitchTR&lt;&gt;"ON",Universe!$B$769=""),"",Universe!$B$769)</f>
        <v/>
      </c>
      <c r="BGC1" s="11">
        <f>IF(OR(SwitchTR&lt;&gt;"ON",Universe!$B$770=""),"",Universe!$B$770)</f>
        <v/>
      </c>
      <c r="BGE1" s="11">
        <f>IF(OR(SwitchTR&lt;&gt;"ON",Universe!$B$771=""),"",Universe!$B$771)</f>
        <v/>
      </c>
      <c r="BGG1" s="11">
        <f>IF(OR(SwitchTR&lt;&gt;"ON",Universe!$B$772=""),"",Universe!$B$772)</f>
        <v/>
      </c>
      <c r="BGI1" s="11">
        <f>IF(OR(SwitchTR&lt;&gt;"ON",Universe!$B$773=""),"",Universe!$B$773)</f>
        <v/>
      </c>
      <c r="BGK1" s="11">
        <f>IF(OR(SwitchTR&lt;&gt;"ON",Universe!$B$774=""),"",Universe!$B$774)</f>
        <v/>
      </c>
      <c r="BGM1" s="11">
        <f>IF(OR(SwitchTR&lt;&gt;"ON",Universe!$B$775=""),"",Universe!$B$775)</f>
        <v/>
      </c>
      <c r="BGO1" s="11">
        <f>IF(OR(SwitchTR&lt;&gt;"ON",Universe!$B$776=""),"",Universe!$B$776)</f>
        <v/>
      </c>
      <c r="BGQ1" s="11">
        <f>IF(OR(SwitchTR&lt;&gt;"ON",Universe!$B$777=""),"",Universe!$B$777)</f>
        <v/>
      </c>
      <c r="BGS1" s="11">
        <f>IF(OR(SwitchTR&lt;&gt;"ON",Universe!$B$778=""),"",Universe!$B$778)</f>
        <v/>
      </c>
      <c r="BGU1" s="11">
        <f>IF(OR(SwitchTR&lt;&gt;"ON",Universe!$B$779=""),"",Universe!$B$779)</f>
        <v/>
      </c>
      <c r="BGW1" s="11">
        <f>IF(OR(SwitchTR&lt;&gt;"ON",Universe!$B$780=""),"",Universe!$B$780)</f>
        <v/>
      </c>
      <c r="BGY1" s="11">
        <f>IF(OR(SwitchTR&lt;&gt;"ON",Universe!$B$781=""),"",Universe!$B$781)</f>
        <v/>
      </c>
      <c r="BHA1" s="11">
        <f>IF(OR(SwitchTR&lt;&gt;"ON",Universe!$B$782=""),"",Universe!$B$782)</f>
        <v/>
      </c>
      <c r="BHC1" s="11">
        <f>IF(OR(SwitchTR&lt;&gt;"ON",Universe!$B$783=""),"",Universe!$B$783)</f>
        <v/>
      </c>
      <c r="BHE1" s="11">
        <f>IF(OR(SwitchTR&lt;&gt;"ON",Universe!$B$784=""),"",Universe!$B$784)</f>
        <v/>
      </c>
      <c r="BHG1" s="11">
        <f>IF(OR(SwitchTR&lt;&gt;"ON",Universe!$B$785=""),"",Universe!$B$785)</f>
        <v/>
      </c>
      <c r="BHI1" s="11">
        <f>IF(OR(SwitchTR&lt;&gt;"ON",Universe!$B$786=""),"",Universe!$B$786)</f>
        <v/>
      </c>
      <c r="BHK1" s="11">
        <f>IF(OR(SwitchTR&lt;&gt;"ON",Universe!$B$787=""),"",Universe!$B$787)</f>
        <v/>
      </c>
      <c r="BHM1" s="11">
        <f>IF(OR(SwitchTR&lt;&gt;"ON",Universe!$B$788=""),"",Universe!$B$788)</f>
        <v/>
      </c>
      <c r="BHO1" s="11">
        <f>IF(OR(SwitchTR&lt;&gt;"ON",Universe!$B$789=""),"",Universe!$B$789)</f>
        <v/>
      </c>
      <c r="BHQ1" s="11">
        <f>IF(OR(SwitchTR&lt;&gt;"ON",Universe!$B$790=""),"",Universe!$B$790)</f>
        <v/>
      </c>
      <c r="BHS1" s="11">
        <f>IF(OR(SwitchTR&lt;&gt;"ON",Universe!$B$791=""),"",Universe!$B$791)</f>
        <v/>
      </c>
      <c r="BHU1" s="11">
        <f>IF(OR(SwitchTR&lt;&gt;"ON",Universe!$B$792=""),"",Universe!$B$792)</f>
        <v/>
      </c>
      <c r="BHW1" s="11">
        <f>IF(OR(SwitchTR&lt;&gt;"ON",Universe!$B$793=""),"",Universe!$B$793)</f>
        <v/>
      </c>
      <c r="BHY1" s="11">
        <f>IF(OR(SwitchTR&lt;&gt;"ON",Universe!$B$794=""),"",Universe!$B$794)</f>
        <v/>
      </c>
      <c r="BIA1" s="11">
        <f>IF(OR(SwitchTR&lt;&gt;"ON",Universe!$B$795=""),"",Universe!$B$795)</f>
        <v/>
      </c>
      <c r="BIC1" s="11">
        <f>IF(OR(SwitchTR&lt;&gt;"ON",Universe!$B$796=""),"",Universe!$B$796)</f>
        <v/>
      </c>
      <c r="BIE1" s="11">
        <f>IF(OR(SwitchTR&lt;&gt;"ON",Universe!$B$797=""),"",Universe!$B$797)</f>
        <v/>
      </c>
      <c r="BIG1" s="11">
        <f>IF(OR(SwitchTR&lt;&gt;"ON",Universe!$B$798=""),"",Universe!$B$798)</f>
        <v/>
      </c>
      <c r="BII1" s="11">
        <f>IF(OR(SwitchTR&lt;&gt;"ON",Universe!$B$799=""),"",Universe!$B$799)</f>
        <v/>
      </c>
      <c r="BIK1" s="11">
        <f>IF(OR(SwitchTR&lt;&gt;"ON",Universe!$B$800=""),"",Universe!$B$800)</f>
        <v/>
      </c>
      <c r="BIM1" s="11">
        <f>IF(OR(SwitchTR&lt;&gt;"ON",Universe!$B$801=""),"",Universe!$B$801)</f>
        <v/>
      </c>
      <c r="BIO1" s="11">
        <f>IF(OR(SwitchTR&lt;&gt;"ON",Universe!$B$802=""),"",Universe!$B$802)</f>
        <v/>
      </c>
      <c r="BIQ1" s="11">
        <f>IF(OR(SwitchTR&lt;&gt;"ON",Universe!$B$803=""),"",Universe!$B$803)</f>
        <v/>
      </c>
      <c r="BIS1" s="11">
        <f>IF(OR(SwitchTR&lt;&gt;"ON",Universe!$B$804=""),"",Universe!$B$804)</f>
        <v/>
      </c>
      <c r="BIU1" s="11">
        <f>IF(OR(SwitchTR&lt;&gt;"ON",Universe!$B$805=""),"",Universe!$B$805)</f>
        <v/>
      </c>
      <c r="BIW1" s="11">
        <f>IF(OR(SwitchTR&lt;&gt;"ON",Universe!$B$806=""),"",Universe!$B$806)</f>
        <v/>
      </c>
      <c r="BIY1" s="11">
        <f>IF(OR(SwitchTR&lt;&gt;"ON",Universe!$B$807=""),"",Universe!$B$807)</f>
        <v/>
      </c>
      <c r="BJA1" s="11">
        <f>IF(OR(SwitchTR&lt;&gt;"ON",Universe!$B$808=""),"",Universe!$B$808)</f>
        <v/>
      </c>
      <c r="BJC1" s="11">
        <f>IF(OR(SwitchTR&lt;&gt;"ON",Universe!$B$809=""),"",Universe!$B$809)</f>
        <v/>
      </c>
      <c r="BJE1" s="11">
        <f>IF(OR(SwitchTR&lt;&gt;"ON",Universe!$B$810=""),"",Universe!$B$810)</f>
        <v/>
      </c>
      <c r="BJG1" s="11">
        <f>IF(OR(SwitchTR&lt;&gt;"ON",Universe!$B$811=""),"",Universe!$B$811)</f>
        <v/>
      </c>
      <c r="BJI1" s="11">
        <f>IF(OR(SwitchTR&lt;&gt;"ON",Universe!$B$812=""),"",Universe!$B$812)</f>
        <v/>
      </c>
      <c r="BJK1" s="11">
        <f>IF(OR(SwitchTR&lt;&gt;"ON",Universe!$B$813=""),"",Universe!$B$813)</f>
        <v/>
      </c>
      <c r="BJM1" s="11">
        <f>IF(OR(SwitchTR&lt;&gt;"ON",Universe!$B$814=""),"",Universe!$B$814)</f>
        <v/>
      </c>
      <c r="BJO1" s="11">
        <f>IF(OR(SwitchTR&lt;&gt;"ON",Universe!$B$815=""),"",Universe!$B$815)</f>
        <v/>
      </c>
      <c r="BJQ1" s="11">
        <f>IF(OR(SwitchTR&lt;&gt;"ON",Universe!$B$816=""),"",Universe!$B$816)</f>
        <v/>
      </c>
      <c r="BJS1" s="11">
        <f>IF(OR(SwitchTR&lt;&gt;"ON",Universe!$B$817=""),"",Universe!$B$817)</f>
        <v/>
      </c>
      <c r="BJU1" s="11">
        <f>IF(OR(SwitchTR&lt;&gt;"ON",Universe!$B$818=""),"",Universe!$B$818)</f>
        <v/>
      </c>
      <c r="BJW1" s="11">
        <f>IF(OR(SwitchTR&lt;&gt;"ON",Universe!$B$819=""),"",Universe!$B$819)</f>
        <v/>
      </c>
      <c r="BJY1" s="11">
        <f>IF(OR(SwitchTR&lt;&gt;"ON",Universe!$B$820=""),"",Universe!$B$820)</f>
        <v/>
      </c>
      <c r="BKA1" s="11">
        <f>IF(OR(SwitchTR&lt;&gt;"ON",Universe!$B$821=""),"",Universe!$B$821)</f>
        <v/>
      </c>
      <c r="BKC1" s="11">
        <f>IF(OR(SwitchTR&lt;&gt;"ON",Universe!$B$822=""),"",Universe!$B$822)</f>
        <v/>
      </c>
      <c r="BKE1" s="11">
        <f>IF(OR(SwitchTR&lt;&gt;"ON",Universe!$B$823=""),"",Universe!$B$823)</f>
        <v/>
      </c>
      <c r="BKG1" s="11">
        <f>IF(OR(SwitchTR&lt;&gt;"ON",Universe!$B$824=""),"",Universe!$B$824)</f>
        <v/>
      </c>
      <c r="BKI1" s="11">
        <f>IF(OR(SwitchTR&lt;&gt;"ON",Universe!$B$825=""),"",Universe!$B$825)</f>
        <v/>
      </c>
      <c r="BKK1" s="11">
        <f>IF(OR(SwitchTR&lt;&gt;"ON",Universe!$B$826=""),"",Universe!$B$826)</f>
        <v/>
      </c>
      <c r="BKM1" s="11">
        <f>IF(OR(SwitchTR&lt;&gt;"ON",Universe!$B$827=""),"",Universe!$B$827)</f>
        <v/>
      </c>
      <c r="BKO1" s="11">
        <f>IF(OR(SwitchTR&lt;&gt;"ON",Universe!$B$828=""),"",Universe!$B$828)</f>
        <v/>
      </c>
      <c r="BKQ1" s="11">
        <f>IF(OR(SwitchTR&lt;&gt;"ON",Universe!$B$829=""),"",Universe!$B$829)</f>
        <v/>
      </c>
      <c r="BKS1" s="11">
        <f>IF(OR(SwitchTR&lt;&gt;"ON",Universe!$B$830=""),"",Universe!$B$830)</f>
        <v/>
      </c>
      <c r="BKU1" s="11">
        <f>IF(OR(SwitchTR&lt;&gt;"ON",Universe!$B$831=""),"",Universe!$B$831)</f>
        <v/>
      </c>
      <c r="BKW1" s="11">
        <f>IF(OR(SwitchTR&lt;&gt;"ON",Universe!$B$832=""),"",Universe!$B$832)</f>
        <v/>
      </c>
      <c r="BKY1" s="11">
        <f>IF(OR(SwitchTR&lt;&gt;"ON",Universe!$B$833=""),"",Universe!$B$833)</f>
        <v/>
      </c>
      <c r="BLA1" s="11">
        <f>IF(OR(SwitchTR&lt;&gt;"ON",Universe!$B$834=""),"",Universe!$B$834)</f>
        <v/>
      </c>
      <c r="BLC1" s="11">
        <f>IF(OR(SwitchTR&lt;&gt;"ON",Universe!$B$835=""),"",Universe!$B$835)</f>
        <v/>
      </c>
      <c r="BLE1" s="11">
        <f>IF(OR(SwitchTR&lt;&gt;"ON",Universe!$B$836=""),"",Universe!$B$836)</f>
        <v/>
      </c>
      <c r="BLG1" s="11">
        <f>IF(OR(SwitchTR&lt;&gt;"ON",Universe!$B$837=""),"",Universe!$B$837)</f>
        <v/>
      </c>
      <c r="BLI1" s="11">
        <f>IF(OR(SwitchTR&lt;&gt;"ON",Universe!$B$838=""),"",Universe!$B$838)</f>
        <v/>
      </c>
      <c r="BLK1" s="11">
        <f>IF(OR(SwitchTR&lt;&gt;"ON",Universe!$B$839=""),"",Universe!$B$839)</f>
        <v/>
      </c>
      <c r="BLM1" s="11">
        <f>IF(OR(SwitchTR&lt;&gt;"ON",Universe!$B$840=""),"",Universe!$B$840)</f>
        <v/>
      </c>
      <c r="BLO1" s="11">
        <f>IF(OR(SwitchTR&lt;&gt;"ON",Universe!$B$841=""),"",Universe!$B$841)</f>
        <v/>
      </c>
      <c r="BLQ1" s="11">
        <f>IF(OR(SwitchTR&lt;&gt;"ON",Universe!$B$842=""),"",Universe!$B$842)</f>
        <v/>
      </c>
      <c r="BLS1" s="11">
        <f>IF(OR(SwitchTR&lt;&gt;"ON",Universe!$B$843=""),"",Universe!$B$843)</f>
        <v/>
      </c>
      <c r="BLU1" s="11">
        <f>IF(OR(SwitchTR&lt;&gt;"ON",Universe!$B$844=""),"",Universe!$B$844)</f>
        <v/>
      </c>
      <c r="BLW1" s="11">
        <f>IF(OR(SwitchTR&lt;&gt;"ON",Universe!$B$845=""),"",Universe!$B$845)</f>
        <v/>
      </c>
      <c r="BLY1" s="11">
        <f>IF(OR(SwitchTR&lt;&gt;"ON",Universe!$B$846=""),"",Universe!$B$846)</f>
        <v/>
      </c>
      <c r="BMA1" s="11">
        <f>IF(OR(SwitchTR&lt;&gt;"ON",Universe!$B$847=""),"",Universe!$B$847)</f>
        <v/>
      </c>
      <c r="BMC1" s="11">
        <f>IF(OR(SwitchTR&lt;&gt;"ON",Universe!$B$848=""),"",Universe!$B$848)</f>
        <v/>
      </c>
      <c r="BME1" s="11">
        <f>IF(OR(SwitchTR&lt;&gt;"ON",Universe!$B$849=""),"",Universe!$B$849)</f>
        <v/>
      </c>
      <c r="BMG1" s="11">
        <f>IF(OR(SwitchTR&lt;&gt;"ON",Universe!$B$850=""),"",Universe!$B$850)</f>
        <v/>
      </c>
      <c r="BMI1" s="11">
        <f>IF(OR(SwitchTR&lt;&gt;"ON",Universe!$B$851=""),"",Universe!$B$851)</f>
        <v/>
      </c>
      <c r="BMK1" s="11">
        <f>IF(OR(SwitchTR&lt;&gt;"ON",Universe!$B$852=""),"",Universe!$B$852)</f>
        <v/>
      </c>
      <c r="BMM1" s="11">
        <f>IF(OR(SwitchTR&lt;&gt;"ON",Universe!$B$853=""),"",Universe!$B$853)</f>
        <v/>
      </c>
      <c r="BMO1" s="11">
        <f>IF(OR(SwitchTR&lt;&gt;"ON",Universe!$B$854=""),"",Universe!$B$854)</f>
        <v/>
      </c>
      <c r="BMQ1" s="11">
        <f>IF(OR(SwitchTR&lt;&gt;"ON",Universe!$B$855=""),"",Universe!$B$855)</f>
        <v/>
      </c>
      <c r="BMS1" s="11">
        <f>IF(OR(SwitchTR&lt;&gt;"ON",Universe!$B$856=""),"",Universe!$B$856)</f>
        <v/>
      </c>
      <c r="BMU1" s="11">
        <f>IF(OR(SwitchTR&lt;&gt;"ON",Universe!$B$857=""),"",Universe!$B$857)</f>
        <v/>
      </c>
      <c r="BMW1" s="11">
        <f>IF(OR(SwitchTR&lt;&gt;"ON",Universe!$B$858=""),"",Universe!$B$858)</f>
        <v/>
      </c>
      <c r="BMY1" s="11">
        <f>IF(OR(SwitchTR&lt;&gt;"ON",Universe!$B$859=""),"",Universe!$B$859)</f>
        <v/>
      </c>
      <c r="BNA1" s="11">
        <f>IF(OR(SwitchTR&lt;&gt;"ON",Universe!$B$860=""),"",Universe!$B$860)</f>
        <v/>
      </c>
      <c r="BNC1" s="11">
        <f>IF(OR(SwitchTR&lt;&gt;"ON",Universe!$B$861=""),"",Universe!$B$861)</f>
        <v/>
      </c>
      <c r="BNE1" s="11">
        <f>IF(OR(SwitchTR&lt;&gt;"ON",Universe!$B$862=""),"",Universe!$B$862)</f>
        <v/>
      </c>
      <c r="BNG1" s="11">
        <f>IF(OR(SwitchTR&lt;&gt;"ON",Universe!$B$863=""),"",Universe!$B$863)</f>
        <v/>
      </c>
      <c r="BNI1" s="11">
        <f>IF(OR(SwitchTR&lt;&gt;"ON",Universe!$B$864=""),"",Universe!$B$864)</f>
        <v/>
      </c>
      <c r="BNK1" s="11">
        <f>IF(OR(SwitchTR&lt;&gt;"ON",Universe!$B$865=""),"",Universe!$B$865)</f>
        <v/>
      </c>
      <c r="BNM1" s="11">
        <f>IF(OR(SwitchTR&lt;&gt;"ON",Universe!$B$866=""),"",Universe!$B$866)</f>
        <v/>
      </c>
      <c r="BNO1" s="11">
        <f>IF(OR(SwitchTR&lt;&gt;"ON",Universe!$B$867=""),"",Universe!$B$867)</f>
        <v/>
      </c>
      <c r="BNQ1" s="11">
        <f>IF(OR(SwitchTR&lt;&gt;"ON",Universe!$B$868=""),"",Universe!$B$868)</f>
        <v/>
      </c>
      <c r="BNS1" s="11">
        <f>IF(OR(SwitchTR&lt;&gt;"ON",Universe!$B$869=""),"",Universe!$B$869)</f>
        <v/>
      </c>
      <c r="BNU1" s="11">
        <f>IF(OR(SwitchTR&lt;&gt;"ON",Universe!$B$870=""),"",Universe!$B$870)</f>
        <v/>
      </c>
      <c r="BNW1" s="11">
        <f>IF(OR(SwitchTR&lt;&gt;"ON",Universe!$B$871=""),"",Universe!$B$871)</f>
        <v/>
      </c>
      <c r="BNY1" s="11">
        <f>IF(OR(SwitchTR&lt;&gt;"ON",Universe!$B$872=""),"",Universe!$B$872)</f>
        <v/>
      </c>
      <c r="BOA1" s="11">
        <f>IF(OR(SwitchTR&lt;&gt;"ON",Universe!$B$873=""),"",Universe!$B$873)</f>
        <v/>
      </c>
      <c r="BOC1" s="11">
        <f>IF(OR(SwitchTR&lt;&gt;"ON",Universe!$B$874=""),"",Universe!$B$874)</f>
        <v/>
      </c>
      <c r="BOE1" s="11">
        <f>IF(OR(SwitchTR&lt;&gt;"ON",Universe!$B$875=""),"",Universe!$B$875)</f>
        <v/>
      </c>
      <c r="BOG1" s="11">
        <f>IF(OR(SwitchTR&lt;&gt;"ON",Universe!$B$876=""),"",Universe!$B$876)</f>
        <v/>
      </c>
      <c r="BOI1" s="11">
        <f>IF(OR(SwitchTR&lt;&gt;"ON",Universe!$B$877=""),"",Universe!$B$877)</f>
        <v/>
      </c>
      <c r="BOK1" s="11">
        <f>IF(OR(SwitchTR&lt;&gt;"ON",Universe!$B$878=""),"",Universe!$B$878)</f>
        <v/>
      </c>
      <c r="BOM1" s="11">
        <f>IF(OR(SwitchTR&lt;&gt;"ON",Universe!$B$879=""),"",Universe!$B$879)</f>
        <v/>
      </c>
      <c r="BOO1" s="11">
        <f>IF(OR(SwitchTR&lt;&gt;"ON",Universe!$B$880=""),"",Universe!$B$880)</f>
        <v/>
      </c>
      <c r="BOQ1" s="11">
        <f>IF(OR(SwitchTR&lt;&gt;"ON",Universe!$B$881=""),"",Universe!$B$881)</f>
        <v/>
      </c>
      <c r="BOS1" s="11">
        <f>IF(OR(SwitchTR&lt;&gt;"ON",Universe!$B$882=""),"",Universe!$B$882)</f>
        <v/>
      </c>
      <c r="BOU1" s="11">
        <f>IF(OR(SwitchTR&lt;&gt;"ON",Universe!$B$883=""),"",Universe!$B$883)</f>
        <v/>
      </c>
      <c r="BOW1" s="11">
        <f>IF(OR(SwitchTR&lt;&gt;"ON",Universe!$B$884=""),"",Universe!$B$884)</f>
        <v/>
      </c>
      <c r="BOY1" s="11">
        <f>IF(OR(SwitchTR&lt;&gt;"ON",Universe!$B$885=""),"",Universe!$B$885)</f>
        <v/>
      </c>
      <c r="BPA1" s="11">
        <f>IF(OR(SwitchTR&lt;&gt;"ON",Universe!$B$886=""),"",Universe!$B$886)</f>
        <v/>
      </c>
      <c r="BPC1" s="11">
        <f>IF(OR(SwitchTR&lt;&gt;"ON",Universe!$B$887=""),"",Universe!$B$887)</f>
        <v/>
      </c>
      <c r="BPE1" s="11">
        <f>IF(OR(SwitchTR&lt;&gt;"ON",Universe!$B$888=""),"",Universe!$B$888)</f>
        <v/>
      </c>
      <c r="BPG1" s="11">
        <f>IF(OR(SwitchTR&lt;&gt;"ON",Universe!$B$889=""),"",Universe!$B$889)</f>
        <v/>
      </c>
      <c r="BPI1" s="11">
        <f>IF(OR(SwitchTR&lt;&gt;"ON",Universe!$B$890=""),"",Universe!$B$890)</f>
        <v/>
      </c>
      <c r="BPK1" s="11">
        <f>IF(OR(SwitchTR&lt;&gt;"ON",Universe!$B$891=""),"",Universe!$B$891)</f>
        <v/>
      </c>
      <c r="BPM1" s="11">
        <f>IF(OR(SwitchTR&lt;&gt;"ON",Universe!$B$892=""),"",Universe!$B$892)</f>
        <v/>
      </c>
      <c r="BPO1" s="11">
        <f>IF(OR(SwitchTR&lt;&gt;"ON",Universe!$B$893=""),"",Universe!$B$893)</f>
        <v/>
      </c>
      <c r="BPQ1" s="11">
        <f>IF(OR(SwitchTR&lt;&gt;"ON",Universe!$B$894=""),"",Universe!$B$894)</f>
        <v/>
      </c>
      <c r="BPS1" s="11">
        <f>IF(OR(SwitchTR&lt;&gt;"ON",Universe!$B$895=""),"",Universe!$B$895)</f>
        <v/>
      </c>
      <c r="BPU1" s="11">
        <f>IF(OR(SwitchTR&lt;&gt;"ON",Universe!$B$896=""),"",Universe!$B$896)</f>
        <v/>
      </c>
      <c r="BPW1" s="11">
        <f>IF(OR(SwitchTR&lt;&gt;"ON",Universe!$B$897=""),"",Universe!$B$897)</f>
        <v/>
      </c>
      <c r="BPY1" s="11">
        <f>IF(OR(SwitchTR&lt;&gt;"ON",Universe!$B$898=""),"",Universe!$B$898)</f>
        <v/>
      </c>
      <c r="BQA1" s="11">
        <f>IF(OR(SwitchTR&lt;&gt;"ON",Universe!$B$899=""),"",Universe!$B$899)</f>
        <v/>
      </c>
      <c r="BQC1" s="11">
        <f>IF(OR(SwitchTR&lt;&gt;"ON",Universe!$B$900=""),"",Universe!$B$900)</f>
        <v/>
      </c>
      <c r="BQE1" s="11">
        <f>IF(OR(SwitchTR&lt;&gt;"ON",Universe!$B$901=""),"",Universe!$B$901)</f>
        <v/>
      </c>
      <c r="BQG1" s="11">
        <f>IF(OR(SwitchTR&lt;&gt;"ON",Universe!$B$902=""),"",Universe!$B$902)</f>
        <v/>
      </c>
      <c r="BQI1" s="11">
        <f>IF(OR(SwitchTR&lt;&gt;"ON",Universe!$B$903=""),"",Universe!$B$903)</f>
        <v/>
      </c>
      <c r="BQK1" s="11">
        <f>IF(OR(SwitchTR&lt;&gt;"ON",Universe!$B$904=""),"",Universe!$B$904)</f>
        <v/>
      </c>
      <c r="BQM1" s="11">
        <f>IF(OR(SwitchTR&lt;&gt;"ON",Universe!$B$905=""),"",Universe!$B$905)</f>
        <v/>
      </c>
      <c r="BQO1" s="11">
        <f>IF(OR(SwitchTR&lt;&gt;"ON",Universe!$B$906=""),"",Universe!$B$906)</f>
        <v/>
      </c>
      <c r="BQQ1" s="11">
        <f>IF(OR(SwitchTR&lt;&gt;"ON",Universe!$B$907=""),"",Universe!$B$907)</f>
        <v/>
      </c>
      <c r="BQS1" s="11">
        <f>IF(OR(SwitchTR&lt;&gt;"ON",Universe!$B$908=""),"",Universe!$B$908)</f>
        <v/>
      </c>
      <c r="BQU1" s="11">
        <f>IF(OR(SwitchTR&lt;&gt;"ON",Universe!$B$909=""),"",Universe!$B$909)</f>
        <v/>
      </c>
      <c r="BQW1" s="11">
        <f>IF(OR(SwitchTR&lt;&gt;"ON",Universe!$B$910=""),"",Universe!$B$910)</f>
        <v/>
      </c>
      <c r="BQY1" s="11">
        <f>IF(OR(SwitchTR&lt;&gt;"ON",Universe!$B$911=""),"",Universe!$B$911)</f>
        <v/>
      </c>
      <c r="BRA1" s="11">
        <f>IF(OR(SwitchTR&lt;&gt;"ON",Universe!$B$912=""),"",Universe!$B$912)</f>
        <v/>
      </c>
      <c r="BRC1" s="11">
        <f>IF(OR(SwitchTR&lt;&gt;"ON",Universe!$B$913=""),"",Universe!$B$913)</f>
        <v/>
      </c>
      <c r="BRE1" s="11">
        <f>IF(OR(SwitchTR&lt;&gt;"ON",Universe!$B$914=""),"",Universe!$B$914)</f>
        <v/>
      </c>
      <c r="BRG1" s="11">
        <f>IF(OR(SwitchTR&lt;&gt;"ON",Universe!$B$915=""),"",Universe!$B$915)</f>
        <v/>
      </c>
      <c r="BRI1" s="11">
        <f>IF(OR(SwitchTR&lt;&gt;"ON",Universe!$B$916=""),"",Universe!$B$916)</f>
        <v/>
      </c>
      <c r="BRK1" s="11">
        <f>IF(OR(SwitchTR&lt;&gt;"ON",Universe!$B$917=""),"",Universe!$B$917)</f>
        <v/>
      </c>
      <c r="BRM1" s="11">
        <f>IF(OR(SwitchTR&lt;&gt;"ON",Universe!$B$918=""),"",Universe!$B$918)</f>
        <v/>
      </c>
      <c r="BRO1" s="11">
        <f>IF(OR(SwitchTR&lt;&gt;"ON",Universe!$B$919=""),"",Universe!$B$919)</f>
        <v/>
      </c>
      <c r="BRQ1" s="11">
        <f>IF(OR(SwitchTR&lt;&gt;"ON",Universe!$B$920=""),"",Universe!$B$920)</f>
        <v/>
      </c>
      <c r="BRS1" s="11">
        <f>IF(OR(SwitchTR&lt;&gt;"ON",Universe!$B$921=""),"",Universe!$B$921)</f>
        <v/>
      </c>
      <c r="BRU1" s="11">
        <f>IF(OR(SwitchTR&lt;&gt;"ON",Universe!$B$922=""),"",Universe!$B$922)</f>
        <v/>
      </c>
      <c r="BRW1" s="11">
        <f>IF(OR(SwitchTR&lt;&gt;"ON",Universe!$B$923=""),"",Universe!$B$923)</f>
        <v/>
      </c>
      <c r="BRY1" s="11">
        <f>IF(OR(SwitchTR&lt;&gt;"ON",Universe!$B$924=""),"",Universe!$B$924)</f>
        <v/>
      </c>
      <c r="BSA1" s="11">
        <f>IF(OR(SwitchTR&lt;&gt;"ON",Universe!$B$925=""),"",Universe!$B$925)</f>
        <v/>
      </c>
      <c r="BSC1" s="11">
        <f>IF(OR(SwitchTR&lt;&gt;"ON",Universe!$B$926=""),"",Universe!$B$926)</f>
        <v/>
      </c>
      <c r="BSE1" s="11">
        <f>IF(OR(SwitchTR&lt;&gt;"ON",Universe!$B$927=""),"",Universe!$B$927)</f>
        <v/>
      </c>
      <c r="BSG1" s="11">
        <f>IF(OR(SwitchTR&lt;&gt;"ON",Universe!$B$928=""),"",Universe!$B$928)</f>
        <v/>
      </c>
      <c r="BSI1" s="11">
        <f>IF(OR(SwitchTR&lt;&gt;"ON",Universe!$B$929=""),"",Universe!$B$929)</f>
        <v/>
      </c>
      <c r="BSK1" s="11">
        <f>IF(OR(SwitchTR&lt;&gt;"ON",Universe!$B$930=""),"",Universe!$B$930)</f>
        <v/>
      </c>
      <c r="BSM1" s="11">
        <f>IF(OR(SwitchTR&lt;&gt;"ON",Universe!$B$931=""),"",Universe!$B$931)</f>
        <v/>
      </c>
      <c r="BSO1" s="11">
        <f>IF(OR(SwitchTR&lt;&gt;"ON",Universe!$B$932=""),"",Universe!$B$932)</f>
        <v/>
      </c>
      <c r="BSQ1" s="11">
        <f>IF(OR(SwitchTR&lt;&gt;"ON",Universe!$B$933=""),"",Universe!$B$933)</f>
        <v/>
      </c>
      <c r="BSS1" s="11">
        <f>IF(OR(SwitchTR&lt;&gt;"ON",Universe!$B$934=""),"",Universe!$B$934)</f>
        <v/>
      </c>
      <c r="BSU1" s="11">
        <f>IF(OR(SwitchTR&lt;&gt;"ON",Universe!$B$935=""),"",Universe!$B$935)</f>
        <v/>
      </c>
      <c r="BSW1" s="11">
        <f>IF(OR(SwitchTR&lt;&gt;"ON",Universe!$B$936=""),"",Universe!$B$936)</f>
        <v/>
      </c>
      <c r="BSY1" s="11">
        <f>IF(OR(SwitchTR&lt;&gt;"ON",Universe!$B$937=""),"",Universe!$B$937)</f>
        <v/>
      </c>
      <c r="BTA1" s="11">
        <f>IF(OR(SwitchTR&lt;&gt;"ON",Universe!$B$938=""),"",Universe!$B$938)</f>
        <v/>
      </c>
      <c r="BTC1" s="11">
        <f>IF(OR(SwitchTR&lt;&gt;"ON",Universe!$B$939=""),"",Universe!$B$939)</f>
        <v/>
      </c>
      <c r="BTE1" s="11">
        <f>IF(OR(SwitchTR&lt;&gt;"ON",Universe!$B$940=""),"",Universe!$B$940)</f>
        <v/>
      </c>
      <c r="BTG1" s="11">
        <f>IF(OR(SwitchTR&lt;&gt;"ON",Universe!$B$941=""),"",Universe!$B$941)</f>
        <v/>
      </c>
      <c r="BTI1" s="11">
        <f>IF(OR(SwitchTR&lt;&gt;"ON",Universe!$B$942=""),"",Universe!$B$942)</f>
        <v/>
      </c>
      <c r="BTK1" s="11">
        <f>IF(OR(SwitchTR&lt;&gt;"ON",Universe!$B$943=""),"",Universe!$B$943)</f>
        <v/>
      </c>
      <c r="BTM1" s="11">
        <f>IF(OR(SwitchTR&lt;&gt;"ON",Universe!$B$944=""),"",Universe!$B$944)</f>
        <v/>
      </c>
      <c r="BTO1" s="11">
        <f>IF(OR(SwitchTR&lt;&gt;"ON",Universe!$B$945=""),"",Universe!$B$945)</f>
        <v/>
      </c>
      <c r="BTQ1" s="11">
        <f>IF(OR(SwitchTR&lt;&gt;"ON",Universe!$B$946=""),"",Universe!$B$946)</f>
        <v/>
      </c>
      <c r="BTS1" s="11">
        <f>IF(OR(SwitchTR&lt;&gt;"ON",Universe!$B$947=""),"",Universe!$B$947)</f>
        <v/>
      </c>
      <c r="BTU1" s="11">
        <f>IF(OR(SwitchTR&lt;&gt;"ON",Universe!$B$948=""),"",Universe!$B$948)</f>
        <v/>
      </c>
      <c r="BTW1" s="11">
        <f>IF(OR(SwitchTR&lt;&gt;"ON",Universe!$B$949=""),"",Universe!$B$949)</f>
        <v/>
      </c>
      <c r="BTY1" s="11">
        <f>IF(OR(SwitchTR&lt;&gt;"ON",Universe!$B$950=""),"",Universe!$B$950)</f>
        <v/>
      </c>
      <c r="BUA1" s="11">
        <f>IF(OR(SwitchTR&lt;&gt;"ON",Universe!$B$951=""),"",Universe!$B$951)</f>
        <v/>
      </c>
      <c r="BUC1" s="11">
        <f>IF(OR(SwitchTR&lt;&gt;"ON",Universe!$B$952=""),"",Universe!$B$952)</f>
        <v/>
      </c>
      <c r="BUE1" s="11">
        <f>IF(OR(SwitchTR&lt;&gt;"ON",Universe!$B$953=""),"",Universe!$B$953)</f>
        <v/>
      </c>
      <c r="BUG1" s="11">
        <f>IF(OR(SwitchTR&lt;&gt;"ON",Universe!$B$954=""),"",Universe!$B$954)</f>
        <v/>
      </c>
      <c r="BUI1" s="11">
        <f>IF(OR(SwitchTR&lt;&gt;"ON",Universe!$B$955=""),"",Universe!$B$955)</f>
        <v/>
      </c>
      <c r="BUK1" s="11">
        <f>IF(OR(SwitchTR&lt;&gt;"ON",Universe!$B$956=""),"",Universe!$B$956)</f>
        <v/>
      </c>
      <c r="BUM1" s="11">
        <f>IF(OR(SwitchTR&lt;&gt;"ON",Universe!$B$957=""),"",Universe!$B$957)</f>
        <v/>
      </c>
      <c r="BUO1" s="11">
        <f>IF(OR(SwitchTR&lt;&gt;"ON",Universe!$B$958=""),"",Universe!$B$958)</f>
        <v/>
      </c>
      <c r="BUQ1" s="11">
        <f>IF(OR(SwitchTR&lt;&gt;"ON",Universe!$B$959=""),"",Universe!$B$959)</f>
        <v/>
      </c>
      <c r="BUS1" s="11">
        <f>IF(OR(SwitchTR&lt;&gt;"ON",Universe!$B$960=""),"",Universe!$B$960)</f>
        <v/>
      </c>
      <c r="BUU1" s="11">
        <f>IF(OR(SwitchTR&lt;&gt;"ON",Universe!$B$961=""),"",Universe!$B$961)</f>
        <v/>
      </c>
      <c r="BUW1" s="11">
        <f>IF(OR(SwitchTR&lt;&gt;"ON",Universe!$B$962=""),"",Universe!$B$962)</f>
        <v/>
      </c>
      <c r="BUY1" s="11">
        <f>IF(OR(SwitchTR&lt;&gt;"ON",Universe!$B$963=""),"",Universe!$B$963)</f>
        <v/>
      </c>
      <c r="BVA1" s="11">
        <f>IF(OR(SwitchTR&lt;&gt;"ON",Universe!$B$964=""),"",Universe!$B$964)</f>
        <v/>
      </c>
      <c r="BVC1" s="11">
        <f>IF(OR(SwitchTR&lt;&gt;"ON",Universe!$B$965=""),"",Universe!$B$965)</f>
        <v/>
      </c>
      <c r="BVE1" s="11">
        <f>IF(OR(SwitchTR&lt;&gt;"ON",Universe!$B$966=""),"",Universe!$B$966)</f>
        <v/>
      </c>
      <c r="BVG1" s="11">
        <f>IF(OR(SwitchTR&lt;&gt;"ON",Universe!$B$967=""),"",Universe!$B$967)</f>
        <v/>
      </c>
      <c r="BVI1" s="11">
        <f>IF(OR(SwitchTR&lt;&gt;"ON",Universe!$B$968=""),"",Universe!$B$968)</f>
        <v/>
      </c>
      <c r="BVK1" s="11">
        <f>IF(OR(SwitchTR&lt;&gt;"ON",Universe!$B$969=""),"",Universe!$B$969)</f>
        <v/>
      </c>
      <c r="BVM1" s="11">
        <f>IF(OR(SwitchTR&lt;&gt;"ON",Universe!$B$970=""),"",Universe!$B$970)</f>
        <v/>
      </c>
      <c r="BVO1" s="11">
        <f>IF(OR(SwitchTR&lt;&gt;"ON",Universe!$B$971=""),"",Universe!$B$971)</f>
        <v/>
      </c>
      <c r="BVQ1" s="11">
        <f>IF(OR(SwitchTR&lt;&gt;"ON",Universe!$B$972=""),"",Universe!$B$972)</f>
        <v/>
      </c>
      <c r="BVS1" s="11">
        <f>IF(OR(SwitchTR&lt;&gt;"ON",Universe!$B$973=""),"",Universe!$B$973)</f>
        <v/>
      </c>
      <c r="BVU1" s="11">
        <f>IF(OR(SwitchTR&lt;&gt;"ON",Universe!$B$974=""),"",Universe!$B$974)</f>
        <v/>
      </c>
      <c r="BVW1" s="11">
        <f>IF(OR(SwitchTR&lt;&gt;"ON",Universe!$B$975=""),"",Universe!$B$975)</f>
        <v/>
      </c>
      <c r="BVY1" s="11">
        <f>IF(OR(SwitchTR&lt;&gt;"ON",Universe!$B$976=""),"",Universe!$B$976)</f>
        <v/>
      </c>
      <c r="BWA1" s="11">
        <f>IF(OR(SwitchTR&lt;&gt;"ON",Universe!$B$977=""),"",Universe!$B$977)</f>
        <v/>
      </c>
      <c r="BWC1" s="11">
        <f>IF(OR(SwitchTR&lt;&gt;"ON",Universe!$B$978=""),"",Universe!$B$978)</f>
        <v/>
      </c>
      <c r="BWE1" s="11">
        <f>IF(OR(SwitchTR&lt;&gt;"ON",Universe!$B$979=""),"",Universe!$B$979)</f>
        <v/>
      </c>
      <c r="BWG1" s="11">
        <f>IF(OR(SwitchTR&lt;&gt;"ON",Universe!$B$980=""),"",Universe!$B$980)</f>
        <v/>
      </c>
      <c r="BWI1" s="11">
        <f>IF(OR(SwitchTR&lt;&gt;"ON",Universe!$B$981=""),"",Universe!$B$981)</f>
        <v/>
      </c>
      <c r="BWK1" s="11">
        <f>IF(OR(SwitchTR&lt;&gt;"ON",Universe!$B$982=""),"",Universe!$B$982)</f>
        <v/>
      </c>
      <c r="BWM1" s="11">
        <f>IF(OR(SwitchTR&lt;&gt;"ON",Universe!$B$983=""),"",Universe!$B$983)</f>
        <v/>
      </c>
      <c r="BWO1" s="11">
        <f>IF(OR(SwitchTR&lt;&gt;"ON",Universe!$B$984=""),"",Universe!$B$984)</f>
        <v/>
      </c>
      <c r="BWQ1" s="11">
        <f>IF(OR(SwitchTR&lt;&gt;"ON",Universe!$B$985=""),"",Universe!$B$985)</f>
        <v/>
      </c>
      <c r="BWS1" s="11">
        <f>IF(OR(SwitchTR&lt;&gt;"ON",Universe!$B$986=""),"",Universe!$B$986)</f>
        <v/>
      </c>
      <c r="BWU1" s="11">
        <f>IF(OR(SwitchTR&lt;&gt;"ON",Universe!$B$987=""),"",Universe!$B$987)</f>
        <v/>
      </c>
      <c r="BWW1" s="11">
        <f>IF(OR(SwitchTR&lt;&gt;"ON",Universe!$B$988=""),"",Universe!$B$988)</f>
        <v/>
      </c>
      <c r="BWY1" s="11">
        <f>IF(OR(SwitchTR&lt;&gt;"ON",Universe!$B$989=""),"",Universe!$B$989)</f>
        <v/>
      </c>
      <c r="BXA1" s="11">
        <f>IF(OR(SwitchTR&lt;&gt;"ON",Universe!$B$990=""),"",Universe!$B$990)</f>
        <v/>
      </c>
      <c r="BXC1" s="11">
        <f>IF(OR(SwitchTR&lt;&gt;"ON",Universe!$B$991=""),"",Universe!$B$991)</f>
        <v/>
      </c>
      <c r="BXE1" s="11">
        <f>IF(OR(SwitchTR&lt;&gt;"ON",Universe!$B$992=""),"",Universe!$B$992)</f>
        <v/>
      </c>
      <c r="BXG1" s="11">
        <f>IF(OR(SwitchTR&lt;&gt;"ON",Universe!$B$993=""),"",Universe!$B$993)</f>
        <v/>
      </c>
      <c r="BXI1" s="11">
        <f>IF(OR(SwitchTR&lt;&gt;"ON",Universe!$B$994=""),"",Universe!$B$994)</f>
        <v/>
      </c>
      <c r="BXK1" s="11">
        <f>IF(OR(SwitchTR&lt;&gt;"ON",Universe!$B$995=""),"",Universe!$B$995)</f>
        <v/>
      </c>
      <c r="BXM1" s="11">
        <f>IF(OR(SwitchTR&lt;&gt;"ON",Universe!$B$996=""),"",Universe!$B$996)</f>
        <v/>
      </c>
      <c r="BXO1" s="11">
        <f>IF(OR(SwitchTR&lt;&gt;"ON",Universe!$B$997=""),"",Universe!$B$997)</f>
        <v/>
      </c>
      <c r="BXQ1" s="11">
        <f>IF(OR(SwitchTR&lt;&gt;"ON",Universe!$B$998=""),"",Universe!$B$998)</f>
        <v/>
      </c>
      <c r="BXS1" s="11">
        <f>IF(OR(SwitchTR&lt;&gt;"ON",Universe!$B$999=""),"",Universe!$B$999)</f>
        <v/>
      </c>
      <c r="BXU1" s="11">
        <f>IF(OR(SwitchTR&lt;&gt;"ON",Universe!$B$1000=""),"",Universe!$B$1000)</f>
        <v/>
      </c>
      <c r="BXW1" s="11">
        <f>IF(OR(SwitchTR&lt;&gt;"ON",Universe!$B$1001=""),"",Universe!$B$1001)</f>
        <v/>
      </c>
      <c r="BXY1" s="11">
        <f>IF(OR(SwitchTR&lt;&gt;"ON",Universe!$B$1002=""),"",Universe!$B$1002)</f>
        <v/>
      </c>
      <c r="BYA1" s="11">
        <f>IF(OR(SwitchTR&lt;&gt;"ON",Universe!$B$1003=""),"",Universe!$B$1003)</f>
        <v/>
      </c>
      <c r="BYC1" s="11">
        <f>IF(OR(SwitchTR&lt;&gt;"ON",Universe!$B$1004=""),"",Universe!$B$1004)</f>
        <v/>
      </c>
      <c r="BYE1" s="11">
        <f>IF(OR(SwitchTR&lt;&gt;"ON",Universe!$B$1005=""),"",Universe!$B$1005)</f>
        <v/>
      </c>
      <c r="BYG1" s="11">
        <f>IF(OR(SwitchTR&lt;&gt;"ON",Universe!$B$1006=""),"",Universe!$B$1006)</f>
        <v/>
      </c>
      <c r="BYI1" s="11">
        <f>IF(OR(SwitchTR&lt;&gt;"ON",Universe!$B$1007=""),"",Universe!$B$1007)</f>
        <v/>
      </c>
      <c r="BYK1" s="11">
        <f>IF(OR(SwitchTR&lt;&gt;"ON",Universe!$B$1008=""),"",Universe!$B$1008)</f>
        <v/>
      </c>
      <c r="BYM1" s="11">
        <f>IF(OR(SwitchTR&lt;&gt;"ON",Universe!$B$1009=""),"",Universe!$B$1009)</f>
        <v/>
      </c>
      <c r="BYO1" s="11">
        <f>IF(OR(SwitchTR&lt;&gt;"ON",Universe!$B$1010=""),"",Universe!$B$1010)</f>
        <v/>
      </c>
      <c r="BYQ1" s="11">
        <f>IF(OR(SwitchTR&lt;&gt;"ON",Universe!$B$1011=""),"",Universe!$B$1011)</f>
        <v/>
      </c>
      <c r="BYS1" s="11">
        <f>IF(OR(SwitchTR&lt;&gt;"ON",Universe!$B$1012=""),"",Universe!$B$1012)</f>
        <v/>
      </c>
      <c r="BYU1" s="11">
        <f>IF(OR(SwitchTR&lt;&gt;"ON",Universe!$B$1013=""),"",Universe!$B$1013)</f>
        <v/>
      </c>
      <c r="BYW1" s="11">
        <f>IF(OR(SwitchTR&lt;&gt;"ON",Universe!$B$1014=""),"",Universe!$B$1014)</f>
        <v/>
      </c>
      <c r="BYY1" s="11">
        <f>IF(OR(SwitchTR&lt;&gt;"ON",Universe!$B$1015=""),"",Universe!$B$1015)</f>
        <v/>
      </c>
      <c r="BZA1" s="11">
        <f>IF(OR(SwitchTR&lt;&gt;"ON",Universe!$B$1016=""),"",Universe!$B$1016)</f>
        <v/>
      </c>
      <c r="BZC1" s="11">
        <f>IF(OR(SwitchTR&lt;&gt;"ON",Universe!$B$1017=""),"",Universe!$B$1017)</f>
        <v/>
      </c>
      <c r="BZE1" s="11">
        <f>IF(OR(SwitchTR&lt;&gt;"ON",Universe!$B$1018=""),"",Universe!$B$1018)</f>
        <v/>
      </c>
      <c r="BZG1" s="11">
        <f>IF(OR(SwitchTR&lt;&gt;"ON",Universe!$B$1019=""),"",Universe!$B$1019)</f>
        <v/>
      </c>
      <c r="BZI1" s="11">
        <f>IF(OR(SwitchTR&lt;&gt;"ON",Universe!$B$1020=""),"",Universe!$B$1020)</f>
        <v/>
      </c>
      <c r="BZK1" s="11">
        <f>IF(OR(SwitchTR&lt;&gt;"ON",Universe!$B$1021=""),"",Universe!$B$1021)</f>
        <v/>
      </c>
      <c r="BZM1" s="11">
        <f>IF(OR(SwitchTR&lt;&gt;"ON",Universe!$B$1022=""),"",Universe!$B$1022)</f>
        <v/>
      </c>
      <c r="BZO1" s="11">
        <f>IF(OR(SwitchTR&lt;&gt;"ON",Universe!$B$1023=""),"",Universe!$B$1023)</f>
        <v/>
      </c>
      <c r="BZQ1" s="11">
        <f>IF(OR(SwitchTR&lt;&gt;"ON",Universe!$B$1024=""),"",Universe!$B$1024)</f>
        <v/>
      </c>
      <c r="BZS1" s="11">
        <f>IF(OR(SwitchTR&lt;&gt;"ON",Universe!$B$1025=""),"",Universe!$B$1025)</f>
        <v/>
      </c>
      <c r="BZU1" s="11">
        <f>IF(OR(SwitchTR&lt;&gt;"ON",Universe!$B$1026=""),"",Universe!$B$1026)</f>
        <v/>
      </c>
      <c r="BZW1" s="11">
        <f>IF(OR(SwitchTR&lt;&gt;"ON",Universe!$B$1027=""),"",Universe!$B$1027)</f>
        <v/>
      </c>
      <c r="BZY1" s="11">
        <f>IF(OR(SwitchTR&lt;&gt;"ON",Universe!$B$1028=""),"",Universe!$B$1028)</f>
        <v/>
      </c>
      <c r="CAA1" s="11">
        <f>IF(OR(SwitchTR&lt;&gt;"ON",Universe!$B$1029=""),"",Universe!$B$1029)</f>
        <v/>
      </c>
      <c r="CAC1" s="11">
        <f>IF(OR(SwitchTR&lt;&gt;"ON",Universe!$B$1030=""),"",Universe!$B$1030)</f>
        <v/>
      </c>
      <c r="CAE1" s="11">
        <f>IF(OR(SwitchTR&lt;&gt;"ON",Universe!$B$1031=""),"",Universe!$B$1031)</f>
        <v/>
      </c>
      <c r="CAG1" s="11">
        <f>IF(OR(SwitchTR&lt;&gt;"ON",Universe!$B$1032=""),"",Universe!$B$1032)</f>
        <v/>
      </c>
      <c r="CAI1" s="11">
        <f>IF(OR(SwitchTR&lt;&gt;"ON",Universe!$B$1033=""),"",Universe!$B$1033)</f>
        <v/>
      </c>
      <c r="CAK1" s="11">
        <f>IF(OR(SwitchTR&lt;&gt;"ON",Universe!$B$1034=""),"",Universe!$B$1034)</f>
        <v/>
      </c>
      <c r="CAM1" s="11">
        <f>IF(OR(SwitchTR&lt;&gt;"ON",Universe!$B$1035=""),"",Universe!$B$1035)</f>
        <v/>
      </c>
      <c r="CAO1" s="11">
        <f>IF(OR(SwitchTR&lt;&gt;"ON",Universe!$B$1036=""),"",Universe!$B$1036)</f>
        <v/>
      </c>
      <c r="CAQ1" s="11">
        <f>IF(OR(SwitchTR&lt;&gt;"ON",Universe!$B$1037=""),"",Universe!$B$1037)</f>
        <v/>
      </c>
      <c r="CAS1" s="11">
        <f>IF(OR(SwitchTR&lt;&gt;"ON",Universe!$B$1038=""),"",Universe!$B$1038)</f>
        <v/>
      </c>
      <c r="CAU1" s="11">
        <f>IF(OR(SwitchTR&lt;&gt;"ON",Universe!$B$1039=""),"",Universe!$B$1039)</f>
        <v/>
      </c>
      <c r="CAW1" s="11">
        <f>IF(OR(SwitchTR&lt;&gt;"ON",Universe!$B$1040=""),"",Universe!$B$1040)</f>
        <v/>
      </c>
      <c r="CAY1" s="11">
        <f>IF(OR(SwitchTR&lt;&gt;"ON",Universe!$B$1041=""),"",Universe!$B$1041)</f>
        <v/>
      </c>
      <c r="CBA1" s="11">
        <f>IF(OR(SwitchTR&lt;&gt;"ON",Universe!$B$1042=""),"",Universe!$B$1042)</f>
        <v/>
      </c>
      <c r="CBC1" s="11">
        <f>IF(OR(SwitchTR&lt;&gt;"ON",Universe!$B$1043=""),"",Universe!$B$1043)</f>
        <v/>
      </c>
      <c r="CBE1" s="11">
        <f>IF(OR(SwitchTR&lt;&gt;"ON",Universe!$B$1044=""),"",Universe!$B$1044)</f>
        <v/>
      </c>
      <c r="CBG1" s="11">
        <f>IF(OR(SwitchTR&lt;&gt;"ON",Universe!$B$1045=""),"",Universe!$B$1045)</f>
        <v/>
      </c>
      <c r="CBI1" s="11">
        <f>IF(OR(SwitchTR&lt;&gt;"ON",Universe!$B$1046=""),"",Universe!$B$1046)</f>
        <v/>
      </c>
      <c r="CBK1" s="11">
        <f>IF(OR(SwitchTR&lt;&gt;"ON",Universe!$B$1047=""),"",Universe!$B$1047)</f>
        <v/>
      </c>
      <c r="CBM1" s="11">
        <f>IF(OR(SwitchTR&lt;&gt;"ON",Universe!$B$1048=""),"",Universe!$B$1048)</f>
        <v/>
      </c>
      <c r="CBO1" s="11">
        <f>IF(OR(SwitchTR&lt;&gt;"ON",Universe!$B$1049=""),"",Universe!$B$1049)</f>
        <v/>
      </c>
      <c r="CBQ1" s="11">
        <f>IF(OR(SwitchTR&lt;&gt;"ON",Universe!$B$1050=""),"",Universe!$B$1050)</f>
        <v/>
      </c>
      <c r="CBS1" s="11">
        <f>IF(OR(SwitchTR&lt;&gt;"ON",Universe!$B$1051=""),"",Universe!$B$1051)</f>
        <v/>
      </c>
      <c r="CBU1" s="11">
        <f>IF(OR(SwitchTR&lt;&gt;"ON",Universe!$B$1052=""),"",Universe!$B$1052)</f>
        <v/>
      </c>
      <c r="CBW1" s="11">
        <f>IF(OR(SwitchTR&lt;&gt;"ON",Universe!$B$1053=""),"",Universe!$B$1053)</f>
        <v/>
      </c>
      <c r="CBY1" s="11">
        <f>IF(OR(SwitchTR&lt;&gt;"ON",Universe!$B$1054=""),"",Universe!$B$1054)</f>
        <v/>
      </c>
      <c r="CCA1" s="11">
        <f>IF(OR(SwitchTR&lt;&gt;"ON",Universe!$B$1055=""),"",Universe!$B$1055)</f>
        <v/>
      </c>
      <c r="CCC1" s="11">
        <f>IF(OR(SwitchTR&lt;&gt;"ON",Universe!$B$1056=""),"",Universe!$B$1056)</f>
        <v/>
      </c>
      <c r="CCE1" s="11">
        <f>IF(OR(SwitchTR&lt;&gt;"ON",Universe!$B$1057=""),"",Universe!$B$1057)</f>
        <v/>
      </c>
      <c r="CCG1" s="11">
        <f>IF(OR(SwitchTR&lt;&gt;"ON",Universe!$B$1058=""),"",Universe!$B$1058)</f>
        <v/>
      </c>
      <c r="CCI1" s="11">
        <f>IF(OR(SwitchTR&lt;&gt;"ON",Universe!$B$1059=""),"",Universe!$B$1059)</f>
        <v/>
      </c>
      <c r="CCK1" s="11">
        <f>IF(OR(SwitchTR&lt;&gt;"ON",Universe!$B$1060=""),"",Universe!$B$1060)</f>
        <v/>
      </c>
      <c r="CCM1" s="11">
        <f>IF(OR(SwitchTR&lt;&gt;"ON",Universe!$B$1061=""),"",Universe!$B$1061)</f>
        <v/>
      </c>
      <c r="CCO1" s="11">
        <f>IF(OR(SwitchTR&lt;&gt;"ON",Universe!$B$1062=""),"",Universe!$B$1062)</f>
        <v/>
      </c>
      <c r="CCQ1" s="11">
        <f>IF(OR(SwitchTR&lt;&gt;"ON",Universe!$B$1063=""),"",Universe!$B$1063)</f>
        <v/>
      </c>
      <c r="CCS1" s="11">
        <f>IF(OR(SwitchTR&lt;&gt;"ON",Universe!$B$1064=""),"",Universe!$B$1064)</f>
        <v/>
      </c>
      <c r="CCU1" s="11">
        <f>IF(OR(SwitchTR&lt;&gt;"ON",Universe!$B$1065=""),"",Universe!$B$1065)</f>
        <v/>
      </c>
      <c r="CCW1" s="11">
        <f>IF(OR(SwitchTR&lt;&gt;"ON",Universe!$B$1066=""),"",Universe!$B$1066)</f>
        <v/>
      </c>
      <c r="CCY1" s="11">
        <f>IF(OR(SwitchTR&lt;&gt;"ON",Universe!$B$1067=""),"",Universe!$B$1067)</f>
        <v/>
      </c>
      <c r="CDA1" s="11">
        <f>IF(OR(SwitchTR&lt;&gt;"ON",Universe!$B$1068=""),"",Universe!$B$1068)</f>
        <v/>
      </c>
      <c r="CDC1" s="11">
        <f>IF(OR(SwitchTR&lt;&gt;"ON",Universe!$B$1069=""),"",Universe!$B$1069)</f>
        <v/>
      </c>
      <c r="CDE1" s="11">
        <f>IF(OR(SwitchTR&lt;&gt;"ON",Universe!$B$1070=""),"",Universe!$B$1070)</f>
        <v/>
      </c>
      <c r="CDG1" s="11">
        <f>IF(OR(SwitchTR&lt;&gt;"ON",Universe!$B$1071=""),"",Universe!$B$1071)</f>
        <v/>
      </c>
      <c r="CDI1" s="11">
        <f>IF(OR(SwitchTR&lt;&gt;"ON",Universe!$B$1072=""),"",Universe!$B$1072)</f>
        <v/>
      </c>
      <c r="CDK1" s="11">
        <f>IF(OR(SwitchTR&lt;&gt;"ON",Universe!$B$1073=""),"",Universe!$B$1073)</f>
        <v/>
      </c>
      <c r="CDM1" s="11">
        <f>IF(OR(SwitchTR&lt;&gt;"ON",Universe!$B$1074=""),"",Universe!$B$1074)</f>
        <v/>
      </c>
      <c r="CDO1" s="11">
        <f>IF(OR(SwitchTR&lt;&gt;"ON",Universe!$B$1075=""),"",Universe!$B$1075)</f>
        <v/>
      </c>
      <c r="CDQ1" s="11">
        <f>IF(OR(SwitchTR&lt;&gt;"ON",Universe!$B$1076=""),"",Universe!$B$1076)</f>
        <v/>
      </c>
      <c r="CDS1" s="11">
        <f>IF(OR(SwitchTR&lt;&gt;"ON",Universe!$B$1077=""),"",Universe!$B$1077)</f>
        <v/>
      </c>
      <c r="CDU1" s="11">
        <f>IF(OR(SwitchTR&lt;&gt;"ON",Universe!$B$1078=""),"",Universe!$B$1078)</f>
        <v/>
      </c>
      <c r="CDW1" s="11">
        <f>IF(OR(SwitchTR&lt;&gt;"ON",Universe!$B$1079=""),"",Universe!$B$1079)</f>
        <v/>
      </c>
      <c r="CDY1" s="11">
        <f>IF(OR(SwitchTR&lt;&gt;"ON",Universe!$B$1080=""),"",Universe!$B$1080)</f>
        <v/>
      </c>
      <c r="CEA1" s="11">
        <f>IF(OR(SwitchTR&lt;&gt;"ON",Universe!$B$1081=""),"",Universe!$B$1081)</f>
        <v/>
      </c>
      <c r="CEC1" s="11">
        <f>IF(OR(SwitchTR&lt;&gt;"ON",Universe!$B$1082=""),"",Universe!$B$1082)</f>
        <v/>
      </c>
      <c r="CEE1" s="11">
        <f>IF(OR(SwitchTR&lt;&gt;"ON",Universe!$B$1083=""),"",Universe!$B$1083)</f>
        <v/>
      </c>
      <c r="CEG1" s="11">
        <f>IF(OR(SwitchTR&lt;&gt;"ON",Universe!$B$1084=""),"",Universe!$B$1084)</f>
        <v/>
      </c>
      <c r="CEI1" s="11">
        <f>IF(OR(SwitchTR&lt;&gt;"ON",Universe!$B$1085=""),"",Universe!$B$1085)</f>
        <v/>
      </c>
      <c r="CEK1" s="11">
        <f>IF(OR(SwitchTR&lt;&gt;"ON",Universe!$B$1086=""),"",Universe!$B$1086)</f>
        <v/>
      </c>
      <c r="CEM1" s="11">
        <f>IF(OR(SwitchTR&lt;&gt;"ON",Universe!$B$1087=""),"",Universe!$B$1087)</f>
        <v/>
      </c>
      <c r="CEO1" s="11">
        <f>IF(OR(SwitchTR&lt;&gt;"ON",Universe!$B$1088=""),"",Universe!$B$1088)</f>
        <v/>
      </c>
      <c r="CEQ1" s="11">
        <f>IF(OR(SwitchTR&lt;&gt;"ON",Universe!$B$1089=""),"",Universe!$B$1089)</f>
        <v/>
      </c>
      <c r="CES1" s="11">
        <f>IF(OR(SwitchTR&lt;&gt;"ON",Universe!$B$1090=""),"",Universe!$B$1090)</f>
        <v/>
      </c>
      <c r="CEU1" s="11">
        <f>IF(OR(SwitchTR&lt;&gt;"ON",Universe!$B$1091=""),"",Universe!$B$1091)</f>
        <v/>
      </c>
      <c r="CEW1" s="11">
        <f>IF(OR(SwitchTR&lt;&gt;"ON",Universe!$B$1092=""),"",Universe!$B$1092)</f>
        <v/>
      </c>
      <c r="CEY1" s="11">
        <f>IF(OR(SwitchTR&lt;&gt;"ON",Universe!$B$1093=""),"",Universe!$B$1093)</f>
        <v/>
      </c>
      <c r="CFA1" s="11">
        <f>IF(OR(SwitchTR&lt;&gt;"ON",Universe!$B$1094=""),"",Universe!$B$1094)</f>
        <v/>
      </c>
      <c r="CFC1" s="11">
        <f>IF(OR(SwitchTR&lt;&gt;"ON",Universe!$B$1095=""),"",Universe!$B$1095)</f>
        <v/>
      </c>
      <c r="CFE1" s="11">
        <f>IF(OR(SwitchTR&lt;&gt;"ON",Universe!$B$1096=""),"",Universe!$B$1096)</f>
        <v/>
      </c>
      <c r="CFG1" s="11">
        <f>IF(OR(SwitchTR&lt;&gt;"ON",Universe!$B$1097=""),"",Universe!$B$1097)</f>
        <v/>
      </c>
      <c r="CFI1" s="11">
        <f>IF(OR(SwitchTR&lt;&gt;"ON",Universe!$B$1098=""),"",Universe!$B$1098)</f>
        <v/>
      </c>
      <c r="CFK1" s="11">
        <f>IF(OR(SwitchTR&lt;&gt;"ON",Universe!$B$1099=""),"",Universe!$B$1099)</f>
        <v/>
      </c>
      <c r="CFM1" s="11">
        <f>IF(OR(SwitchTR&lt;&gt;"ON",Universe!$B$1100=""),"",Universe!$B$1100)</f>
        <v/>
      </c>
      <c r="CFO1" s="11">
        <f>IF(OR(SwitchTR&lt;&gt;"ON",Universe!$B$1101=""),"",Universe!$B$1101)</f>
        <v/>
      </c>
      <c r="CFQ1" s="11">
        <f>IF(OR(SwitchTR&lt;&gt;"ON",Universe!$B$1102=""),"",Universe!$B$1102)</f>
        <v/>
      </c>
      <c r="CFS1" s="11">
        <f>IF(OR(SwitchTR&lt;&gt;"ON",Universe!$B$1103=""),"",Universe!$B$1103)</f>
        <v/>
      </c>
      <c r="CFU1" s="11">
        <f>IF(OR(SwitchTR&lt;&gt;"ON",Universe!$B$1104=""),"",Universe!$B$1104)</f>
        <v/>
      </c>
      <c r="CFW1" s="11">
        <f>IF(OR(SwitchTR&lt;&gt;"ON",Universe!$B$1105=""),"",Universe!$B$1105)</f>
        <v/>
      </c>
      <c r="CFY1" s="11">
        <f>IF(OR(SwitchTR&lt;&gt;"ON",Universe!$B$1106=""),"",Universe!$B$1106)</f>
        <v/>
      </c>
      <c r="CGA1" s="11">
        <f>IF(OR(SwitchTR&lt;&gt;"ON",Universe!$B$1107=""),"",Universe!$B$1107)</f>
        <v/>
      </c>
      <c r="CGC1" s="11">
        <f>IF(OR(SwitchTR&lt;&gt;"ON",Universe!$B$1108=""),"",Universe!$B$1108)</f>
        <v/>
      </c>
      <c r="CGE1" s="11">
        <f>IF(OR(SwitchTR&lt;&gt;"ON",Universe!$B$1109=""),"",Universe!$B$1109)</f>
        <v/>
      </c>
      <c r="CGG1" s="11">
        <f>IF(OR(SwitchTR&lt;&gt;"ON",Universe!$B$1110=""),"",Universe!$B$1110)</f>
        <v/>
      </c>
      <c r="CGI1" s="11">
        <f>IF(OR(SwitchTR&lt;&gt;"ON",Universe!$B$1111=""),"",Universe!$B$1111)</f>
        <v/>
      </c>
      <c r="CGK1" s="11">
        <f>IF(OR(SwitchTR&lt;&gt;"ON",Universe!$B$1112=""),"",Universe!$B$1112)</f>
        <v/>
      </c>
      <c r="CGM1" s="11">
        <f>IF(OR(SwitchTR&lt;&gt;"ON",Universe!$B$1113=""),"",Universe!$B$1113)</f>
        <v/>
      </c>
      <c r="CGO1" s="11">
        <f>IF(OR(SwitchTR&lt;&gt;"ON",Universe!$B$1114=""),"",Universe!$B$1114)</f>
        <v/>
      </c>
      <c r="CGQ1" s="11">
        <f>IF(OR(SwitchTR&lt;&gt;"ON",Universe!$B$1115=""),"",Universe!$B$1115)</f>
        <v/>
      </c>
      <c r="CGS1" s="11">
        <f>IF(OR(SwitchTR&lt;&gt;"ON",Universe!$B$1116=""),"",Universe!$B$1116)</f>
        <v/>
      </c>
      <c r="CGU1" s="11">
        <f>IF(OR(SwitchTR&lt;&gt;"ON",Universe!$B$1117=""),"",Universe!$B$1117)</f>
        <v/>
      </c>
      <c r="CGW1" s="11">
        <f>IF(OR(SwitchTR&lt;&gt;"ON",Universe!$B$1118=""),"",Universe!$B$1118)</f>
        <v/>
      </c>
      <c r="CGY1" s="11">
        <f>IF(OR(SwitchTR&lt;&gt;"ON",Universe!$B$1119=""),"",Universe!$B$1119)</f>
        <v/>
      </c>
      <c r="CHA1" s="11">
        <f>IF(OR(SwitchTR&lt;&gt;"ON",Universe!$B$1120=""),"",Universe!$B$1120)</f>
        <v/>
      </c>
      <c r="CHC1" s="11">
        <f>IF(OR(SwitchTR&lt;&gt;"ON",Universe!$B$1121=""),"",Universe!$B$1121)</f>
        <v/>
      </c>
      <c r="CHE1" s="11">
        <f>IF(OR(SwitchTR&lt;&gt;"ON",Universe!$B$1122=""),"",Universe!$B$1122)</f>
        <v/>
      </c>
      <c r="CHG1" s="11">
        <f>IF(OR(SwitchTR&lt;&gt;"ON",Universe!$B$1123=""),"",Universe!$B$1123)</f>
        <v/>
      </c>
      <c r="CHI1" s="11">
        <f>IF(OR(SwitchTR&lt;&gt;"ON",Universe!$B$1124=""),"",Universe!$B$1124)</f>
        <v/>
      </c>
      <c r="CHK1" s="11">
        <f>IF(OR(SwitchTR&lt;&gt;"ON",Universe!$B$1125=""),"",Universe!$B$1125)</f>
        <v/>
      </c>
      <c r="CHM1" s="11">
        <f>IF(OR(SwitchTR&lt;&gt;"ON",Universe!$B$1126=""),"",Universe!$B$1126)</f>
        <v/>
      </c>
      <c r="CHO1" s="11">
        <f>IF(OR(SwitchTR&lt;&gt;"ON",Universe!$B$1127=""),"",Universe!$B$1127)</f>
        <v/>
      </c>
      <c r="CHQ1" s="11">
        <f>IF(OR(SwitchTR&lt;&gt;"ON",Universe!$B$1128=""),"",Universe!$B$1128)</f>
        <v/>
      </c>
      <c r="CHS1" s="11">
        <f>IF(OR(SwitchTR&lt;&gt;"ON",Universe!$B$1129=""),"",Universe!$B$1129)</f>
        <v/>
      </c>
      <c r="CHU1" s="11">
        <f>IF(OR(SwitchTR&lt;&gt;"ON",Universe!$B$1130=""),"",Universe!$B$1130)</f>
        <v/>
      </c>
      <c r="CHW1" s="11">
        <f>IF(OR(SwitchTR&lt;&gt;"ON",Universe!$B$1131=""),"",Universe!$B$1131)</f>
        <v/>
      </c>
      <c r="CHY1" s="11">
        <f>IF(OR(SwitchTR&lt;&gt;"ON",Universe!$B$1132=""),"",Universe!$B$1132)</f>
        <v/>
      </c>
      <c r="CIA1" s="11">
        <f>IF(OR(SwitchTR&lt;&gt;"ON",Universe!$B$1133=""),"",Universe!$B$1133)</f>
        <v/>
      </c>
      <c r="CIC1" s="11">
        <f>IF(OR(SwitchTR&lt;&gt;"ON",Universe!$B$1134=""),"",Universe!$B$1134)</f>
        <v/>
      </c>
      <c r="CIE1" s="11">
        <f>IF(OR(SwitchTR&lt;&gt;"ON",Universe!$B$1135=""),"",Universe!$B$1135)</f>
        <v/>
      </c>
      <c r="CIG1" s="11">
        <f>IF(OR(SwitchTR&lt;&gt;"ON",Universe!$B$1136=""),"",Universe!$B$1136)</f>
        <v/>
      </c>
      <c r="CII1" s="11">
        <f>IF(OR(SwitchTR&lt;&gt;"ON",Universe!$B$1137=""),"",Universe!$B$1137)</f>
        <v/>
      </c>
      <c r="CIK1" s="11">
        <f>IF(OR(SwitchTR&lt;&gt;"ON",Universe!$B$1138=""),"",Universe!$B$1138)</f>
        <v/>
      </c>
      <c r="CIM1" s="11">
        <f>IF(OR(SwitchTR&lt;&gt;"ON",Universe!$B$1139=""),"",Universe!$B$1139)</f>
        <v/>
      </c>
      <c r="CIO1" s="11">
        <f>IF(OR(SwitchTR&lt;&gt;"ON",Universe!$B$1140=""),"",Universe!$B$1140)</f>
        <v/>
      </c>
      <c r="CIQ1" s="11">
        <f>IF(OR(SwitchTR&lt;&gt;"ON",Universe!$B$1141=""),"",Universe!$B$1141)</f>
        <v/>
      </c>
      <c r="CIS1" s="11">
        <f>IF(OR(SwitchTR&lt;&gt;"ON",Universe!$B$1142=""),"",Universe!$B$1142)</f>
        <v/>
      </c>
      <c r="CIU1" s="11">
        <f>IF(OR(SwitchTR&lt;&gt;"ON",Universe!$B$1143=""),"",Universe!$B$1143)</f>
        <v/>
      </c>
      <c r="CIW1" s="11">
        <f>IF(OR(SwitchTR&lt;&gt;"ON",Universe!$B$1144=""),"",Universe!$B$1144)</f>
        <v/>
      </c>
      <c r="CIY1" s="11">
        <f>IF(OR(SwitchTR&lt;&gt;"ON",Universe!$B$1145=""),"",Universe!$B$1145)</f>
        <v/>
      </c>
      <c r="CJA1" s="11">
        <f>IF(OR(SwitchTR&lt;&gt;"ON",Universe!$B$1146=""),"",Universe!$B$1146)</f>
        <v/>
      </c>
      <c r="CJC1" s="11">
        <f>IF(OR(SwitchTR&lt;&gt;"ON",Universe!$B$1147=""),"",Universe!$B$1147)</f>
        <v/>
      </c>
      <c r="CJE1" s="11">
        <f>IF(OR(SwitchTR&lt;&gt;"ON",Universe!$B$1148=""),"",Universe!$B$1148)</f>
        <v/>
      </c>
      <c r="CJG1" s="11">
        <f>IF(OR(SwitchTR&lt;&gt;"ON",Universe!$B$1149=""),"",Universe!$B$1149)</f>
        <v/>
      </c>
      <c r="CJI1" s="11">
        <f>IF(OR(SwitchTR&lt;&gt;"ON",Universe!$B$1150=""),"",Universe!$B$1150)</f>
        <v/>
      </c>
      <c r="CJK1" s="11">
        <f>IF(OR(SwitchTR&lt;&gt;"ON",Universe!$B$1151=""),"",Universe!$B$1151)</f>
        <v/>
      </c>
      <c r="CJM1" s="11">
        <f>IF(OR(SwitchTR&lt;&gt;"ON",Universe!$B$1152=""),"",Universe!$B$1152)</f>
        <v/>
      </c>
      <c r="CJO1" s="11">
        <f>IF(OR(SwitchTR&lt;&gt;"ON",Universe!$B$1153=""),"",Universe!$B$1153)</f>
        <v/>
      </c>
      <c r="CJQ1" s="11">
        <f>IF(OR(SwitchTR&lt;&gt;"ON",Universe!$B$1154=""),"",Universe!$B$1154)</f>
        <v/>
      </c>
      <c r="CJS1" s="11">
        <f>IF(OR(SwitchTR&lt;&gt;"ON",Universe!$B$1155=""),"",Universe!$B$1155)</f>
        <v/>
      </c>
      <c r="CJU1" s="11">
        <f>IF(OR(SwitchTR&lt;&gt;"ON",Universe!$B$1156=""),"",Universe!$B$1156)</f>
        <v/>
      </c>
      <c r="CJW1" s="11">
        <f>IF(OR(SwitchTR&lt;&gt;"ON",Universe!$B$1157=""),"",Universe!$B$1157)</f>
        <v/>
      </c>
      <c r="CJY1" s="11">
        <f>IF(OR(SwitchTR&lt;&gt;"ON",Universe!$B$1158=""),"",Universe!$B$1158)</f>
        <v/>
      </c>
      <c r="CKA1" s="11">
        <f>IF(OR(SwitchTR&lt;&gt;"ON",Universe!$B$1159=""),"",Universe!$B$1159)</f>
        <v/>
      </c>
      <c r="CKC1" s="11">
        <f>IF(OR(SwitchTR&lt;&gt;"ON",Universe!$B$1160=""),"",Universe!$B$1160)</f>
        <v/>
      </c>
      <c r="CKE1" s="11">
        <f>IF(OR(SwitchTR&lt;&gt;"ON",Universe!$B$1161=""),"",Universe!$B$1161)</f>
        <v/>
      </c>
      <c r="CKG1" s="11">
        <f>IF(OR(SwitchTR&lt;&gt;"ON",Universe!$B$1162=""),"",Universe!$B$1162)</f>
        <v/>
      </c>
      <c r="CKI1" s="11">
        <f>IF(OR(SwitchTR&lt;&gt;"ON",Universe!$B$1163=""),"",Universe!$B$1163)</f>
        <v/>
      </c>
      <c r="CKK1" s="11">
        <f>IF(OR(SwitchTR&lt;&gt;"ON",Universe!$B$1164=""),"",Universe!$B$1164)</f>
        <v/>
      </c>
      <c r="CKM1" s="11">
        <f>IF(OR(SwitchTR&lt;&gt;"ON",Universe!$B$1165=""),"",Universe!$B$1165)</f>
        <v/>
      </c>
      <c r="CKO1" s="11">
        <f>IF(OR(SwitchTR&lt;&gt;"ON",Universe!$B$1166=""),"",Universe!$B$1166)</f>
        <v/>
      </c>
      <c r="CKQ1" s="11">
        <f>IF(OR(SwitchTR&lt;&gt;"ON",Universe!$B$1167=""),"",Universe!$B$1167)</f>
        <v/>
      </c>
      <c r="CKS1" s="11">
        <f>IF(OR(SwitchTR&lt;&gt;"ON",Universe!$B$1168=""),"",Universe!$B$1168)</f>
        <v/>
      </c>
      <c r="CKU1" s="11">
        <f>IF(OR(SwitchTR&lt;&gt;"ON",Universe!$B$1169=""),"",Universe!$B$1169)</f>
        <v/>
      </c>
      <c r="CKW1" s="11">
        <f>IF(OR(SwitchTR&lt;&gt;"ON",Universe!$B$1170=""),"",Universe!$B$1170)</f>
        <v/>
      </c>
      <c r="CKY1" s="11">
        <f>IF(OR(SwitchTR&lt;&gt;"ON",Universe!$B$1171=""),"",Universe!$B$1171)</f>
        <v/>
      </c>
      <c r="CLA1" s="11">
        <f>IF(OR(SwitchTR&lt;&gt;"ON",Universe!$B$1172=""),"",Universe!$B$1172)</f>
        <v/>
      </c>
      <c r="CLC1" s="11">
        <f>IF(OR(SwitchTR&lt;&gt;"ON",Universe!$B$1173=""),"",Universe!$B$1173)</f>
        <v/>
      </c>
      <c r="CLE1" s="11">
        <f>IF(OR(SwitchTR&lt;&gt;"ON",Universe!$B$1174=""),"",Universe!$B$1174)</f>
        <v/>
      </c>
      <c r="CLG1" s="11">
        <f>IF(OR(SwitchTR&lt;&gt;"ON",Universe!$B$1175=""),"",Universe!$B$1175)</f>
        <v/>
      </c>
      <c r="CLI1" s="11">
        <f>IF(OR(SwitchTR&lt;&gt;"ON",Universe!$B$1176=""),"",Universe!$B$1176)</f>
        <v/>
      </c>
      <c r="CLK1" s="11">
        <f>IF(OR(SwitchTR&lt;&gt;"ON",Universe!$B$1177=""),"",Universe!$B$1177)</f>
        <v/>
      </c>
      <c r="CLM1" s="11">
        <f>IF(OR(SwitchTR&lt;&gt;"ON",Universe!$B$1178=""),"",Universe!$B$1178)</f>
        <v/>
      </c>
      <c r="CLO1" s="11">
        <f>IF(OR(SwitchTR&lt;&gt;"ON",Universe!$B$1179=""),"",Universe!$B$1179)</f>
        <v/>
      </c>
      <c r="CLQ1" s="11">
        <f>IF(OR(SwitchTR&lt;&gt;"ON",Universe!$B$1180=""),"",Universe!$B$1180)</f>
        <v/>
      </c>
      <c r="CLS1" s="11">
        <f>IF(OR(SwitchTR&lt;&gt;"ON",Universe!$B$1181=""),"",Universe!$B$1181)</f>
        <v/>
      </c>
      <c r="CLU1" s="11">
        <f>IF(OR(SwitchTR&lt;&gt;"ON",Universe!$B$1182=""),"",Universe!$B$1182)</f>
        <v/>
      </c>
      <c r="CLW1" s="11">
        <f>IF(OR(SwitchTR&lt;&gt;"ON",Universe!$B$1183=""),"",Universe!$B$1183)</f>
        <v/>
      </c>
      <c r="CLY1" s="11">
        <f>IF(OR(SwitchTR&lt;&gt;"ON",Universe!$B$1184=""),"",Universe!$B$1184)</f>
        <v/>
      </c>
      <c r="CMA1" s="11">
        <f>IF(OR(SwitchTR&lt;&gt;"ON",Universe!$B$1185=""),"",Universe!$B$1185)</f>
        <v/>
      </c>
      <c r="CMC1" s="11">
        <f>IF(OR(SwitchTR&lt;&gt;"ON",Universe!$B$1186=""),"",Universe!$B$1186)</f>
        <v/>
      </c>
      <c r="CME1" s="11">
        <f>IF(OR(SwitchTR&lt;&gt;"ON",Universe!$B$1187=""),"",Universe!$B$1187)</f>
        <v/>
      </c>
      <c r="CMG1" s="11">
        <f>IF(OR(SwitchTR&lt;&gt;"ON",Universe!$B$1188=""),"",Universe!$B$1188)</f>
        <v/>
      </c>
      <c r="CMI1" s="11">
        <f>IF(OR(SwitchTR&lt;&gt;"ON",Universe!$B$1189=""),"",Universe!$B$1189)</f>
        <v/>
      </c>
      <c r="CMK1" s="11">
        <f>IF(OR(SwitchTR&lt;&gt;"ON",Universe!$B$1190=""),"",Universe!$B$1190)</f>
        <v/>
      </c>
      <c r="CMM1" s="11">
        <f>IF(OR(SwitchTR&lt;&gt;"ON",Universe!$B$1191=""),"",Universe!$B$1191)</f>
        <v/>
      </c>
      <c r="CMO1" s="11">
        <f>IF(OR(SwitchTR&lt;&gt;"ON",Universe!$B$1192=""),"",Universe!$B$1192)</f>
        <v/>
      </c>
      <c r="CMQ1" s="11">
        <f>IF(OR(SwitchTR&lt;&gt;"ON",Universe!$B$1193=""),"",Universe!$B$1193)</f>
        <v/>
      </c>
      <c r="CMS1" s="11">
        <f>IF(OR(SwitchTR&lt;&gt;"ON",Universe!$B$1194=""),"",Universe!$B$1194)</f>
        <v/>
      </c>
      <c r="CMU1" s="11">
        <f>IF(OR(SwitchTR&lt;&gt;"ON",Universe!$B$1195=""),"",Universe!$B$1195)</f>
        <v/>
      </c>
      <c r="CMW1" s="11">
        <f>IF(OR(SwitchTR&lt;&gt;"ON",Universe!$B$1196=""),"",Universe!$B$1196)</f>
        <v/>
      </c>
      <c r="CMY1" s="11">
        <f>IF(OR(SwitchTR&lt;&gt;"ON",Universe!$B$1197=""),"",Universe!$B$1197)</f>
        <v/>
      </c>
      <c r="CNA1" s="11">
        <f>IF(OR(SwitchTR&lt;&gt;"ON",Universe!$B$1198=""),"",Universe!$B$1198)</f>
        <v/>
      </c>
      <c r="CNC1" s="11">
        <f>IF(OR(SwitchTR&lt;&gt;"ON",Universe!$B$1199=""),"",Universe!$B$1199)</f>
        <v/>
      </c>
      <c r="CNE1" s="11">
        <f>IF(OR(SwitchTR&lt;&gt;"ON",Universe!$B$1200=""),"",Universe!$B$1200)</f>
        <v/>
      </c>
      <c r="CNG1" s="11">
        <f>IF(OR(SwitchTR&lt;&gt;"ON",Universe!$B$1201=""),"",Universe!$B$1201)</f>
        <v/>
      </c>
      <c r="CNI1" s="11">
        <f>IF(OR(SwitchTR&lt;&gt;"ON",Universe!$B$1202=""),"",Universe!$B$1202)</f>
        <v/>
      </c>
      <c r="CNK1" s="11">
        <f>IF(OR(SwitchTR&lt;&gt;"ON",Universe!$B$1203=""),"",Universe!$B$1203)</f>
        <v/>
      </c>
      <c r="CNM1" s="11">
        <f>IF(OR(SwitchTR&lt;&gt;"ON",Universe!$B$1204=""),"",Universe!$B$1204)</f>
        <v/>
      </c>
      <c r="CNO1" s="11">
        <f>IF(OR(SwitchTR&lt;&gt;"ON",Universe!$B$1205=""),"",Universe!$B$1205)</f>
        <v/>
      </c>
      <c r="CNQ1" s="11">
        <f>IF(OR(SwitchTR&lt;&gt;"ON",Universe!$B$1206=""),"",Universe!$B$1206)</f>
        <v/>
      </c>
      <c r="CNS1" s="11">
        <f>IF(OR(SwitchTR&lt;&gt;"ON",Universe!$B$1207=""),"",Universe!$B$1207)</f>
        <v/>
      </c>
      <c r="CNU1" s="11">
        <f>IF(OR(SwitchTR&lt;&gt;"ON",Universe!$B$1208=""),"",Universe!$B$1208)</f>
        <v/>
      </c>
      <c r="CNW1" s="11">
        <f>IF(OR(SwitchTR&lt;&gt;"ON",Universe!$B$1209=""),"",Universe!$B$1209)</f>
        <v/>
      </c>
      <c r="CNY1" s="11">
        <f>IF(OR(SwitchTR&lt;&gt;"ON",Universe!$B$1210=""),"",Universe!$B$1210)</f>
        <v/>
      </c>
      <c r="COA1" s="11">
        <f>IF(OR(SwitchTR&lt;&gt;"ON",Universe!$B$1211=""),"",Universe!$B$1211)</f>
        <v/>
      </c>
      <c r="COC1" s="11">
        <f>IF(OR(SwitchTR&lt;&gt;"ON",Universe!$B$1212=""),"",Universe!$B$1212)</f>
        <v/>
      </c>
      <c r="COE1" s="11">
        <f>IF(OR(SwitchTR&lt;&gt;"ON",Universe!$B$1213=""),"",Universe!$B$1213)</f>
        <v/>
      </c>
      <c r="COG1" s="11">
        <f>IF(OR(SwitchTR&lt;&gt;"ON",Universe!$B$1214=""),"",Universe!$B$1214)</f>
        <v/>
      </c>
      <c r="COI1" s="11">
        <f>IF(OR(SwitchTR&lt;&gt;"ON",Universe!$B$1215=""),"",Universe!$B$1215)</f>
        <v/>
      </c>
      <c r="COK1" s="11">
        <f>IF(OR(SwitchTR&lt;&gt;"ON",Universe!$B$1216=""),"",Universe!$B$1216)</f>
        <v/>
      </c>
      <c r="COM1" s="11">
        <f>IF(OR(SwitchTR&lt;&gt;"ON",Universe!$B$1217=""),"",Universe!$B$1217)</f>
        <v/>
      </c>
      <c r="COO1" s="11">
        <f>IF(OR(SwitchTR&lt;&gt;"ON",Universe!$B$1218=""),"",Universe!$B$1218)</f>
        <v/>
      </c>
      <c r="COQ1" s="11">
        <f>IF(OR(SwitchTR&lt;&gt;"ON",Universe!$B$1219=""),"",Universe!$B$1219)</f>
        <v/>
      </c>
      <c r="COS1" s="11">
        <f>IF(OR(SwitchTR&lt;&gt;"ON",Universe!$B$1220=""),"",Universe!$B$1220)</f>
        <v/>
      </c>
      <c r="COU1" s="11">
        <f>IF(OR(SwitchTR&lt;&gt;"ON",Universe!$B$1221=""),"",Universe!$B$1221)</f>
        <v/>
      </c>
      <c r="COW1" s="11">
        <f>IF(OR(SwitchTR&lt;&gt;"ON",Universe!$B$1222=""),"",Universe!$B$1222)</f>
        <v/>
      </c>
      <c r="COY1" s="11">
        <f>IF(OR(SwitchTR&lt;&gt;"ON",Universe!$B$1223=""),"",Universe!$B$1223)</f>
        <v/>
      </c>
      <c r="CPA1" s="11">
        <f>IF(OR(SwitchTR&lt;&gt;"ON",Universe!$B$1224=""),"",Universe!$B$1224)</f>
        <v/>
      </c>
      <c r="CPC1" s="11">
        <f>IF(OR(SwitchTR&lt;&gt;"ON",Universe!$B$1225=""),"",Universe!$B$1225)</f>
        <v/>
      </c>
      <c r="CPE1" s="11">
        <f>IF(OR(SwitchTR&lt;&gt;"ON",Universe!$B$1226=""),"",Universe!$B$1226)</f>
        <v/>
      </c>
      <c r="CPG1" s="11">
        <f>IF(OR(SwitchTR&lt;&gt;"ON",Universe!$B$1227=""),"",Universe!$B$1227)</f>
        <v/>
      </c>
      <c r="CPI1" s="11">
        <f>IF(OR(SwitchTR&lt;&gt;"ON",Universe!$B$1228=""),"",Universe!$B$1228)</f>
        <v/>
      </c>
      <c r="CPK1" s="11">
        <f>IF(OR(SwitchTR&lt;&gt;"ON",Universe!$B$1229=""),"",Universe!$B$1229)</f>
        <v/>
      </c>
      <c r="CPM1" s="11">
        <f>IF(OR(SwitchTR&lt;&gt;"ON",Universe!$B$1230=""),"",Universe!$B$1230)</f>
        <v/>
      </c>
      <c r="CPO1" s="11">
        <f>IF(OR(SwitchTR&lt;&gt;"ON",Universe!$B$1231=""),"",Universe!$B$1231)</f>
        <v/>
      </c>
      <c r="CPQ1" s="11">
        <f>IF(OR(SwitchTR&lt;&gt;"ON",Universe!$B$1232=""),"",Universe!$B$1232)</f>
        <v/>
      </c>
      <c r="CPS1" s="11">
        <f>IF(OR(SwitchTR&lt;&gt;"ON",Universe!$B$1233=""),"",Universe!$B$1233)</f>
        <v/>
      </c>
      <c r="CPU1" s="11">
        <f>IF(OR(SwitchTR&lt;&gt;"ON",Universe!$B$1234=""),"",Universe!$B$1234)</f>
        <v/>
      </c>
      <c r="CPW1" s="11">
        <f>IF(OR(SwitchTR&lt;&gt;"ON",Universe!$B$1235=""),"",Universe!$B$1235)</f>
        <v/>
      </c>
      <c r="CPY1" s="11">
        <f>IF(OR(SwitchTR&lt;&gt;"ON",Universe!$B$1236=""),"",Universe!$B$1236)</f>
        <v/>
      </c>
      <c r="CQA1" s="11">
        <f>IF(OR(SwitchTR&lt;&gt;"ON",Universe!$B$1237=""),"",Universe!$B$1237)</f>
        <v/>
      </c>
      <c r="CQC1" s="11">
        <f>IF(OR(SwitchTR&lt;&gt;"ON",Universe!$B$1238=""),"",Universe!$B$1238)</f>
        <v/>
      </c>
      <c r="CQE1" s="11">
        <f>IF(OR(SwitchTR&lt;&gt;"ON",Universe!$B$1239=""),"",Universe!$B$1239)</f>
        <v/>
      </c>
      <c r="CQG1" s="11">
        <f>IF(OR(SwitchTR&lt;&gt;"ON",Universe!$B$1240=""),"",Universe!$B$1240)</f>
        <v/>
      </c>
      <c r="CQI1" s="11">
        <f>IF(OR(SwitchTR&lt;&gt;"ON",Universe!$B$1241=""),"",Universe!$B$1241)</f>
        <v/>
      </c>
      <c r="CQK1" s="11">
        <f>IF(OR(SwitchTR&lt;&gt;"ON",Universe!$B$1242=""),"",Universe!$B$1242)</f>
        <v/>
      </c>
      <c r="CQM1" s="11">
        <f>IF(OR(SwitchTR&lt;&gt;"ON",Universe!$B$1243=""),"",Universe!$B$1243)</f>
        <v/>
      </c>
      <c r="CQO1" s="11">
        <f>IF(OR(SwitchTR&lt;&gt;"ON",Universe!$B$1244=""),"",Universe!$B$1244)</f>
        <v/>
      </c>
      <c r="CQQ1" s="11">
        <f>IF(OR(SwitchTR&lt;&gt;"ON",Universe!$B$1245=""),"",Universe!$B$1245)</f>
        <v/>
      </c>
      <c r="CQS1" s="11">
        <f>IF(OR(SwitchTR&lt;&gt;"ON",Universe!$B$1246=""),"",Universe!$B$1246)</f>
        <v/>
      </c>
      <c r="CQU1" s="11">
        <f>IF(OR(SwitchTR&lt;&gt;"ON",Universe!$B$1247=""),"",Universe!$B$1247)</f>
        <v/>
      </c>
      <c r="CQW1" s="11">
        <f>IF(OR(SwitchTR&lt;&gt;"ON",Universe!$B$1248=""),"",Universe!$B$1248)</f>
        <v/>
      </c>
      <c r="CQY1" s="11">
        <f>IF(OR(SwitchTR&lt;&gt;"ON",Universe!$B$1249=""),"",Universe!$B$1249)</f>
        <v/>
      </c>
      <c r="CRA1" s="11">
        <f>IF(OR(SwitchTR&lt;&gt;"ON",Universe!$B$1250=""),"",Universe!$B$1250)</f>
        <v/>
      </c>
      <c r="CRC1" s="11">
        <f>IF(OR(SwitchTR&lt;&gt;"ON",Universe!$B$1251=""),"",Universe!$B$1251)</f>
        <v/>
      </c>
      <c r="CRE1" s="11">
        <f>IF(OR(SwitchTR&lt;&gt;"ON",Universe!$B$1252=""),"",Universe!$B$1252)</f>
        <v/>
      </c>
      <c r="CRG1" s="11">
        <f>IF(OR(SwitchTR&lt;&gt;"ON",Universe!$B$1253=""),"",Universe!$B$1253)</f>
        <v/>
      </c>
      <c r="CRI1" s="11">
        <f>IF(OR(SwitchTR&lt;&gt;"ON",Universe!$B$1254=""),"",Universe!$B$1254)</f>
        <v/>
      </c>
      <c r="CRK1" s="11">
        <f>IF(OR(SwitchTR&lt;&gt;"ON",Universe!$B$1255=""),"",Universe!$B$1255)</f>
        <v/>
      </c>
      <c r="CRM1" s="11">
        <f>IF(OR(SwitchTR&lt;&gt;"ON",Universe!$B$1256=""),"",Universe!$B$1256)</f>
        <v/>
      </c>
      <c r="CRO1" s="11">
        <f>IF(OR(SwitchTR&lt;&gt;"ON",Universe!$B$1257=""),"",Universe!$B$1257)</f>
        <v/>
      </c>
      <c r="CRQ1" s="11">
        <f>IF(OR(SwitchTR&lt;&gt;"ON",Universe!$B$1258=""),"",Universe!$B$1258)</f>
        <v/>
      </c>
      <c r="CRS1" s="11">
        <f>IF(OR(SwitchTR&lt;&gt;"ON",Universe!$B$1259=""),"",Universe!$B$1259)</f>
        <v/>
      </c>
      <c r="CRU1" s="11">
        <f>IF(OR(SwitchTR&lt;&gt;"ON",Universe!$B$1260=""),"",Universe!$B$1260)</f>
        <v/>
      </c>
      <c r="CRW1" s="11">
        <f>IF(OR(SwitchTR&lt;&gt;"ON",Universe!$B$1261=""),"",Universe!$B$1261)</f>
        <v/>
      </c>
      <c r="CRY1" s="11">
        <f>IF(OR(SwitchTR&lt;&gt;"ON",Universe!$B$1262=""),"",Universe!$B$1262)</f>
        <v/>
      </c>
      <c r="CSA1" s="11">
        <f>IF(OR(SwitchTR&lt;&gt;"ON",Universe!$B$1263=""),"",Universe!$B$1263)</f>
        <v/>
      </c>
      <c r="CSC1" s="11">
        <f>IF(OR(SwitchTR&lt;&gt;"ON",Universe!$B$1264=""),"",Universe!$B$1264)</f>
        <v/>
      </c>
      <c r="CSE1" s="11">
        <f>IF(OR(SwitchTR&lt;&gt;"ON",Universe!$B$1265=""),"",Universe!$B$1265)</f>
        <v/>
      </c>
      <c r="CSG1" s="11">
        <f>IF(OR(SwitchTR&lt;&gt;"ON",Universe!$B$1266=""),"",Universe!$B$1266)</f>
        <v/>
      </c>
      <c r="CSI1" s="11">
        <f>IF(OR(SwitchTR&lt;&gt;"ON",Universe!$B$1267=""),"",Universe!$B$1267)</f>
        <v/>
      </c>
      <c r="CSK1" s="11">
        <f>IF(OR(SwitchTR&lt;&gt;"ON",Universe!$B$1268=""),"",Universe!$B$1268)</f>
        <v/>
      </c>
      <c r="CSM1" s="11">
        <f>IF(OR(SwitchTR&lt;&gt;"ON",Universe!$B$1269=""),"",Universe!$B$1269)</f>
        <v/>
      </c>
      <c r="CSO1" s="11">
        <f>IF(OR(SwitchTR&lt;&gt;"ON",Universe!$B$1270=""),"",Universe!$B$1270)</f>
        <v/>
      </c>
      <c r="CSQ1" s="11">
        <f>IF(OR(SwitchTR&lt;&gt;"ON",Universe!$B$1271=""),"",Universe!$B$1271)</f>
        <v/>
      </c>
      <c r="CSS1" s="11">
        <f>IF(OR(SwitchTR&lt;&gt;"ON",Universe!$B$1272=""),"",Universe!$B$1272)</f>
        <v/>
      </c>
      <c r="CSU1" s="11">
        <f>IF(OR(SwitchTR&lt;&gt;"ON",Universe!$B$1273=""),"",Universe!$B$1273)</f>
        <v/>
      </c>
      <c r="CSW1" s="11">
        <f>IF(OR(SwitchTR&lt;&gt;"ON",Universe!$B$1274=""),"",Universe!$B$1274)</f>
        <v/>
      </c>
      <c r="CSY1" s="11">
        <f>IF(OR(SwitchTR&lt;&gt;"ON",Universe!$B$1275=""),"",Universe!$B$1275)</f>
        <v/>
      </c>
      <c r="CTA1" s="11">
        <f>IF(OR(SwitchTR&lt;&gt;"ON",Universe!$B$1276=""),"",Universe!$B$1276)</f>
        <v/>
      </c>
      <c r="CTC1" s="11">
        <f>IF(OR(SwitchTR&lt;&gt;"ON",Universe!$B$1277=""),"",Universe!$B$1277)</f>
        <v/>
      </c>
      <c r="CTE1" s="11">
        <f>IF(OR(SwitchTR&lt;&gt;"ON",Universe!$B$1278=""),"",Universe!$B$1278)</f>
        <v/>
      </c>
      <c r="CTG1" s="11">
        <f>IF(OR(SwitchTR&lt;&gt;"ON",Universe!$B$1279=""),"",Universe!$B$1279)</f>
        <v/>
      </c>
      <c r="CTI1" s="11">
        <f>IF(OR(SwitchTR&lt;&gt;"ON",Universe!$B$1280=""),"",Universe!$B$1280)</f>
        <v/>
      </c>
      <c r="CTK1" s="11">
        <f>IF(OR(SwitchTR&lt;&gt;"ON",Universe!$B$1281=""),"",Universe!$B$1281)</f>
        <v/>
      </c>
      <c r="CTM1" s="11">
        <f>IF(OR(SwitchTR&lt;&gt;"ON",Universe!$B$1282=""),"",Universe!$B$1282)</f>
        <v/>
      </c>
      <c r="CTO1" s="11">
        <f>IF(OR(SwitchTR&lt;&gt;"ON",Universe!$B$1283=""),"",Universe!$B$1283)</f>
        <v/>
      </c>
      <c r="CTQ1" s="11">
        <f>IF(OR(SwitchTR&lt;&gt;"ON",Universe!$B$1284=""),"",Universe!$B$1284)</f>
        <v/>
      </c>
      <c r="CTS1" s="11">
        <f>IF(OR(SwitchTR&lt;&gt;"ON",Universe!$B$1285=""),"",Universe!$B$1285)</f>
        <v/>
      </c>
      <c r="CTU1" s="11">
        <f>IF(OR(SwitchTR&lt;&gt;"ON",Universe!$B$1286=""),"",Universe!$B$1286)</f>
        <v/>
      </c>
      <c r="CTW1" s="11">
        <f>IF(OR(SwitchTR&lt;&gt;"ON",Universe!$B$1287=""),"",Universe!$B$1287)</f>
        <v/>
      </c>
      <c r="CTY1" s="11">
        <f>IF(OR(SwitchTR&lt;&gt;"ON",Universe!$B$1288=""),"",Universe!$B$1288)</f>
        <v/>
      </c>
      <c r="CUA1" s="11">
        <f>IF(OR(SwitchTR&lt;&gt;"ON",Universe!$B$1289=""),"",Universe!$B$1289)</f>
        <v/>
      </c>
      <c r="CUC1" s="11">
        <f>IF(OR(SwitchTR&lt;&gt;"ON",Universe!$B$1290=""),"",Universe!$B$1290)</f>
        <v/>
      </c>
      <c r="CUE1" s="11">
        <f>IF(OR(SwitchTR&lt;&gt;"ON",Universe!$B$1291=""),"",Universe!$B$1291)</f>
        <v/>
      </c>
      <c r="CUG1" s="11">
        <f>IF(OR(SwitchTR&lt;&gt;"ON",Universe!$B$1292=""),"",Universe!$B$1292)</f>
        <v/>
      </c>
      <c r="CUI1" s="11">
        <f>IF(OR(SwitchTR&lt;&gt;"ON",Universe!$B$1293=""),"",Universe!$B$1293)</f>
        <v/>
      </c>
      <c r="CUK1" s="11">
        <f>IF(OR(SwitchTR&lt;&gt;"ON",Universe!$B$1294=""),"",Universe!$B$1294)</f>
        <v/>
      </c>
      <c r="CUM1" s="11">
        <f>IF(OR(SwitchTR&lt;&gt;"ON",Universe!$B$1295=""),"",Universe!$B$1295)</f>
        <v/>
      </c>
      <c r="CUO1" s="11">
        <f>IF(OR(SwitchTR&lt;&gt;"ON",Universe!$B$1296=""),"",Universe!$B$1296)</f>
        <v/>
      </c>
      <c r="CUQ1" s="11">
        <f>IF(OR(SwitchTR&lt;&gt;"ON",Universe!$B$1297=""),"",Universe!$B$1297)</f>
        <v/>
      </c>
      <c r="CUS1" s="11">
        <f>IF(OR(SwitchTR&lt;&gt;"ON",Universe!$B$1298=""),"",Universe!$B$1298)</f>
        <v/>
      </c>
      <c r="CUU1" s="11">
        <f>IF(OR(SwitchTR&lt;&gt;"ON",Universe!$B$1299=""),"",Universe!$B$1299)</f>
        <v/>
      </c>
      <c r="CUW1" s="11">
        <f>IF(OR(SwitchTR&lt;&gt;"ON",Universe!$B$1300=""),"",Universe!$B$1300)</f>
        <v/>
      </c>
      <c r="CUY1" s="11">
        <f>IF(OR(SwitchTR&lt;&gt;"ON",Universe!$B$1301=""),"",Universe!$B$1301)</f>
        <v/>
      </c>
      <c r="CVA1" s="11">
        <f>IF(OR(SwitchTR&lt;&gt;"ON",Universe!$B$1302=""),"",Universe!$B$1302)</f>
        <v/>
      </c>
      <c r="CVC1" s="11">
        <f>IF(OR(SwitchTR&lt;&gt;"ON",Universe!$B$1303=""),"",Universe!$B$1303)</f>
        <v/>
      </c>
      <c r="CVE1" s="11">
        <f>IF(OR(SwitchTR&lt;&gt;"ON",Universe!$B$1304=""),"",Universe!$B$1304)</f>
        <v/>
      </c>
      <c r="CVG1" s="11">
        <f>IF(OR(SwitchTR&lt;&gt;"ON",Universe!$B$1305=""),"",Universe!$B$1305)</f>
        <v/>
      </c>
      <c r="CVI1" s="11">
        <f>IF(OR(SwitchTR&lt;&gt;"ON",Universe!$B$1306=""),"",Universe!$B$1306)</f>
        <v/>
      </c>
      <c r="CVK1" s="11">
        <f>IF(OR(SwitchTR&lt;&gt;"ON",Universe!$B$1307=""),"",Universe!$B$1307)</f>
        <v/>
      </c>
      <c r="CVM1" s="11">
        <f>IF(OR(SwitchTR&lt;&gt;"ON",Universe!$B$1308=""),"",Universe!$B$1308)</f>
        <v/>
      </c>
      <c r="CVO1" s="11">
        <f>IF(OR(SwitchTR&lt;&gt;"ON",Universe!$B$1309=""),"",Universe!$B$1309)</f>
        <v/>
      </c>
      <c r="CVQ1" s="11">
        <f>IF(OR(SwitchTR&lt;&gt;"ON",Universe!$B$1310=""),"",Universe!$B$1310)</f>
        <v/>
      </c>
      <c r="CVS1" s="11">
        <f>IF(OR(SwitchTR&lt;&gt;"ON",Universe!$B$1311=""),"",Universe!$B$1311)</f>
        <v/>
      </c>
      <c r="CVU1" s="11">
        <f>IF(OR(SwitchTR&lt;&gt;"ON",Universe!$B$1312=""),"",Universe!$B$1312)</f>
        <v/>
      </c>
      <c r="CVW1" s="11">
        <f>IF(OR(SwitchTR&lt;&gt;"ON",Universe!$B$1313=""),"",Universe!$B$1313)</f>
        <v/>
      </c>
      <c r="CVY1" s="11">
        <f>IF(OR(SwitchTR&lt;&gt;"ON",Universe!$B$1314=""),"",Universe!$B$1314)</f>
        <v/>
      </c>
      <c r="CWA1" s="11">
        <f>IF(OR(SwitchTR&lt;&gt;"ON",Universe!$B$1315=""),"",Universe!$B$1315)</f>
        <v/>
      </c>
      <c r="CWC1" s="11">
        <f>IF(OR(SwitchTR&lt;&gt;"ON",Universe!$B$1316=""),"",Universe!$B$1316)</f>
        <v/>
      </c>
      <c r="CWE1" s="11">
        <f>IF(OR(SwitchTR&lt;&gt;"ON",Universe!$B$1317=""),"",Universe!$B$1317)</f>
        <v/>
      </c>
      <c r="CWG1" s="11">
        <f>IF(OR(SwitchTR&lt;&gt;"ON",Universe!$B$1318=""),"",Universe!$B$1318)</f>
        <v/>
      </c>
      <c r="CWI1" s="11">
        <f>IF(OR(SwitchTR&lt;&gt;"ON",Universe!$B$1319=""),"",Universe!$B$1319)</f>
        <v/>
      </c>
      <c r="CWK1" s="11">
        <f>IF(OR(SwitchTR&lt;&gt;"ON",Universe!$B$1320=""),"",Universe!$B$1320)</f>
        <v/>
      </c>
      <c r="CWM1" s="11">
        <f>IF(OR(SwitchTR&lt;&gt;"ON",Universe!$B$1321=""),"",Universe!$B$1321)</f>
        <v/>
      </c>
      <c r="CWO1" s="11">
        <f>IF(OR(SwitchTR&lt;&gt;"ON",Universe!$B$1322=""),"",Universe!$B$1322)</f>
        <v/>
      </c>
      <c r="CWQ1" s="11">
        <f>IF(OR(SwitchTR&lt;&gt;"ON",Universe!$B$1323=""),"",Universe!$B$1323)</f>
        <v/>
      </c>
      <c r="CWS1" s="11">
        <f>IF(OR(SwitchTR&lt;&gt;"ON",Universe!$B$1324=""),"",Universe!$B$1324)</f>
        <v/>
      </c>
      <c r="CWU1" s="11">
        <f>IF(OR(SwitchTR&lt;&gt;"ON",Universe!$B$1325=""),"",Universe!$B$1325)</f>
        <v/>
      </c>
      <c r="CWW1" s="11">
        <f>IF(OR(SwitchTR&lt;&gt;"ON",Universe!$B$1326=""),"",Universe!$B$1326)</f>
        <v/>
      </c>
      <c r="CWY1" s="11">
        <f>IF(OR(SwitchTR&lt;&gt;"ON",Universe!$B$1327=""),"",Universe!$B$1327)</f>
        <v/>
      </c>
      <c r="CXA1" s="11">
        <f>IF(OR(SwitchTR&lt;&gt;"ON",Universe!$B$1328=""),"",Universe!$B$1328)</f>
        <v/>
      </c>
      <c r="CXC1" s="11">
        <f>IF(OR(SwitchTR&lt;&gt;"ON",Universe!$B$1329=""),"",Universe!$B$1329)</f>
        <v/>
      </c>
      <c r="CXE1" s="11">
        <f>IF(OR(SwitchTR&lt;&gt;"ON",Universe!$B$1330=""),"",Universe!$B$1330)</f>
        <v/>
      </c>
      <c r="CXG1" s="11">
        <f>IF(OR(SwitchTR&lt;&gt;"ON",Universe!$B$1331=""),"",Universe!$B$1331)</f>
        <v/>
      </c>
      <c r="CXI1" s="11">
        <f>IF(OR(SwitchTR&lt;&gt;"ON",Universe!$B$1332=""),"",Universe!$B$1332)</f>
        <v/>
      </c>
      <c r="CXK1" s="11">
        <f>IF(OR(SwitchTR&lt;&gt;"ON",Universe!$B$1333=""),"",Universe!$B$1333)</f>
        <v/>
      </c>
      <c r="CXM1" s="11">
        <f>IF(OR(SwitchTR&lt;&gt;"ON",Universe!$B$1334=""),"",Universe!$B$1334)</f>
        <v/>
      </c>
      <c r="CXO1" s="11">
        <f>IF(OR(SwitchTR&lt;&gt;"ON",Universe!$B$1335=""),"",Universe!$B$1335)</f>
        <v/>
      </c>
      <c r="CXQ1" s="11">
        <f>IF(OR(SwitchTR&lt;&gt;"ON",Universe!$B$1336=""),"",Universe!$B$1336)</f>
        <v/>
      </c>
      <c r="CXS1" s="11">
        <f>IF(OR(SwitchTR&lt;&gt;"ON",Universe!$B$1337=""),"",Universe!$B$1337)</f>
        <v/>
      </c>
      <c r="CXU1" s="11">
        <f>IF(OR(SwitchTR&lt;&gt;"ON",Universe!$B$1338=""),"",Universe!$B$1338)</f>
        <v/>
      </c>
      <c r="CXW1" s="11">
        <f>IF(OR(SwitchTR&lt;&gt;"ON",Universe!$B$1339=""),"",Universe!$B$1339)</f>
        <v/>
      </c>
      <c r="CXY1" s="11">
        <f>IF(OR(SwitchTR&lt;&gt;"ON",Universe!$B$1340=""),"",Universe!$B$1340)</f>
        <v/>
      </c>
      <c r="CYA1" s="11">
        <f>IF(OR(SwitchTR&lt;&gt;"ON",Universe!$B$1341=""),"",Universe!$B$1341)</f>
        <v/>
      </c>
      <c r="CYC1" s="11">
        <f>IF(OR(SwitchTR&lt;&gt;"ON",Universe!$B$1342=""),"",Universe!$B$1342)</f>
        <v/>
      </c>
      <c r="CYE1" s="11">
        <f>IF(OR(SwitchTR&lt;&gt;"ON",Universe!$B$1343=""),"",Universe!$B$1343)</f>
        <v/>
      </c>
      <c r="CYG1" s="11">
        <f>IF(OR(SwitchTR&lt;&gt;"ON",Universe!$B$1344=""),"",Universe!$B$1344)</f>
        <v/>
      </c>
      <c r="CYI1" s="11">
        <f>IF(OR(SwitchTR&lt;&gt;"ON",Universe!$B$1345=""),"",Universe!$B$1345)</f>
        <v/>
      </c>
      <c r="CYK1" s="11">
        <f>IF(OR(SwitchTR&lt;&gt;"ON",Universe!$B$1346=""),"",Universe!$B$1346)</f>
        <v/>
      </c>
      <c r="CYM1" s="11">
        <f>IF(OR(SwitchTR&lt;&gt;"ON",Universe!$B$1347=""),"",Universe!$B$1347)</f>
        <v/>
      </c>
      <c r="CYO1" s="11">
        <f>IF(OR(SwitchTR&lt;&gt;"ON",Universe!$B$1348=""),"",Universe!$B$1348)</f>
        <v/>
      </c>
      <c r="CYQ1" s="11">
        <f>IF(OR(SwitchTR&lt;&gt;"ON",Universe!$B$1349=""),"",Universe!$B$1349)</f>
        <v/>
      </c>
      <c r="CYS1" s="11">
        <f>IF(OR(SwitchTR&lt;&gt;"ON",Universe!$B$1350=""),"",Universe!$B$1350)</f>
        <v/>
      </c>
      <c r="CYU1" s="11">
        <f>IF(OR(SwitchTR&lt;&gt;"ON",Universe!$B$1351=""),"",Universe!$B$1351)</f>
        <v/>
      </c>
      <c r="CYW1" s="11">
        <f>IF(OR(SwitchTR&lt;&gt;"ON",Universe!$B$1352=""),"",Universe!$B$1352)</f>
        <v/>
      </c>
      <c r="CYY1" s="11">
        <f>IF(OR(SwitchTR&lt;&gt;"ON",Universe!$B$1353=""),"",Universe!$B$1353)</f>
        <v/>
      </c>
      <c r="CZA1" s="11">
        <f>IF(OR(SwitchTR&lt;&gt;"ON",Universe!$B$1354=""),"",Universe!$B$1354)</f>
        <v/>
      </c>
      <c r="CZC1" s="11">
        <f>IF(OR(SwitchTR&lt;&gt;"ON",Universe!$B$1355=""),"",Universe!$B$1355)</f>
        <v/>
      </c>
      <c r="CZE1" s="11">
        <f>IF(OR(SwitchTR&lt;&gt;"ON",Universe!$B$1356=""),"",Universe!$B$1356)</f>
        <v/>
      </c>
      <c r="CZG1" s="11">
        <f>IF(OR(SwitchTR&lt;&gt;"ON",Universe!$B$1357=""),"",Universe!$B$1357)</f>
        <v/>
      </c>
      <c r="CZI1" s="11">
        <f>IF(OR(SwitchTR&lt;&gt;"ON",Universe!$B$1358=""),"",Universe!$B$1358)</f>
        <v/>
      </c>
      <c r="CZK1" s="11">
        <f>IF(OR(SwitchTR&lt;&gt;"ON",Universe!$B$1359=""),"",Universe!$B$1359)</f>
        <v/>
      </c>
      <c r="CZM1" s="11">
        <f>IF(OR(SwitchTR&lt;&gt;"ON",Universe!$B$1360=""),"",Universe!$B$1360)</f>
        <v/>
      </c>
      <c r="CZO1" s="11">
        <f>IF(OR(SwitchTR&lt;&gt;"ON",Universe!$B$1361=""),"",Universe!$B$1361)</f>
        <v/>
      </c>
      <c r="CZQ1" s="11">
        <f>IF(OR(SwitchTR&lt;&gt;"ON",Universe!$B$1362=""),"",Universe!$B$1362)</f>
        <v/>
      </c>
      <c r="CZS1" s="11">
        <f>IF(OR(SwitchTR&lt;&gt;"ON",Universe!$B$1363=""),"",Universe!$B$1363)</f>
        <v/>
      </c>
      <c r="CZU1" s="11">
        <f>IF(OR(SwitchTR&lt;&gt;"ON",Universe!$B$1364=""),"",Universe!$B$1364)</f>
        <v/>
      </c>
      <c r="CZW1" s="11">
        <f>IF(OR(SwitchTR&lt;&gt;"ON",Universe!$B$1365=""),"",Universe!$B$1365)</f>
        <v/>
      </c>
      <c r="CZY1" s="11">
        <f>IF(OR(SwitchTR&lt;&gt;"ON",Universe!$B$1366=""),"",Universe!$B$1366)</f>
        <v/>
      </c>
      <c r="DAA1" s="11">
        <f>IF(OR(SwitchTR&lt;&gt;"ON",Universe!$B$1367=""),"",Universe!$B$1367)</f>
        <v/>
      </c>
      <c r="DAC1" s="11">
        <f>IF(OR(SwitchTR&lt;&gt;"ON",Universe!$B$1368=""),"",Universe!$B$1368)</f>
        <v/>
      </c>
      <c r="DAE1" s="11">
        <f>IF(OR(SwitchTR&lt;&gt;"ON",Universe!$B$1369=""),"",Universe!$B$1369)</f>
        <v/>
      </c>
      <c r="DAG1" s="11">
        <f>IF(OR(SwitchTR&lt;&gt;"ON",Universe!$B$1370=""),"",Universe!$B$1370)</f>
        <v/>
      </c>
      <c r="DAI1" s="11">
        <f>IF(OR(SwitchTR&lt;&gt;"ON",Universe!$B$1371=""),"",Universe!$B$1371)</f>
        <v/>
      </c>
      <c r="DAK1" s="11">
        <f>IF(OR(SwitchTR&lt;&gt;"ON",Universe!$B$1372=""),"",Universe!$B$1372)</f>
        <v/>
      </c>
      <c r="DAM1" s="11">
        <f>IF(OR(SwitchTR&lt;&gt;"ON",Universe!$B$1373=""),"",Universe!$B$1373)</f>
        <v/>
      </c>
      <c r="DAO1" s="11">
        <f>IF(OR(SwitchTR&lt;&gt;"ON",Universe!$B$1374=""),"",Universe!$B$1374)</f>
        <v/>
      </c>
      <c r="DAQ1" s="11">
        <f>IF(OR(SwitchTR&lt;&gt;"ON",Universe!$B$1375=""),"",Universe!$B$1375)</f>
        <v/>
      </c>
      <c r="DAS1" s="11">
        <f>IF(OR(SwitchTR&lt;&gt;"ON",Universe!$B$1376=""),"",Universe!$B$1376)</f>
        <v/>
      </c>
      <c r="DAU1" s="11">
        <f>IF(OR(SwitchTR&lt;&gt;"ON",Universe!$B$1377=""),"",Universe!$B$1377)</f>
        <v/>
      </c>
      <c r="DAW1" s="11">
        <f>IF(OR(SwitchTR&lt;&gt;"ON",Universe!$B$1378=""),"",Universe!$B$1378)</f>
        <v/>
      </c>
      <c r="DAY1" s="11">
        <f>IF(OR(SwitchTR&lt;&gt;"ON",Universe!$B$1379=""),"",Universe!$B$1379)</f>
        <v/>
      </c>
      <c r="DBA1" s="11">
        <f>IF(OR(SwitchTR&lt;&gt;"ON",Universe!$B$1380=""),"",Universe!$B$1380)</f>
        <v/>
      </c>
      <c r="DBC1" s="11">
        <f>IF(OR(SwitchTR&lt;&gt;"ON",Universe!$B$1381=""),"",Universe!$B$1381)</f>
        <v/>
      </c>
      <c r="DBE1" s="11">
        <f>IF(OR(SwitchTR&lt;&gt;"ON",Universe!$B$1382=""),"",Universe!$B$1382)</f>
        <v/>
      </c>
      <c r="DBG1" s="11">
        <f>IF(OR(SwitchTR&lt;&gt;"ON",Universe!$B$1383=""),"",Universe!$B$1383)</f>
        <v/>
      </c>
      <c r="DBI1" s="11">
        <f>IF(OR(SwitchTR&lt;&gt;"ON",Universe!$B$1384=""),"",Universe!$B$1384)</f>
        <v/>
      </c>
      <c r="DBK1" s="11">
        <f>IF(OR(SwitchTR&lt;&gt;"ON",Universe!$B$1385=""),"",Universe!$B$1385)</f>
        <v/>
      </c>
      <c r="DBM1" s="11">
        <f>IF(OR(SwitchTR&lt;&gt;"ON",Universe!$B$1386=""),"",Universe!$B$1386)</f>
        <v/>
      </c>
      <c r="DBO1" s="11">
        <f>IF(OR(SwitchTR&lt;&gt;"ON",Universe!$B$1387=""),"",Universe!$B$1387)</f>
        <v/>
      </c>
      <c r="DBQ1" s="11">
        <f>IF(OR(SwitchTR&lt;&gt;"ON",Universe!$B$1388=""),"",Universe!$B$1388)</f>
        <v/>
      </c>
      <c r="DBS1" s="11">
        <f>IF(OR(SwitchTR&lt;&gt;"ON",Universe!$B$1389=""),"",Universe!$B$1389)</f>
        <v/>
      </c>
      <c r="DBU1" s="11">
        <f>IF(OR(SwitchTR&lt;&gt;"ON",Universe!$B$1390=""),"",Universe!$B$1390)</f>
        <v/>
      </c>
      <c r="DBW1" s="11">
        <f>IF(OR(SwitchTR&lt;&gt;"ON",Universe!$B$1391=""),"",Universe!$B$1391)</f>
        <v/>
      </c>
      <c r="DBY1" s="11">
        <f>IF(OR(SwitchTR&lt;&gt;"ON",Universe!$B$1392=""),"",Universe!$B$1392)</f>
        <v/>
      </c>
      <c r="DCA1" s="11">
        <f>IF(OR(SwitchTR&lt;&gt;"ON",Universe!$B$1393=""),"",Universe!$B$1393)</f>
        <v/>
      </c>
      <c r="DCC1" s="11">
        <f>IF(OR(SwitchTR&lt;&gt;"ON",Universe!$B$1394=""),"",Universe!$B$1394)</f>
        <v/>
      </c>
      <c r="DCE1" s="11">
        <f>IF(OR(SwitchTR&lt;&gt;"ON",Universe!$B$1395=""),"",Universe!$B$1395)</f>
        <v/>
      </c>
      <c r="DCG1" s="11">
        <f>IF(OR(SwitchTR&lt;&gt;"ON",Universe!$B$1396=""),"",Universe!$B$1396)</f>
        <v/>
      </c>
      <c r="DCI1" s="11">
        <f>IF(OR(SwitchTR&lt;&gt;"ON",Universe!$B$1397=""),"",Universe!$B$1397)</f>
        <v/>
      </c>
      <c r="DCK1" s="11">
        <f>IF(OR(SwitchTR&lt;&gt;"ON",Universe!$B$1398=""),"",Universe!$B$1398)</f>
        <v/>
      </c>
      <c r="DCM1" s="11">
        <f>IF(OR(SwitchTR&lt;&gt;"ON",Universe!$B$1399=""),"",Universe!$B$1399)</f>
        <v/>
      </c>
      <c r="DCO1" s="11">
        <f>IF(OR(SwitchTR&lt;&gt;"ON",Universe!$B$1400=""),"",Universe!$B$1400)</f>
        <v/>
      </c>
      <c r="DCQ1" s="11">
        <f>IF(OR(SwitchTR&lt;&gt;"ON",Universe!$B$1401=""),"",Universe!$B$1401)</f>
        <v/>
      </c>
      <c r="DCS1" s="11">
        <f>IF(OR(SwitchTR&lt;&gt;"ON",Universe!$B$1402=""),"",Universe!$B$1402)</f>
        <v/>
      </c>
      <c r="DCU1" s="11">
        <f>IF(OR(SwitchTR&lt;&gt;"ON",Universe!$B$1403=""),"",Universe!$B$1403)</f>
        <v/>
      </c>
      <c r="DCW1" s="11">
        <f>IF(OR(SwitchTR&lt;&gt;"ON",Universe!$B$1404=""),"",Universe!$B$1404)</f>
        <v/>
      </c>
      <c r="DCY1" s="11">
        <f>IF(OR(SwitchTR&lt;&gt;"ON",Universe!$B$1405=""),"",Universe!$B$1405)</f>
        <v/>
      </c>
      <c r="DDA1" s="11">
        <f>IF(OR(SwitchTR&lt;&gt;"ON",Universe!$B$1406=""),"",Universe!$B$1406)</f>
        <v/>
      </c>
      <c r="DDC1" s="11">
        <f>IF(OR(SwitchTR&lt;&gt;"ON",Universe!$B$1407=""),"",Universe!$B$1407)</f>
        <v/>
      </c>
      <c r="DDE1" s="11">
        <f>IF(OR(SwitchTR&lt;&gt;"ON",Universe!$B$1408=""),"",Universe!$B$1408)</f>
        <v/>
      </c>
      <c r="DDG1" s="11">
        <f>IF(OR(SwitchTR&lt;&gt;"ON",Universe!$B$1409=""),"",Universe!$B$1409)</f>
        <v/>
      </c>
      <c r="DDI1" s="11">
        <f>IF(OR(SwitchTR&lt;&gt;"ON",Universe!$B$1410=""),"",Universe!$B$1410)</f>
        <v/>
      </c>
      <c r="DDK1" s="11">
        <f>IF(OR(SwitchTR&lt;&gt;"ON",Universe!$B$1411=""),"",Universe!$B$1411)</f>
        <v/>
      </c>
      <c r="DDM1" s="11">
        <f>IF(OR(SwitchTR&lt;&gt;"ON",Universe!$B$1412=""),"",Universe!$B$1412)</f>
        <v/>
      </c>
      <c r="DDO1" s="11">
        <f>IF(OR(SwitchTR&lt;&gt;"ON",Universe!$B$1413=""),"",Universe!$B$1413)</f>
        <v/>
      </c>
      <c r="DDQ1" s="11">
        <f>IF(OR(SwitchTR&lt;&gt;"ON",Universe!$B$1414=""),"",Universe!$B$1414)</f>
        <v/>
      </c>
      <c r="DDS1" s="11">
        <f>IF(OR(SwitchTR&lt;&gt;"ON",Universe!$B$1415=""),"",Universe!$B$1415)</f>
        <v/>
      </c>
      <c r="DDU1" s="11">
        <f>IF(OR(SwitchTR&lt;&gt;"ON",Universe!$B$1416=""),"",Universe!$B$1416)</f>
        <v/>
      </c>
      <c r="DDW1" s="11">
        <f>IF(OR(SwitchTR&lt;&gt;"ON",Universe!$B$1417=""),"",Universe!$B$1417)</f>
        <v/>
      </c>
      <c r="DDY1" s="11">
        <f>IF(OR(SwitchTR&lt;&gt;"ON",Universe!$B$1418=""),"",Universe!$B$1418)</f>
        <v/>
      </c>
      <c r="DEA1" s="11">
        <f>IF(OR(SwitchTR&lt;&gt;"ON",Universe!$B$1419=""),"",Universe!$B$1419)</f>
        <v/>
      </c>
      <c r="DEC1" s="11">
        <f>IF(OR(SwitchTR&lt;&gt;"ON",Universe!$B$1420=""),"",Universe!$B$1420)</f>
        <v/>
      </c>
      <c r="DEE1" s="11">
        <f>IF(OR(SwitchTR&lt;&gt;"ON",Universe!$B$1421=""),"",Universe!$B$1421)</f>
        <v/>
      </c>
      <c r="DEG1" s="11">
        <f>IF(OR(SwitchTR&lt;&gt;"ON",Universe!$B$1422=""),"",Universe!$B$1422)</f>
        <v/>
      </c>
      <c r="DEI1" s="11">
        <f>IF(OR(SwitchTR&lt;&gt;"ON",Universe!$B$1423=""),"",Universe!$B$1423)</f>
        <v/>
      </c>
      <c r="DEK1" s="11">
        <f>IF(OR(SwitchTR&lt;&gt;"ON",Universe!$B$1424=""),"",Universe!$B$1424)</f>
        <v/>
      </c>
      <c r="DEM1" s="11">
        <f>IF(OR(SwitchTR&lt;&gt;"ON",Universe!$B$1425=""),"",Universe!$B$1425)</f>
        <v/>
      </c>
      <c r="DEO1" s="11">
        <f>IF(OR(SwitchTR&lt;&gt;"ON",Universe!$B$1426=""),"",Universe!$B$1426)</f>
        <v/>
      </c>
      <c r="DEQ1" s="11">
        <f>IF(OR(SwitchTR&lt;&gt;"ON",Universe!$B$1427=""),"",Universe!$B$1427)</f>
        <v/>
      </c>
      <c r="DES1" s="11">
        <f>IF(OR(SwitchTR&lt;&gt;"ON",Universe!$B$1428=""),"",Universe!$B$1428)</f>
        <v/>
      </c>
      <c r="DEU1" s="11">
        <f>IF(OR(SwitchTR&lt;&gt;"ON",Universe!$B$1429=""),"",Universe!$B$1429)</f>
        <v/>
      </c>
      <c r="DEW1" s="11">
        <f>IF(OR(SwitchTR&lt;&gt;"ON",Universe!$B$1430=""),"",Universe!$B$1430)</f>
        <v/>
      </c>
      <c r="DEY1" s="11">
        <f>IF(OR(SwitchTR&lt;&gt;"ON",Universe!$B$1431=""),"",Universe!$B$1431)</f>
        <v/>
      </c>
      <c r="DFA1" s="11">
        <f>IF(OR(SwitchTR&lt;&gt;"ON",Universe!$B$1432=""),"",Universe!$B$1432)</f>
        <v/>
      </c>
      <c r="DFC1" s="11">
        <f>IF(OR(SwitchTR&lt;&gt;"ON",Universe!$B$1433=""),"",Universe!$B$1433)</f>
        <v/>
      </c>
      <c r="DFE1" s="11">
        <f>IF(OR(SwitchTR&lt;&gt;"ON",Universe!$B$1434=""),"",Universe!$B$1434)</f>
        <v/>
      </c>
      <c r="DFG1" s="11">
        <f>IF(OR(SwitchTR&lt;&gt;"ON",Universe!$B$1435=""),"",Universe!$B$1435)</f>
        <v/>
      </c>
      <c r="DFI1" s="11">
        <f>IF(OR(SwitchTR&lt;&gt;"ON",Universe!$B$1436=""),"",Universe!$B$1436)</f>
        <v/>
      </c>
      <c r="DFK1" s="11">
        <f>IF(OR(SwitchTR&lt;&gt;"ON",Universe!$B$1437=""),"",Universe!$B$1437)</f>
        <v/>
      </c>
      <c r="DFM1" s="11">
        <f>IF(OR(SwitchTR&lt;&gt;"ON",Universe!$B$1438=""),"",Universe!$B$1438)</f>
        <v/>
      </c>
      <c r="DFO1" s="11">
        <f>IF(OR(SwitchTR&lt;&gt;"ON",Universe!$B$1439=""),"",Universe!$B$1439)</f>
        <v/>
      </c>
      <c r="DFQ1" s="11">
        <f>IF(OR(SwitchTR&lt;&gt;"ON",Universe!$B$1440=""),"",Universe!$B$1440)</f>
        <v/>
      </c>
      <c r="DFS1" s="11">
        <f>IF(OR(SwitchTR&lt;&gt;"ON",Universe!$B$1441=""),"",Universe!$B$1441)</f>
        <v/>
      </c>
      <c r="DFU1" s="11">
        <f>IF(OR(SwitchTR&lt;&gt;"ON",Universe!$B$1442=""),"",Universe!$B$1442)</f>
        <v/>
      </c>
      <c r="DFW1" s="11">
        <f>IF(OR(SwitchTR&lt;&gt;"ON",Universe!$B$1443=""),"",Universe!$B$1443)</f>
        <v/>
      </c>
      <c r="DFY1" s="11">
        <f>IF(OR(SwitchTR&lt;&gt;"ON",Universe!$B$1444=""),"",Universe!$B$1444)</f>
        <v/>
      </c>
      <c r="DGA1" s="11">
        <f>IF(OR(SwitchTR&lt;&gt;"ON",Universe!$B$1445=""),"",Universe!$B$1445)</f>
        <v/>
      </c>
      <c r="DGC1" s="11">
        <f>IF(OR(SwitchTR&lt;&gt;"ON",Universe!$B$1446=""),"",Universe!$B$1446)</f>
        <v/>
      </c>
      <c r="DGE1" s="11">
        <f>IF(OR(SwitchTR&lt;&gt;"ON",Universe!$B$1447=""),"",Universe!$B$1447)</f>
        <v/>
      </c>
      <c r="DGG1" s="11">
        <f>IF(OR(SwitchTR&lt;&gt;"ON",Universe!$B$1448=""),"",Universe!$B$1448)</f>
        <v/>
      </c>
      <c r="DGI1" s="11">
        <f>IF(OR(SwitchTR&lt;&gt;"ON",Universe!$B$1449=""),"",Universe!$B$1449)</f>
        <v/>
      </c>
      <c r="DGK1" s="11">
        <f>IF(OR(SwitchTR&lt;&gt;"ON",Universe!$B$1450=""),"",Universe!$B$1450)</f>
        <v/>
      </c>
      <c r="DGM1" s="11">
        <f>IF(OR(SwitchTR&lt;&gt;"ON",Universe!$B$1451=""),"",Universe!$B$1451)</f>
        <v/>
      </c>
      <c r="DGO1" s="11">
        <f>IF(OR(SwitchTR&lt;&gt;"ON",Universe!$B$1452=""),"",Universe!$B$1452)</f>
        <v/>
      </c>
      <c r="DGQ1" s="11">
        <f>IF(OR(SwitchTR&lt;&gt;"ON",Universe!$B$1453=""),"",Universe!$B$1453)</f>
        <v/>
      </c>
      <c r="DGS1" s="11">
        <f>IF(OR(SwitchTR&lt;&gt;"ON",Universe!$B$1454=""),"",Universe!$B$1454)</f>
        <v/>
      </c>
      <c r="DGU1" s="11">
        <f>IF(OR(SwitchTR&lt;&gt;"ON",Universe!$B$1455=""),"",Universe!$B$1455)</f>
        <v/>
      </c>
      <c r="DGW1" s="11">
        <f>IF(OR(SwitchTR&lt;&gt;"ON",Universe!$B$1456=""),"",Universe!$B$1456)</f>
        <v/>
      </c>
      <c r="DGY1" s="11">
        <f>IF(OR(SwitchTR&lt;&gt;"ON",Universe!$B$1457=""),"",Universe!$B$1457)</f>
        <v/>
      </c>
      <c r="DHA1" s="11">
        <f>IF(OR(SwitchTR&lt;&gt;"ON",Universe!$B$1458=""),"",Universe!$B$1458)</f>
        <v/>
      </c>
      <c r="DHC1" s="11">
        <f>IF(OR(SwitchTR&lt;&gt;"ON",Universe!$B$1459=""),"",Universe!$B$1459)</f>
        <v/>
      </c>
      <c r="DHE1" s="11">
        <f>IF(OR(SwitchTR&lt;&gt;"ON",Universe!$B$1460=""),"",Universe!$B$1460)</f>
        <v/>
      </c>
      <c r="DHG1" s="11">
        <f>IF(OR(SwitchTR&lt;&gt;"ON",Universe!$B$1461=""),"",Universe!$B$1461)</f>
        <v/>
      </c>
      <c r="DHI1" s="11">
        <f>IF(OR(SwitchTR&lt;&gt;"ON",Universe!$B$1462=""),"",Universe!$B$1462)</f>
        <v/>
      </c>
      <c r="DHK1" s="11">
        <f>IF(OR(SwitchTR&lt;&gt;"ON",Universe!$B$1463=""),"",Universe!$B$1463)</f>
        <v/>
      </c>
      <c r="DHM1" s="11">
        <f>IF(OR(SwitchTR&lt;&gt;"ON",Universe!$B$1464=""),"",Universe!$B$1464)</f>
        <v/>
      </c>
      <c r="DHO1" s="11">
        <f>IF(OR(SwitchTR&lt;&gt;"ON",Universe!$B$1465=""),"",Universe!$B$1465)</f>
        <v/>
      </c>
      <c r="DHQ1" s="11">
        <f>IF(OR(SwitchTR&lt;&gt;"ON",Universe!$B$1466=""),"",Universe!$B$1466)</f>
        <v/>
      </c>
      <c r="DHS1" s="11">
        <f>IF(OR(SwitchTR&lt;&gt;"ON",Universe!$B$1467=""),"",Universe!$B$1467)</f>
        <v/>
      </c>
      <c r="DHU1" s="11">
        <f>IF(OR(SwitchTR&lt;&gt;"ON",Universe!$B$1468=""),"",Universe!$B$1468)</f>
        <v/>
      </c>
      <c r="DHW1" s="11">
        <f>IF(OR(SwitchTR&lt;&gt;"ON",Universe!$B$1469=""),"",Universe!$B$1469)</f>
        <v/>
      </c>
      <c r="DHY1" s="11">
        <f>IF(OR(SwitchTR&lt;&gt;"ON",Universe!$B$1470=""),"",Universe!$B$1470)</f>
        <v/>
      </c>
      <c r="DIA1" s="11">
        <f>IF(OR(SwitchTR&lt;&gt;"ON",Universe!$B$1471=""),"",Universe!$B$1471)</f>
        <v/>
      </c>
      <c r="DIC1" s="11">
        <f>IF(OR(SwitchTR&lt;&gt;"ON",Universe!$B$1472=""),"",Universe!$B$1472)</f>
        <v/>
      </c>
      <c r="DIE1" s="11">
        <f>IF(OR(SwitchTR&lt;&gt;"ON",Universe!$B$1473=""),"",Universe!$B$1473)</f>
        <v/>
      </c>
      <c r="DIG1" s="11">
        <f>IF(OR(SwitchTR&lt;&gt;"ON",Universe!$B$1474=""),"",Universe!$B$1474)</f>
        <v/>
      </c>
      <c r="DII1" s="11">
        <f>IF(OR(SwitchTR&lt;&gt;"ON",Universe!$B$1475=""),"",Universe!$B$1475)</f>
        <v/>
      </c>
      <c r="DIK1" s="11">
        <f>IF(OR(SwitchTR&lt;&gt;"ON",Universe!$B$1476=""),"",Universe!$B$1476)</f>
        <v/>
      </c>
      <c r="DIM1" s="11">
        <f>IF(OR(SwitchTR&lt;&gt;"ON",Universe!$B$1477=""),"",Universe!$B$1477)</f>
        <v/>
      </c>
      <c r="DIO1" s="11">
        <f>IF(OR(SwitchTR&lt;&gt;"ON",Universe!$B$1478=""),"",Universe!$B$1478)</f>
        <v/>
      </c>
      <c r="DIQ1" s="11">
        <f>IF(OR(SwitchTR&lt;&gt;"ON",Universe!$B$1479=""),"",Universe!$B$1479)</f>
        <v/>
      </c>
      <c r="DIS1" s="11">
        <f>IF(OR(SwitchTR&lt;&gt;"ON",Universe!$B$1480=""),"",Universe!$B$1480)</f>
        <v/>
      </c>
      <c r="DIU1" s="11">
        <f>IF(OR(SwitchTR&lt;&gt;"ON",Universe!$B$1481=""),"",Universe!$B$1481)</f>
        <v/>
      </c>
      <c r="DIW1" s="11">
        <f>IF(OR(SwitchTR&lt;&gt;"ON",Universe!$B$1482=""),"",Universe!$B$1482)</f>
        <v/>
      </c>
      <c r="DIY1" s="11">
        <f>IF(OR(SwitchTR&lt;&gt;"ON",Universe!$B$1483=""),"",Universe!$B$1483)</f>
        <v/>
      </c>
      <c r="DJA1" s="11">
        <f>IF(OR(SwitchTR&lt;&gt;"ON",Universe!$B$1484=""),"",Universe!$B$1484)</f>
        <v/>
      </c>
      <c r="DJC1" s="11">
        <f>IF(OR(SwitchTR&lt;&gt;"ON",Universe!$B$1485=""),"",Universe!$B$1485)</f>
        <v/>
      </c>
      <c r="DJE1" s="11">
        <f>IF(OR(SwitchTR&lt;&gt;"ON",Universe!$B$1486=""),"",Universe!$B$1486)</f>
        <v/>
      </c>
      <c r="DJG1" s="11">
        <f>IF(OR(SwitchTR&lt;&gt;"ON",Universe!$B$1487=""),"",Universe!$B$1487)</f>
        <v/>
      </c>
      <c r="DJI1" s="11">
        <f>IF(OR(SwitchTR&lt;&gt;"ON",Universe!$B$1488=""),"",Universe!$B$1488)</f>
        <v/>
      </c>
      <c r="DJK1" s="11">
        <f>IF(OR(SwitchTR&lt;&gt;"ON",Universe!$B$1489=""),"",Universe!$B$1489)</f>
        <v/>
      </c>
      <c r="DJM1" s="11">
        <f>IF(OR(SwitchTR&lt;&gt;"ON",Universe!$B$1490=""),"",Universe!$B$1490)</f>
        <v/>
      </c>
      <c r="DJO1" s="11">
        <f>IF(OR(SwitchTR&lt;&gt;"ON",Universe!$B$1491=""),"",Universe!$B$1491)</f>
        <v/>
      </c>
      <c r="DJQ1" s="11">
        <f>IF(OR(SwitchTR&lt;&gt;"ON",Universe!$B$1492=""),"",Universe!$B$1492)</f>
        <v/>
      </c>
      <c r="DJS1" s="11">
        <f>IF(OR(SwitchTR&lt;&gt;"ON",Universe!$B$1493=""),"",Universe!$B$1493)</f>
        <v/>
      </c>
      <c r="DJU1" s="11">
        <f>IF(OR(SwitchTR&lt;&gt;"ON",Universe!$B$1494=""),"",Universe!$B$1494)</f>
        <v/>
      </c>
      <c r="DJW1" s="11">
        <f>IF(OR(SwitchTR&lt;&gt;"ON",Universe!$B$1495=""),"",Universe!$B$1495)</f>
        <v/>
      </c>
      <c r="DJY1" s="11">
        <f>IF(OR(SwitchTR&lt;&gt;"ON",Universe!$B$1496=""),"",Universe!$B$1496)</f>
        <v/>
      </c>
      <c r="DKA1" s="11">
        <f>IF(OR(SwitchTR&lt;&gt;"ON",Universe!$B$1497=""),"",Universe!$B$1497)</f>
        <v/>
      </c>
      <c r="DKC1" s="11">
        <f>IF(OR(SwitchTR&lt;&gt;"ON",Universe!$B$1498=""),"",Universe!$B$1498)</f>
        <v/>
      </c>
      <c r="DKE1" s="11">
        <f>IF(OR(SwitchTR&lt;&gt;"ON",Universe!$B$1499=""),"",Universe!$B$1499)</f>
        <v/>
      </c>
      <c r="DKG1" s="11">
        <f>IF(OR(SwitchTR&lt;&gt;"ON",Universe!$B$1500=""),"",Universe!$B$1500)</f>
        <v/>
      </c>
      <c r="DKI1" s="11">
        <f>IF(OR(SwitchTR&lt;&gt;"ON",Universe!$B$1501=""),"",Universe!$B$1501)</f>
        <v/>
      </c>
      <c r="DKK1" s="11">
        <f>IF(OR(SwitchTR&lt;&gt;"ON",Universe!$B$1502=""),"",Universe!$B$1502)</f>
        <v/>
      </c>
      <c r="DKM1" s="11">
        <f>IF(OR(SwitchTR&lt;&gt;"ON",Universe!$B$1503=""),"",Universe!$B$1503)</f>
        <v/>
      </c>
      <c r="DKO1" s="11">
        <f>IF(OR(SwitchTR&lt;&gt;"ON",Universe!$B$1504=""),"",Universe!$B$1504)</f>
        <v/>
      </c>
      <c r="DKQ1" s="11">
        <f>IF(OR(SwitchTR&lt;&gt;"ON",Universe!$B$1505=""),"",Universe!$B$1505)</f>
        <v/>
      </c>
      <c r="DKS1" s="11">
        <f>IF(OR(SwitchTR&lt;&gt;"ON",Universe!$B$1506=""),"",Universe!$B$1506)</f>
        <v/>
      </c>
      <c r="DKU1" s="11">
        <f>IF(OR(SwitchTR&lt;&gt;"ON",Universe!$B$1507=""),"",Universe!$B$1507)</f>
        <v/>
      </c>
      <c r="DKW1" s="11">
        <f>IF(OR(SwitchTR&lt;&gt;"ON",Universe!$B$1508=""),"",Universe!$B$1508)</f>
        <v/>
      </c>
      <c r="DKY1" s="11">
        <f>IF(OR(SwitchTR&lt;&gt;"ON",Universe!$B$1509=""),"",Universe!$B$1509)</f>
        <v/>
      </c>
      <c r="DLA1" s="11">
        <f>IF(OR(SwitchTR&lt;&gt;"ON",Universe!$B$1510=""),"",Universe!$B$1510)</f>
        <v/>
      </c>
      <c r="DLC1" s="11">
        <f>IF(OR(SwitchTR&lt;&gt;"ON",Universe!$B$1511=""),"",Universe!$B$1511)</f>
        <v/>
      </c>
      <c r="DLE1" s="11">
        <f>IF(OR(SwitchTR&lt;&gt;"ON",Universe!$B$1512=""),"",Universe!$B$1512)</f>
        <v/>
      </c>
      <c r="DLG1" s="11">
        <f>IF(OR(SwitchTR&lt;&gt;"ON",Universe!$B$1513=""),"",Universe!$B$1513)</f>
        <v/>
      </c>
      <c r="DLI1" s="11">
        <f>IF(OR(SwitchTR&lt;&gt;"ON",Universe!$B$1514=""),"",Universe!$B$1514)</f>
        <v/>
      </c>
      <c r="DLK1" s="11">
        <f>IF(OR(SwitchTR&lt;&gt;"ON",Universe!$B$1515=""),"",Universe!$B$1515)</f>
        <v/>
      </c>
      <c r="DLM1" s="11">
        <f>IF(OR(SwitchTR&lt;&gt;"ON",Universe!$B$1516=""),"",Universe!$B$1516)</f>
        <v/>
      </c>
      <c r="DLO1" s="11">
        <f>IF(OR(SwitchTR&lt;&gt;"ON",Universe!$B$1517=""),"",Universe!$B$1517)</f>
        <v/>
      </c>
      <c r="DLQ1" s="11">
        <f>IF(OR(SwitchTR&lt;&gt;"ON",Universe!$B$1518=""),"",Universe!$B$1518)</f>
        <v/>
      </c>
      <c r="DLS1" s="11">
        <f>IF(OR(SwitchTR&lt;&gt;"ON",Universe!$B$1519=""),"",Universe!$B$1519)</f>
        <v/>
      </c>
      <c r="DLU1" s="11">
        <f>IF(OR(SwitchTR&lt;&gt;"ON",Universe!$B$1520=""),"",Universe!$B$1520)</f>
        <v/>
      </c>
      <c r="DLW1" s="11">
        <f>IF(OR(SwitchTR&lt;&gt;"ON",Universe!$B$1521=""),"",Universe!$B$1521)</f>
        <v/>
      </c>
      <c r="DLY1" s="11">
        <f>IF(OR(SwitchTR&lt;&gt;"ON",Universe!$B$1522=""),"",Universe!$B$1522)</f>
        <v/>
      </c>
      <c r="DMA1" s="11">
        <f>IF(OR(SwitchTR&lt;&gt;"ON",Universe!$B$1523=""),"",Universe!$B$1523)</f>
        <v/>
      </c>
      <c r="DMC1" s="11">
        <f>IF(OR(SwitchTR&lt;&gt;"ON",Universe!$B$1524=""),"",Universe!$B$1524)</f>
        <v/>
      </c>
      <c r="DME1" s="11">
        <f>IF(OR(SwitchTR&lt;&gt;"ON",Universe!$B$1525=""),"",Universe!$B$1525)</f>
        <v/>
      </c>
      <c r="DMG1" s="11">
        <f>IF(OR(SwitchTR&lt;&gt;"ON",Universe!$B$1526=""),"",Universe!$B$1526)</f>
        <v/>
      </c>
      <c r="DMI1" s="11">
        <f>IF(OR(SwitchTR&lt;&gt;"ON",Universe!$B$1527=""),"",Universe!$B$1527)</f>
        <v/>
      </c>
      <c r="DMK1" s="11">
        <f>IF(OR(SwitchTR&lt;&gt;"ON",Universe!$B$1528=""),"",Universe!$B$1528)</f>
        <v/>
      </c>
      <c r="DMM1" s="11">
        <f>IF(OR(SwitchTR&lt;&gt;"ON",Universe!$B$1529=""),"",Universe!$B$1529)</f>
        <v/>
      </c>
      <c r="DMO1" s="11">
        <f>IF(OR(SwitchTR&lt;&gt;"ON",Universe!$B$1530=""),"",Universe!$B$1530)</f>
        <v/>
      </c>
      <c r="DMQ1" s="11">
        <f>IF(OR(SwitchTR&lt;&gt;"ON",Universe!$B$1531=""),"",Universe!$B$1531)</f>
        <v/>
      </c>
      <c r="DMS1" s="11">
        <f>IF(OR(SwitchTR&lt;&gt;"ON",Universe!$B$1532=""),"",Universe!$B$1532)</f>
        <v/>
      </c>
      <c r="DMU1" s="11">
        <f>IF(OR(SwitchTR&lt;&gt;"ON",Universe!$B$1533=""),"",Universe!$B$1533)</f>
        <v/>
      </c>
      <c r="DMW1" s="11">
        <f>IF(OR(SwitchTR&lt;&gt;"ON",Universe!$B$1534=""),"",Universe!$B$1534)</f>
        <v/>
      </c>
      <c r="DMY1" s="11">
        <f>IF(OR(SwitchTR&lt;&gt;"ON",Universe!$B$1535=""),"",Universe!$B$1535)</f>
        <v/>
      </c>
      <c r="DNA1" s="11">
        <f>IF(OR(SwitchTR&lt;&gt;"ON",Universe!$B$1536=""),"",Universe!$B$1536)</f>
        <v/>
      </c>
      <c r="DNC1" s="11">
        <f>IF(OR(SwitchTR&lt;&gt;"ON",Universe!$B$1537=""),"",Universe!$B$1537)</f>
        <v/>
      </c>
      <c r="DNE1" s="11">
        <f>IF(OR(SwitchTR&lt;&gt;"ON",Universe!$B$1538=""),"",Universe!$B$1538)</f>
        <v/>
      </c>
      <c r="DNG1" s="11">
        <f>IF(OR(SwitchTR&lt;&gt;"ON",Universe!$B$1539=""),"",Universe!$B$1539)</f>
        <v/>
      </c>
      <c r="DNI1" s="11">
        <f>IF(OR(SwitchTR&lt;&gt;"ON",Universe!$B$1540=""),"",Universe!$B$1540)</f>
        <v/>
      </c>
      <c r="DNK1" s="11">
        <f>IF(OR(SwitchTR&lt;&gt;"ON",Universe!$B$1541=""),"",Universe!$B$1541)</f>
        <v/>
      </c>
      <c r="DNM1" s="11">
        <f>IF(OR(SwitchTR&lt;&gt;"ON",Universe!$B$1542=""),"",Universe!$B$1542)</f>
        <v/>
      </c>
      <c r="DNO1" s="11">
        <f>IF(OR(SwitchTR&lt;&gt;"ON",Universe!$B$1543=""),"",Universe!$B$1543)</f>
        <v/>
      </c>
      <c r="DNQ1" s="11">
        <f>IF(OR(SwitchTR&lt;&gt;"ON",Universe!$B$1544=""),"",Universe!$B$1544)</f>
        <v/>
      </c>
      <c r="DNS1" s="11">
        <f>IF(OR(SwitchTR&lt;&gt;"ON",Universe!$B$1545=""),"",Universe!$B$1545)</f>
        <v/>
      </c>
      <c r="DNU1" s="11">
        <f>IF(OR(SwitchTR&lt;&gt;"ON",Universe!$B$1546=""),"",Universe!$B$1546)</f>
        <v/>
      </c>
      <c r="DNW1" s="11">
        <f>IF(OR(SwitchTR&lt;&gt;"ON",Universe!$B$1547=""),"",Universe!$B$1547)</f>
        <v/>
      </c>
      <c r="DNY1" s="11">
        <f>IF(OR(SwitchTR&lt;&gt;"ON",Universe!$B$1548=""),"",Universe!$B$1548)</f>
        <v/>
      </c>
      <c r="DOA1" s="11">
        <f>IF(OR(SwitchTR&lt;&gt;"ON",Universe!$B$1549=""),"",Universe!$B$1549)</f>
        <v/>
      </c>
      <c r="DOC1" s="11">
        <f>IF(OR(SwitchTR&lt;&gt;"ON",Universe!$B$1550=""),"",Universe!$B$1550)</f>
        <v/>
      </c>
      <c r="DOE1" s="11">
        <f>IF(OR(SwitchTR&lt;&gt;"ON",Universe!$B$1551=""),"",Universe!$B$1551)</f>
        <v/>
      </c>
      <c r="DOG1" s="11">
        <f>IF(OR(SwitchTR&lt;&gt;"ON",Universe!$B$1552=""),"",Universe!$B$1552)</f>
        <v/>
      </c>
      <c r="DOI1" s="11">
        <f>IF(OR(SwitchTR&lt;&gt;"ON",Universe!$B$1553=""),"",Universe!$B$1553)</f>
        <v/>
      </c>
      <c r="DOK1" s="11">
        <f>IF(OR(SwitchTR&lt;&gt;"ON",Universe!$B$1554=""),"",Universe!$B$1554)</f>
        <v/>
      </c>
      <c r="DOM1" s="11">
        <f>IF(OR(SwitchTR&lt;&gt;"ON",Universe!$B$1555=""),"",Universe!$B$1555)</f>
        <v/>
      </c>
      <c r="DOO1" s="11">
        <f>IF(OR(SwitchTR&lt;&gt;"ON",Universe!$B$1556=""),"",Universe!$B$1556)</f>
        <v/>
      </c>
      <c r="DOQ1" s="11">
        <f>IF(OR(SwitchTR&lt;&gt;"ON",Universe!$B$1557=""),"",Universe!$B$1557)</f>
        <v/>
      </c>
      <c r="DOS1" s="11">
        <f>IF(OR(SwitchTR&lt;&gt;"ON",Universe!$B$1558=""),"",Universe!$B$1558)</f>
        <v/>
      </c>
      <c r="DOU1" s="11">
        <f>IF(OR(SwitchTR&lt;&gt;"ON",Universe!$B$1559=""),"",Universe!$B$1559)</f>
        <v/>
      </c>
      <c r="DOW1" s="11">
        <f>IF(OR(SwitchTR&lt;&gt;"ON",Universe!$B$1560=""),"",Universe!$B$1560)</f>
        <v/>
      </c>
      <c r="DOY1" s="11">
        <f>IF(OR(SwitchTR&lt;&gt;"ON",Universe!$B$1561=""),"",Universe!$B$1561)</f>
        <v/>
      </c>
      <c r="DPA1" s="11">
        <f>IF(OR(SwitchTR&lt;&gt;"ON",Universe!$B$1562=""),"",Universe!$B$1562)</f>
        <v/>
      </c>
      <c r="DPC1" s="11">
        <f>IF(OR(SwitchTR&lt;&gt;"ON",Universe!$B$1563=""),"",Universe!$B$1563)</f>
        <v/>
      </c>
      <c r="DPE1" s="11">
        <f>IF(OR(SwitchTR&lt;&gt;"ON",Universe!$B$1564=""),"",Universe!$B$1564)</f>
        <v/>
      </c>
      <c r="DPG1" s="11">
        <f>IF(OR(SwitchTR&lt;&gt;"ON",Universe!$B$1565=""),"",Universe!$B$1565)</f>
        <v/>
      </c>
      <c r="DPI1" s="11">
        <f>IF(OR(SwitchTR&lt;&gt;"ON",Universe!$B$1566=""),"",Universe!$B$1566)</f>
        <v/>
      </c>
      <c r="DPK1" s="11">
        <f>IF(OR(SwitchTR&lt;&gt;"ON",Universe!$B$1567=""),"",Universe!$B$1567)</f>
        <v/>
      </c>
      <c r="DPM1" s="11">
        <f>IF(OR(SwitchTR&lt;&gt;"ON",Universe!$B$1568=""),"",Universe!$B$1568)</f>
        <v/>
      </c>
      <c r="DPO1" s="11">
        <f>IF(OR(SwitchTR&lt;&gt;"ON",Universe!$B$1569=""),"",Universe!$B$1569)</f>
        <v/>
      </c>
      <c r="DPQ1" s="11">
        <f>IF(OR(SwitchTR&lt;&gt;"ON",Universe!$B$1570=""),"",Universe!$B$1570)</f>
        <v/>
      </c>
      <c r="DPS1" s="11">
        <f>IF(OR(SwitchTR&lt;&gt;"ON",Universe!$B$1571=""),"",Universe!$B$1571)</f>
        <v/>
      </c>
      <c r="DPU1" s="11">
        <f>IF(OR(SwitchTR&lt;&gt;"ON",Universe!$B$1572=""),"",Universe!$B$1572)</f>
        <v/>
      </c>
      <c r="DPW1" s="11">
        <f>IF(OR(SwitchTR&lt;&gt;"ON",Universe!$B$1573=""),"",Universe!$B$1573)</f>
        <v/>
      </c>
      <c r="DPY1" s="11">
        <f>IF(OR(SwitchTR&lt;&gt;"ON",Universe!$B$1574=""),"",Universe!$B$1574)</f>
        <v/>
      </c>
      <c r="DQA1" s="11">
        <f>IF(OR(SwitchTR&lt;&gt;"ON",Universe!$B$1575=""),"",Universe!$B$1575)</f>
        <v/>
      </c>
      <c r="DQC1" s="11">
        <f>IF(OR(SwitchTR&lt;&gt;"ON",Universe!$B$1576=""),"",Universe!$B$1576)</f>
        <v/>
      </c>
      <c r="DQE1" s="11">
        <f>IF(OR(SwitchTR&lt;&gt;"ON",Universe!$B$1577=""),"",Universe!$B$1577)</f>
        <v/>
      </c>
      <c r="DQG1" s="11">
        <f>IF(OR(SwitchTR&lt;&gt;"ON",Universe!$B$1578=""),"",Universe!$B$1578)</f>
        <v/>
      </c>
      <c r="DQI1" s="11">
        <f>IF(OR(SwitchTR&lt;&gt;"ON",Universe!$B$1579=""),"",Universe!$B$1579)</f>
        <v/>
      </c>
      <c r="DQK1" s="11">
        <f>IF(OR(SwitchTR&lt;&gt;"ON",Universe!$B$1580=""),"",Universe!$B$1580)</f>
        <v/>
      </c>
      <c r="DQM1" s="11">
        <f>IF(OR(SwitchTR&lt;&gt;"ON",Universe!$B$1581=""),"",Universe!$B$1581)</f>
        <v/>
      </c>
      <c r="DQO1" s="11">
        <f>IF(OR(SwitchTR&lt;&gt;"ON",Universe!$B$1582=""),"",Universe!$B$1582)</f>
        <v/>
      </c>
      <c r="DQQ1" s="11">
        <f>IF(OR(SwitchTR&lt;&gt;"ON",Universe!$B$1583=""),"",Universe!$B$1583)</f>
        <v/>
      </c>
      <c r="DQS1" s="11">
        <f>IF(OR(SwitchTR&lt;&gt;"ON",Universe!$B$1584=""),"",Universe!$B$1584)</f>
        <v/>
      </c>
      <c r="DQU1" s="11">
        <f>IF(OR(SwitchTR&lt;&gt;"ON",Universe!$B$1585=""),"",Universe!$B$1585)</f>
        <v/>
      </c>
      <c r="DQW1" s="11">
        <f>IF(OR(SwitchTR&lt;&gt;"ON",Universe!$B$1586=""),"",Universe!$B$1586)</f>
        <v/>
      </c>
      <c r="DQY1" s="11">
        <f>IF(OR(SwitchTR&lt;&gt;"ON",Universe!$B$1587=""),"",Universe!$B$1587)</f>
        <v/>
      </c>
      <c r="DRA1" s="11">
        <f>IF(OR(SwitchTR&lt;&gt;"ON",Universe!$B$1588=""),"",Universe!$B$1588)</f>
        <v/>
      </c>
      <c r="DRC1" s="11">
        <f>IF(OR(SwitchTR&lt;&gt;"ON",Universe!$B$1589=""),"",Universe!$B$1589)</f>
        <v/>
      </c>
      <c r="DRE1" s="11">
        <f>IF(OR(SwitchTR&lt;&gt;"ON",Universe!$B$1590=""),"",Universe!$B$1590)</f>
        <v/>
      </c>
      <c r="DRG1" s="11">
        <f>IF(OR(SwitchTR&lt;&gt;"ON",Universe!$B$1591=""),"",Universe!$B$1591)</f>
        <v/>
      </c>
      <c r="DRI1" s="11">
        <f>IF(OR(SwitchTR&lt;&gt;"ON",Universe!$B$1592=""),"",Universe!$B$1592)</f>
        <v/>
      </c>
      <c r="DRK1" s="11">
        <f>IF(OR(SwitchTR&lt;&gt;"ON",Universe!$B$1593=""),"",Universe!$B$1593)</f>
        <v/>
      </c>
      <c r="DRM1" s="11">
        <f>IF(OR(SwitchTR&lt;&gt;"ON",Universe!$B$1594=""),"",Universe!$B$1594)</f>
        <v/>
      </c>
      <c r="DRO1" s="11">
        <f>IF(OR(SwitchTR&lt;&gt;"ON",Universe!$B$1595=""),"",Universe!$B$1595)</f>
        <v/>
      </c>
      <c r="DRQ1" s="11">
        <f>IF(OR(SwitchTR&lt;&gt;"ON",Universe!$B$1596=""),"",Universe!$B$1596)</f>
        <v/>
      </c>
      <c r="DRS1" s="11">
        <f>IF(OR(SwitchTR&lt;&gt;"ON",Universe!$B$1597=""),"",Universe!$B$1597)</f>
        <v/>
      </c>
      <c r="DRU1" s="11">
        <f>IF(OR(SwitchTR&lt;&gt;"ON",Universe!$B$1598=""),"",Universe!$B$1598)</f>
        <v/>
      </c>
      <c r="DRW1" s="11">
        <f>IF(OR(SwitchTR&lt;&gt;"ON",Universe!$B$1599=""),"",Universe!$B$1599)</f>
        <v/>
      </c>
      <c r="DRY1" s="11">
        <f>IF(OR(SwitchTR&lt;&gt;"ON",Universe!$B$1600=""),"",Universe!$B$1600)</f>
        <v/>
      </c>
      <c r="DSA1" s="11">
        <f>IF(OR(SwitchTR&lt;&gt;"ON",Universe!$B$1601=""),"",Universe!$B$1601)</f>
        <v/>
      </c>
      <c r="DSC1" s="11">
        <f>IF(OR(SwitchTR&lt;&gt;"ON",Universe!$B$1602=""),"",Universe!$B$1602)</f>
        <v/>
      </c>
      <c r="DSE1" s="11">
        <f>IF(OR(SwitchTR&lt;&gt;"ON",Universe!$B$1603=""),"",Universe!$B$1603)</f>
        <v/>
      </c>
      <c r="DSG1" s="11">
        <f>IF(OR(SwitchTR&lt;&gt;"ON",Universe!$B$1604=""),"",Universe!$B$1604)</f>
        <v/>
      </c>
      <c r="DSI1" s="11">
        <f>IF(OR(SwitchTR&lt;&gt;"ON",Universe!$B$1605=""),"",Universe!$B$1605)</f>
        <v/>
      </c>
      <c r="DSK1" s="11">
        <f>IF(OR(SwitchTR&lt;&gt;"ON",Universe!$B$1606=""),"",Universe!$B$1606)</f>
        <v/>
      </c>
      <c r="DSM1" s="11">
        <f>IF(OR(SwitchTR&lt;&gt;"ON",Universe!$B$1607=""),"",Universe!$B$1607)</f>
        <v/>
      </c>
      <c r="DSO1" s="11">
        <f>IF(OR(SwitchTR&lt;&gt;"ON",Universe!$B$1608=""),"",Universe!$B$1608)</f>
        <v/>
      </c>
      <c r="DSQ1" s="11">
        <f>IF(OR(SwitchTR&lt;&gt;"ON",Universe!$B$1609=""),"",Universe!$B$1609)</f>
        <v/>
      </c>
      <c r="DSS1" s="11">
        <f>IF(OR(SwitchTR&lt;&gt;"ON",Universe!$B$1610=""),"",Universe!$B$1610)</f>
        <v/>
      </c>
      <c r="DSU1" s="11">
        <f>IF(OR(SwitchTR&lt;&gt;"ON",Universe!$B$1611=""),"",Universe!$B$1611)</f>
        <v/>
      </c>
      <c r="DSW1" s="11">
        <f>IF(OR(SwitchTR&lt;&gt;"ON",Universe!$B$1612=""),"",Universe!$B$1612)</f>
        <v/>
      </c>
      <c r="DSY1" s="11">
        <f>IF(OR(SwitchTR&lt;&gt;"ON",Universe!$B$1613=""),"",Universe!$B$1613)</f>
        <v/>
      </c>
      <c r="DTA1" s="11">
        <f>IF(OR(SwitchTR&lt;&gt;"ON",Universe!$B$1614=""),"",Universe!$B$1614)</f>
        <v/>
      </c>
      <c r="DTC1" s="11">
        <f>IF(OR(SwitchTR&lt;&gt;"ON",Universe!$B$1615=""),"",Universe!$B$1615)</f>
        <v/>
      </c>
      <c r="DTE1" s="11">
        <f>IF(OR(SwitchTR&lt;&gt;"ON",Universe!$B$1616=""),"",Universe!$B$1616)</f>
        <v/>
      </c>
      <c r="DTG1" s="11">
        <f>IF(OR(SwitchTR&lt;&gt;"ON",Universe!$B$1617=""),"",Universe!$B$1617)</f>
        <v/>
      </c>
      <c r="DTI1" s="11">
        <f>IF(OR(SwitchTR&lt;&gt;"ON",Universe!$B$1618=""),"",Universe!$B$1618)</f>
        <v/>
      </c>
      <c r="DTK1" s="11">
        <f>IF(OR(SwitchTR&lt;&gt;"ON",Universe!$B$1619=""),"",Universe!$B$1619)</f>
        <v/>
      </c>
      <c r="DTM1" s="11">
        <f>IF(OR(SwitchTR&lt;&gt;"ON",Universe!$B$1620=""),"",Universe!$B$1620)</f>
        <v/>
      </c>
      <c r="DTO1" s="11">
        <f>IF(OR(SwitchTR&lt;&gt;"ON",Universe!$B$1621=""),"",Universe!$B$1621)</f>
        <v/>
      </c>
      <c r="DTQ1" s="11">
        <f>IF(OR(SwitchTR&lt;&gt;"ON",Universe!$B$1622=""),"",Universe!$B$1622)</f>
        <v/>
      </c>
      <c r="DTS1" s="11">
        <f>IF(OR(SwitchTR&lt;&gt;"ON",Universe!$B$1623=""),"",Universe!$B$1623)</f>
        <v/>
      </c>
      <c r="DTU1" s="11">
        <f>IF(OR(SwitchTR&lt;&gt;"ON",Universe!$B$1624=""),"",Universe!$B$1624)</f>
        <v/>
      </c>
      <c r="DTW1" s="11">
        <f>IF(OR(SwitchTR&lt;&gt;"ON",Universe!$B$1625=""),"",Universe!$B$1625)</f>
        <v/>
      </c>
      <c r="DTY1" s="11">
        <f>IF(OR(SwitchTR&lt;&gt;"ON",Universe!$B$1626=""),"",Universe!$B$1626)</f>
        <v/>
      </c>
      <c r="DUA1" s="11">
        <f>IF(OR(SwitchTR&lt;&gt;"ON",Universe!$B$1627=""),"",Universe!$B$1627)</f>
        <v/>
      </c>
      <c r="DUC1" s="11">
        <f>IF(OR(SwitchTR&lt;&gt;"ON",Universe!$B$1628=""),"",Universe!$B$1628)</f>
        <v/>
      </c>
      <c r="DUE1" s="11">
        <f>IF(OR(SwitchTR&lt;&gt;"ON",Universe!$B$1629=""),"",Universe!$B$1629)</f>
        <v/>
      </c>
      <c r="DUG1" s="11">
        <f>IF(OR(SwitchTR&lt;&gt;"ON",Universe!$B$1630=""),"",Universe!$B$1630)</f>
        <v/>
      </c>
      <c r="DUI1" s="11">
        <f>IF(OR(SwitchTR&lt;&gt;"ON",Universe!$B$1631=""),"",Universe!$B$1631)</f>
        <v/>
      </c>
      <c r="DUK1" s="11">
        <f>IF(OR(SwitchTR&lt;&gt;"ON",Universe!$B$1632=""),"",Universe!$B$1632)</f>
        <v/>
      </c>
      <c r="DUM1" s="11">
        <f>IF(OR(SwitchTR&lt;&gt;"ON",Universe!$B$1633=""),"",Universe!$B$1633)</f>
        <v/>
      </c>
      <c r="DUO1" s="11">
        <f>IF(OR(SwitchTR&lt;&gt;"ON",Universe!$B$1634=""),"",Universe!$B$1634)</f>
        <v/>
      </c>
      <c r="DUQ1" s="11">
        <f>IF(OR(SwitchTR&lt;&gt;"ON",Universe!$B$1635=""),"",Universe!$B$1635)</f>
        <v/>
      </c>
      <c r="DUS1" s="11">
        <f>IF(OR(SwitchTR&lt;&gt;"ON",Universe!$B$1636=""),"",Universe!$B$1636)</f>
        <v/>
      </c>
      <c r="DUU1" s="11">
        <f>IF(OR(SwitchTR&lt;&gt;"ON",Universe!$B$1637=""),"",Universe!$B$1637)</f>
        <v/>
      </c>
      <c r="DUW1" s="11">
        <f>IF(OR(SwitchTR&lt;&gt;"ON",Universe!$B$1638=""),"",Universe!$B$1638)</f>
        <v/>
      </c>
      <c r="DUY1" s="11">
        <f>IF(OR(SwitchTR&lt;&gt;"ON",Universe!$B$1639=""),"",Universe!$B$1639)</f>
        <v/>
      </c>
      <c r="DVA1" s="11">
        <f>IF(OR(SwitchTR&lt;&gt;"ON",Universe!$B$1640=""),"",Universe!$B$1640)</f>
        <v/>
      </c>
      <c r="DVC1" s="11">
        <f>IF(OR(SwitchTR&lt;&gt;"ON",Universe!$B$1641=""),"",Universe!$B$1641)</f>
        <v/>
      </c>
      <c r="DVE1" s="11">
        <f>IF(OR(SwitchTR&lt;&gt;"ON",Universe!$B$1642=""),"",Universe!$B$1642)</f>
        <v/>
      </c>
      <c r="DVG1" s="11">
        <f>IF(OR(SwitchTR&lt;&gt;"ON",Universe!$B$1643=""),"",Universe!$B$1643)</f>
        <v/>
      </c>
      <c r="DVI1" s="11">
        <f>IF(OR(SwitchTR&lt;&gt;"ON",Universe!$B$1644=""),"",Universe!$B$1644)</f>
        <v/>
      </c>
      <c r="DVK1" s="11">
        <f>IF(OR(SwitchTR&lt;&gt;"ON",Universe!$B$1645=""),"",Universe!$B$1645)</f>
        <v/>
      </c>
      <c r="DVM1" s="11">
        <f>IF(OR(SwitchTR&lt;&gt;"ON",Universe!$B$1646=""),"",Universe!$B$1646)</f>
        <v/>
      </c>
      <c r="DVO1" s="11">
        <f>IF(OR(SwitchTR&lt;&gt;"ON",Universe!$B$1647=""),"",Universe!$B$1647)</f>
        <v/>
      </c>
      <c r="DVQ1" s="11">
        <f>IF(OR(SwitchTR&lt;&gt;"ON",Universe!$B$1648=""),"",Universe!$B$1648)</f>
        <v/>
      </c>
      <c r="DVS1" s="11">
        <f>IF(OR(SwitchTR&lt;&gt;"ON",Universe!$B$1649=""),"",Universe!$B$1649)</f>
        <v/>
      </c>
      <c r="DVU1" s="11">
        <f>IF(OR(SwitchTR&lt;&gt;"ON",Universe!$B$1650=""),"",Universe!$B$1650)</f>
        <v/>
      </c>
      <c r="DVW1" s="11">
        <f>IF(OR(SwitchTR&lt;&gt;"ON",Universe!$B$1651=""),"",Universe!$B$1651)</f>
        <v/>
      </c>
      <c r="DVY1" s="11">
        <f>IF(OR(SwitchTR&lt;&gt;"ON",Universe!$B$1652=""),"",Universe!$B$1652)</f>
        <v/>
      </c>
      <c r="DWA1" s="11">
        <f>IF(OR(SwitchTR&lt;&gt;"ON",Universe!$B$1653=""),"",Universe!$B$1653)</f>
        <v/>
      </c>
      <c r="DWC1" s="11">
        <f>IF(OR(SwitchTR&lt;&gt;"ON",Universe!$B$1654=""),"",Universe!$B$1654)</f>
        <v/>
      </c>
      <c r="DWE1" s="11">
        <f>IF(OR(SwitchTR&lt;&gt;"ON",Universe!$B$1655=""),"",Universe!$B$1655)</f>
        <v/>
      </c>
      <c r="DWG1" s="11">
        <f>IF(OR(SwitchTR&lt;&gt;"ON",Universe!$B$1656=""),"",Universe!$B$1656)</f>
        <v/>
      </c>
      <c r="DWI1" s="11">
        <f>IF(OR(SwitchTR&lt;&gt;"ON",Universe!$B$1657=""),"",Universe!$B$1657)</f>
        <v/>
      </c>
      <c r="DWK1" s="11">
        <f>IF(OR(SwitchTR&lt;&gt;"ON",Universe!$B$1658=""),"",Universe!$B$1658)</f>
        <v/>
      </c>
      <c r="DWM1" s="11">
        <f>IF(OR(SwitchTR&lt;&gt;"ON",Universe!$B$1659=""),"",Universe!$B$1659)</f>
        <v/>
      </c>
      <c r="DWO1" s="11">
        <f>IF(OR(SwitchTR&lt;&gt;"ON",Universe!$B$1660=""),"",Universe!$B$1660)</f>
        <v/>
      </c>
      <c r="DWQ1" s="11">
        <f>IF(OR(SwitchTR&lt;&gt;"ON",Universe!$B$1661=""),"",Universe!$B$1661)</f>
        <v/>
      </c>
      <c r="DWS1" s="11">
        <f>IF(OR(SwitchTR&lt;&gt;"ON",Universe!$B$1662=""),"",Universe!$B$1662)</f>
        <v/>
      </c>
      <c r="DWU1" s="11">
        <f>IF(OR(SwitchTR&lt;&gt;"ON",Universe!$B$1663=""),"",Universe!$B$1663)</f>
        <v/>
      </c>
      <c r="DWW1" s="11">
        <f>IF(OR(SwitchTR&lt;&gt;"ON",Universe!$B$1664=""),"",Universe!$B$1664)</f>
        <v/>
      </c>
      <c r="DWY1" s="11">
        <f>IF(OR(SwitchTR&lt;&gt;"ON",Universe!$B$1665=""),"",Universe!$B$1665)</f>
        <v/>
      </c>
      <c r="DXA1" s="11">
        <f>IF(OR(SwitchTR&lt;&gt;"ON",Universe!$B$1666=""),"",Universe!$B$1666)</f>
        <v/>
      </c>
      <c r="DXC1" s="11">
        <f>IF(OR(SwitchTR&lt;&gt;"ON",Universe!$B$1667=""),"",Universe!$B$1667)</f>
        <v/>
      </c>
      <c r="DXE1" s="11">
        <f>IF(OR(SwitchTR&lt;&gt;"ON",Universe!$B$1668=""),"",Universe!$B$1668)</f>
        <v/>
      </c>
      <c r="DXG1" s="11">
        <f>IF(OR(SwitchTR&lt;&gt;"ON",Universe!$B$1669=""),"",Universe!$B$1669)</f>
        <v/>
      </c>
      <c r="DXI1" s="11">
        <f>IF(OR(SwitchTR&lt;&gt;"ON",Universe!$B$1670=""),"",Universe!$B$1670)</f>
        <v/>
      </c>
      <c r="DXK1" s="11">
        <f>IF(OR(SwitchTR&lt;&gt;"ON",Universe!$B$1671=""),"",Universe!$B$1671)</f>
        <v/>
      </c>
      <c r="DXM1" s="11">
        <f>IF(OR(SwitchTR&lt;&gt;"ON",Universe!$B$1672=""),"",Universe!$B$1672)</f>
        <v/>
      </c>
      <c r="DXO1" s="11">
        <f>IF(OR(SwitchTR&lt;&gt;"ON",Universe!$B$1673=""),"",Universe!$B$1673)</f>
        <v/>
      </c>
      <c r="DXQ1" s="11">
        <f>IF(OR(SwitchTR&lt;&gt;"ON",Universe!$B$1674=""),"",Universe!$B$1674)</f>
        <v/>
      </c>
      <c r="DXS1" s="11">
        <f>IF(OR(SwitchTR&lt;&gt;"ON",Universe!$B$1675=""),"",Universe!$B$1675)</f>
        <v/>
      </c>
      <c r="DXU1" s="11">
        <f>IF(OR(SwitchTR&lt;&gt;"ON",Universe!$B$1676=""),"",Universe!$B$1676)</f>
        <v/>
      </c>
      <c r="DXW1" s="11">
        <f>IF(OR(SwitchTR&lt;&gt;"ON",Universe!$B$1677=""),"",Universe!$B$1677)</f>
        <v/>
      </c>
      <c r="DXY1" s="11">
        <f>IF(OR(SwitchTR&lt;&gt;"ON",Universe!$B$1678=""),"",Universe!$B$1678)</f>
        <v/>
      </c>
      <c r="DYA1" s="11">
        <f>IF(OR(SwitchTR&lt;&gt;"ON",Universe!$B$1679=""),"",Universe!$B$1679)</f>
        <v/>
      </c>
      <c r="DYC1" s="11">
        <f>IF(OR(SwitchTR&lt;&gt;"ON",Universe!$B$1680=""),"",Universe!$B$1680)</f>
        <v/>
      </c>
      <c r="DYE1" s="11">
        <f>IF(OR(SwitchTR&lt;&gt;"ON",Universe!$B$1681=""),"",Universe!$B$1681)</f>
        <v/>
      </c>
      <c r="DYG1" s="11">
        <f>IF(OR(SwitchTR&lt;&gt;"ON",Universe!$B$1682=""),"",Universe!$B$1682)</f>
        <v/>
      </c>
      <c r="DYI1" s="11">
        <f>IF(OR(SwitchTR&lt;&gt;"ON",Universe!$B$1683=""),"",Universe!$B$1683)</f>
        <v/>
      </c>
      <c r="DYK1" s="11">
        <f>IF(OR(SwitchTR&lt;&gt;"ON",Universe!$B$1684=""),"",Universe!$B$1684)</f>
        <v/>
      </c>
      <c r="DYM1" s="11">
        <f>IF(OR(SwitchTR&lt;&gt;"ON",Universe!$B$1685=""),"",Universe!$B$1685)</f>
        <v/>
      </c>
      <c r="DYO1" s="11">
        <f>IF(OR(SwitchTR&lt;&gt;"ON",Universe!$B$1686=""),"",Universe!$B$1686)</f>
        <v/>
      </c>
      <c r="DYQ1" s="11">
        <f>IF(OR(SwitchTR&lt;&gt;"ON",Universe!$B$1687=""),"",Universe!$B$1687)</f>
        <v/>
      </c>
      <c r="DYS1" s="11">
        <f>IF(OR(SwitchTR&lt;&gt;"ON",Universe!$B$1688=""),"",Universe!$B$1688)</f>
        <v/>
      </c>
      <c r="DYU1" s="11">
        <f>IF(OR(SwitchTR&lt;&gt;"ON",Universe!$B$1689=""),"",Universe!$B$1689)</f>
        <v/>
      </c>
      <c r="DYW1" s="11">
        <f>IF(OR(SwitchTR&lt;&gt;"ON",Universe!$B$1690=""),"",Universe!$B$1690)</f>
        <v/>
      </c>
      <c r="DYY1" s="11">
        <f>IF(OR(SwitchTR&lt;&gt;"ON",Universe!$B$1691=""),"",Universe!$B$1691)</f>
        <v/>
      </c>
      <c r="DZA1" s="11">
        <f>IF(OR(SwitchTR&lt;&gt;"ON",Universe!$B$1692=""),"",Universe!$B$1692)</f>
        <v/>
      </c>
      <c r="DZC1" s="11">
        <f>IF(OR(SwitchTR&lt;&gt;"ON",Universe!$B$1693=""),"",Universe!$B$1693)</f>
        <v/>
      </c>
      <c r="DZE1" s="11">
        <f>IF(OR(SwitchTR&lt;&gt;"ON",Universe!$B$1694=""),"",Universe!$B$1694)</f>
        <v/>
      </c>
      <c r="DZG1" s="11">
        <f>IF(OR(SwitchTR&lt;&gt;"ON",Universe!$B$1695=""),"",Universe!$B$1695)</f>
        <v/>
      </c>
      <c r="DZI1" s="11">
        <f>IF(OR(SwitchTR&lt;&gt;"ON",Universe!$B$1696=""),"",Universe!$B$1696)</f>
        <v/>
      </c>
      <c r="DZK1" s="11">
        <f>IF(OR(SwitchTR&lt;&gt;"ON",Universe!$B$1697=""),"",Universe!$B$1697)</f>
        <v/>
      </c>
      <c r="DZM1" s="11">
        <f>IF(OR(SwitchTR&lt;&gt;"ON",Universe!$B$1698=""),"",Universe!$B$1698)</f>
        <v/>
      </c>
      <c r="DZO1" s="11">
        <f>IF(OR(SwitchTR&lt;&gt;"ON",Universe!$B$1699=""),"",Universe!$B$1699)</f>
        <v/>
      </c>
      <c r="DZQ1" s="11">
        <f>IF(OR(SwitchTR&lt;&gt;"ON",Universe!$B$1700=""),"",Universe!$B$1700)</f>
        <v/>
      </c>
      <c r="DZS1" s="11">
        <f>IF(OR(SwitchTR&lt;&gt;"ON",Universe!$B$1701=""),"",Universe!$B$1701)</f>
        <v/>
      </c>
      <c r="DZU1" s="11">
        <f>IF(OR(SwitchTR&lt;&gt;"ON",Universe!$B$1702=""),"",Universe!$B$1702)</f>
        <v/>
      </c>
      <c r="DZW1" s="11">
        <f>IF(OR(SwitchTR&lt;&gt;"ON",Universe!$B$1703=""),"",Universe!$B$1703)</f>
        <v/>
      </c>
      <c r="DZY1" s="11">
        <f>IF(OR(SwitchTR&lt;&gt;"ON",Universe!$B$1704=""),"",Universe!$B$1704)</f>
        <v/>
      </c>
      <c r="EAA1" s="11">
        <f>IF(OR(SwitchTR&lt;&gt;"ON",Universe!$B$1705=""),"",Universe!$B$1705)</f>
        <v/>
      </c>
      <c r="EAC1" s="11">
        <f>IF(OR(SwitchTR&lt;&gt;"ON",Universe!$B$1706=""),"",Universe!$B$1706)</f>
        <v/>
      </c>
      <c r="EAE1" s="11">
        <f>IF(OR(SwitchTR&lt;&gt;"ON",Universe!$B$1707=""),"",Universe!$B$1707)</f>
        <v/>
      </c>
      <c r="EAG1" s="11">
        <f>IF(OR(SwitchTR&lt;&gt;"ON",Universe!$B$1708=""),"",Universe!$B$1708)</f>
        <v/>
      </c>
      <c r="EAI1" s="11">
        <f>IF(OR(SwitchTR&lt;&gt;"ON",Universe!$B$1709=""),"",Universe!$B$1709)</f>
        <v/>
      </c>
      <c r="EAK1" s="11">
        <f>IF(OR(SwitchTR&lt;&gt;"ON",Universe!$B$1710=""),"",Universe!$B$1710)</f>
        <v/>
      </c>
      <c r="EAM1" s="11">
        <f>IF(OR(SwitchTR&lt;&gt;"ON",Universe!$B$1711=""),"",Universe!$B$1711)</f>
        <v/>
      </c>
      <c r="EAO1" s="11">
        <f>IF(OR(SwitchTR&lt;&gt;"ON",Universe!$B$1712=""),"",Universe!$B$1712)</f>
        <v/>
      </c>
      <c r="EAQ1" s="11">
        <f>IF(OR(SwitchTR&lt;&gt;"ON",Universe!$B$1713=""),"",Universe!$B$1713)</f>
        <v/>
      </c>
      <c r="EAS1" s="11">
        <f>IF(OR(SwitchTR&lt;&gt;"ON",Universe!$B$1714=""),"",Universe!$B$1714)</f>
        <v/>
      </c>
      <c r="EAU1" s="11">
        <f>IF(OR(SwitchTR&lt;&gt;"ON",Universe!$B$1715=""),"",Universe!$B$1715)</f>
        <v/>
      </c>
      <c r="EAW1" s="11">
        <f>IF(OR(SwitchTR&lt;&gt;"ON",Universe!$B$1716=""),"",Universe!$B$1716)</f>
        <v/>
      </c>
      <c r="EAY1" s="11">
        <f>IF(OR(SwitchTR&lt;&gt;"ON",Universe!$B$1717=""),"",Universe!$B$1717)</f>
        <v/>
      </c>
      <c r="EBA1" s="11">
        <f>IF(OR(SwitchTR&lt;&gt;"ON",Universe!$B$1718=""),"",Universe!$B$1718)</f>
        <v/>
      </c>
      <c r="EBC1" s="11">
        <f>IF(OR(SwitchTR&lt;&gt;"ON",Universe!$B$1719=""),"",Universe!$B$1719)</f>
        <v/>
      </c>
      <c r="EBE1" s="11">
        <f>IF(OR(SwitchTR&lt;&gt;"ON",Universe!$B$1720=""),"",Universe!$B$1720)</f>
        <v/>
      </c>
      <c r="EBG1" s="11">
        <f>IF(OR(SwitchTR&lt;&gt;"ON",Universe!$B$1721=""),"",Universe!$B$1721)</f>
        <v/>
      </c>
      <c r="EBI1" s="11">
        <f>IF(OR(SwitchTR&lt;&gt;"ON",Universe!$B$1722=""),"",Universe!$B$1722)</f>
        <v/>
      </c>
      <c r="EBK1" s="11">
        <f>IF(OR(SwitchTR&lt;&gt;"ON",Universe!$B$1723=""),"",Universe!$B$1723)</f>
        <v/>
      </c>
      <c r="EBM1" s="11">
        <f>IF(OR(SwitchTR&lt;&gt;"ON",Universe!$B$1724=""),"",Universe!$B$1724)</f>
        <v/>
      </c>
      <c r="EBO1" s="11">
        <f>IF(OR(SwitchTR&lt;&gt;"ON",Universe!$B$1725=""),"",Universe!$B$1725)</f>
        <v/>
      </c>
      <c r="EBQ1" s="11">
        <f>IF(OR(SwitchTR&lt;&gt;"ON",Universe!$B$1726=""),"",Universe!$B$1726)</f>
        <v/>
      </c>
      <c r="EBS1" s="11">
        <f>IF(OR(SwitchTR&lt;&gt;"ON",Universe!$B$1727=""),"",Universe!$B$1727)</f>
        <v/>
      </c>
      <c r="EBU1" s="11">
        <f>IF(OR(SwitchTR&lt;&gt;"ON",Universe!$B$1728=""),"",Universe!$B$1728)</f>
        <v/>
      </c>
      <c r="EBW1" s="11">
        <f>IF(OR(SwitchTR&lt;&gt;"ON",Universe!$B$1729=""),"",Universe!$B$1729)</f>
        <v/>
      </c>
      <c r="EBY1" s="11">
        <f>IF(OR(SwitchTR&lt;&gt;"ON",Universe!$B$1730=""),"",Universe!$B$1730)</f>
        <v/>
      </c>
      <c r="ECA1" s="11">
        <f>IF(OR(SwitchTR&lt;&gt;"ON",Universe!$B$1731=""),"",Universe!$B$1731)</f>
        <v/>
      </c>
      <c r="ECC1" s="11">
        <f>IF(OR(SwitchTR&lt;&gt;"ON",Universe!$B$1732=""),"",Universe!$B$1732)</f>
        <v/>
      </c>
      <c r="ECE1" s="11">
        <f>IF(OR(SwitchTR&lt;&gt;"ON",Universe!$B$1733=""),"",Universe!$B$1733)</f>
        <v/>
      </c>
      <c r="ECG1" s="11">
        <f>IF(OR(SwitchTR&lt;&gt;"ON",Universe!$B$1734=""),"",Universe!$B$1734)</f>
        <v/>
      </c>
      <c r="ECI1" s="11">
        <f>IF(OR(SwitchTR&lt;&gt;"ON",Universe!$B$1735=""),"",Universe!$B$1735)</f>
        <v/>
      </c>
      <c r="ECK1" s="11">
        <f>IF(OR(SwitchTR&lt;&gt;"ON",Universe!$B$1736=""),"",Universe!$B$1736)</f>
        <v/>
      </c>
      <c r="ECM1" s="11">
        <f>IF(OR(SwitchTR&lt;&gt;"ON",Universe!$B$1737=""),"",Universe!$B$1737)</f>
        <v/>
      </c>
      <c r="ECO1" s="11">
        <f>IF(OR(SwitchTR&lt;&gt;"ON",Universe!$B$1738=""),"",Universe!$B$1738)</f>
        <v/>
      </c>
      <c r="ECQ1" s="11">
        <f>IF(OR(SwitchTR&lt;&gt;"ON",Universe!$B$1739=""),"",Universe!$B$1739)</f>
        <v/>
      </c>
      <c r="ECS1" s="11">
        <f>IF(OR(SwitchTR&lt;&gt;"ON",Universe!$B$1740=""),"",Universe!$B$1740)</f>
        <v/>
      </c>
      <c r="ECU1" s="11">
        <f>IF(OR(SwitchTR&lt;&gt;"ON",Universe!$B$1741=""),"",Universe!$B$1741)</f>
        <v/>
      </c>
      <c r="ECW1" s="11">
        <f>IF(OR(SwitchTR&lt;&gt;"ON",Universe!$B$1742=""),"",Universe!$B$1742)</f>
        <v/>
      </c>
      <c r="ECY1" s="11">
        <f>IF(OR(SwitchTR&lt;&gt;"ON",Universe!$B$1743=""),"",Universe!$B$1743)</f>
        <v/>
      </c>
      <c r="EDA1" s="11">
        <f>IF(OR(SwitchTR&lt;&gt;"ON",Universe!$B$1744=""),"",Universe!$B$1744)</f>
        <v/>
      </c>
      <c r="EDC1" s="11">
        <f>IF(OR(SwitchTR&lt;&gt;"ON",Universe!$B$1745=""),"",Universe!$B$1745)</f>
        <v/>
      </c>
      <c r="EDE1" s="11">
        <f>IF(OR(SwitchTR&lt;&gt;"ON",Universe!$B$1746=""),"",Universe!$B$1746)</f>
        <v/>
      </c>
      <c r="EDG1" s="11">
        <f>IF(OR(SwitchTR&lt;&gt;"ON",Universe!$B$1747=""),"",Universe!$B$1747)</f>
        <v/>
      </c>
      <c r="EDI1" s="11">
        <f>IF(OR(SwitchTR&lt;&gt;"ON",Universe!$B$1748=""),"",Universe!$B$1748)</f>
        <v/>
      </c>
      <c r="EDK1" s="11">
        <f>IF(OR(SwitchTR&lt;&gt;"ON",Universe!$B$1749=""),"",Universe!$B$1749)</f>
        <v/>
      </c>
      <c r="EDM1" s="11">
        <f>IF(OR(SwitchTR&lt;&gt;"ON",Universe!$B$1750=""),"",Universe!$B$1750)</f>
        <v/>
      </c>
      <c r="EDO1" s="11">
        <f>IF(OR(SwitchTR&lt;&gt;"ON",Universe!$B$1751=""),"",Universe!$B$1751)</f>
        <v/>
      </c>
      <c r="EDQ1" s="11">
        <f>IF(OR(SwitchTR&lt;&gt;"ON",Universe!$B$1752=""),"",Universe!$B$1752)</f>
        <v/>
      </c>
      <c r="EDS1" s="11">
        <f>IF(OR(SwitchTR&lt;&gt;"ON",Universe!$B$1753=""),"",Universe!$B$1753)</f>
        <v/>
      </c>
      <c r="EDU1" s="11">
        <f>IF(OR(SwitchTR&lt;&gt;"ON",Universe!$B$1754=""),"",Universe!$B$1754)</f>
        <v/>
      </c>
      <c r="EDW1" s="11">
        <f>IF(OR(SwitchTR&lt;&gt;"ON",Universe!$B$1755=""),"",Universe!$B$1755)</f>
        <v/>
      </c>
      <c r="EDY1" s="11">
        <f>IF(OR(SwitchTR&lt;&gt;"ON",Universe!$B$1756=""),"",Universe!$B$1756)</f>
        <v/>
      </c>
      <c r="EEA1" s="11">
        <f>IF(OR(SwitchTR&lt;&gt;"ON",Universe!$B$1757=""),"",Universe!$B$1757)</f>
        <v/>
      </c>
      <c r="EEC1" s="11">
        <f>IF(OR(SwitchTR&lt;&gt;"ON",Universe!$B$1758=""),"",Universe!$B$1758)</f>
        <v/>
      </c>
      <c r="EEE1" s="11">
        <f>IF(OR(SwitchTR&lt;&gt;"ON",Universe!$B$1759=""),"",Universe!$B$1759)</f>
        <v/>
      </c>
      <c r="EEG1" s="11">
        <f>IF(OR(SwitchTR&lt;&gt;"ON",Universe!$B$1760=""),"",Universe!$B$1760)</f>
        <v/>
      </c>
      <c r="EEI1" s="11">
        <f>IF(OR(SwitchTR&lt;&gt;"ON",Universe!$B$1761=""),"",Universe!$B$1761)</f>
        <v/>
      </c>
      <c r="EEK1" s="11">
        <f>IF(OR(SwitchTR&lt;&gt;"ON",Universe!$B$1762=""),"",Universe!$B$1762)</f>
        <v/>
      </c>
      <c r="EEM1" s="11">
        <f>IF(OR(SwitchTR&lt;&gt;"ON",Universe!$B$1763=""),"",Universe!$B$1763)</f>
        <v/>
      </c>
      <c r="EEO1" s="11">
        <f>IF(OR(SwitchTR&lt;&gt;"ON",Universe!$B$1764=""),"",Universe!$B$1764)</f>
        <v/>
      </c>
      <c r="EEQ1" s="11">
        <f>IF(OR(SwitchTR&lt;&gt;"ON",Universe!$B$1765=""),"",Universe!$B$1765)</f>
        <v/>
      </c>
      <c r="EES1" s="11">
        <f>IF(OR(SwitchTR&lt;&gt;"ON",Universe!$B$1766=""),"",Universe!$B$1766)</f>
        <v/>
      </c>
      <c r="EEU1" s="11">
        <f>IF(OR(SwitchTR&lt;&gt;"ON",Universe!$B$1767=""),"",Universe!$B$1767)</f>
        <v/>
      </c>
      <c r="EEW1" s="11">
        <f>IF(OR(SwitchTR&lt;&gt;"ON",Universe!$B$1768=""),"",Universe!$B$1768)</f>
        <v/>
      </c>
      <c r="EEY1" s="11">
        <f>IF(OR(SwitchTR&lt;&gt;"ON",Universe!$B$1769=""),"",Universe!$B$1769)</f>
        <v/>
      </c>
      <c r="EFA1" s="11">
        <f>IF(OR(SwitchTR&lt;&gt;"ON",Universe!$B$1770=""),"",Universe!$B$1770)</f>
        <v/>
      </c>
      <c r="EFC1" s="11">
        <f>IF(OR(SwitchTR&lt;&gt;"ON",Universe!$B$1771=""),"",Universe!$B$1771)</f>
        <v/>
      </c>
      <c r="EFE1" s="11">
        <f>IF(OR(SwitchTR&lt;&gt;"ON",Universe!$B$1772=""),"",Universe!$B$1772)</f>
        <v/>
      </c>
      <c r="EFG1" s="11">
        <f>IF(OR(SwitchTR&lt;&gt;"ON",Universe!$B$1773=""),"",Universe!$B$1773)</f>
        <v/>
      </c>
      <c r="EFI1" s="11">
        <f>IF(OR(SwitchTR&lt;&gt;"ON",Universe!$B$1774=""),"",Universe!$B$1774)</f>
        <v/>
      </c>
      <c r="EFK1" s="11">
        <f>IF(OR(SwitchTR&lt;&gt;"ON",Universe!$B$1775=""),"",Universe!$B$1775)</f>
        <v/>
      </c>
      <c r="EFM1" s="11">
        <f>IF(OR(SwitchTR&lt;&gt;"ON",Universe!$B$1776=""),"",Universe!$B$1776)</f>
        <v/>
      </c>
      <c r="EFO1" s="11">
        <f>IF(OR(SwitchTR&lt;&gt;"ON",Universe!$B$1777=""),"",Universe!$B$1777)</f>
        <v/>
      </c>
      <c r="EFQ1" s="11">
        <f>IF(OR(SwitchTR&lt;&gt;"ON",Universe!$B$1778=""),"",Universe!$B$1778)</f>
        <v/>
      </c>
      <c r="EFS1" s="11">
        <f>IF(OR(SwitchTR&lt;&gt;"ON",Universe!$B$1779=""),"",Universe!$B$1779)</f>
        <v/>
      </c>
      <c r="EFU1" s="11">
        <f>IF(OR(SwitchTR&lt;&gt;"ON",Universe!$B$1780=""),"",Universe!$B$1780)</f>
        <v/>
      </c>
      <c r="EFW1" s="11">
        <f>IF(OR(SwitchTR&lt;&gt;"ON",Universe!$B$1781=""),"",Universe!$B$1781)</f>
        <v/>
      </c>
      <c r="EFY1" s="11">
        <f>IF(OR(SwitchTR&lt;&gt;"ON",Universe!$B$1782=""),"",Universe!$B$1782)</f>
        <v/>
      </c>
      <c r="EGA1" s="11">
        <f>IF(OR(SwitchTR&lt;&gt;"ON",Universe!$B$1783=""),"",Universe!$B$1783)</f>
        <v/>
      </c>
      <c r="EGC1" s="11">
        <f>IF(OR(SwitchTR&lt;&gt;"ON",Universe!$B$1784=""),"",Universe!$B$1784)</f>
        <v/>
      </c>
      <c r="EGE1" s="11">
        <f>IF(OR(SwitchTR&lt;&gt;"ON",Universe!$B$1785=""),"",Universe!$B$1785)</f>
        <v/>
      </c>
      <c r="EGG1" s="11">
        <f>IF(OR(SwitchTR&lt;&gt;"ON",Universe!$B$1786=""),"",Universe!$B$1786)</f>
        <v/>
      </c>
      <c r="EGI1" s="11">
        <f>IF(OR(SwitchTR&lt;&gt;"ON",Universe!$B$1787=""),"",Universe!$B$1787)</f>
        <v/>
      </c>
      <c r="EGK1" s="11">
        <f>IF(OR(SwitchTR&lt;&gt;"ON",Universe!$B$1788=""),"",Universe!$B$1788)</f>
        <v/>
      </c>
      <c r="EGM1" s="11">
        <f>IF(OR(SwitchTR&lt;&gt;"ON",Universe!$B$1789=""),"",Universe!$B$1789)</f>
        <v/>
      </c>
      <c r="EGO1" s="11">
        <f>IF(OR(SwitchTR&lt;&gt;"ON",Universe!$B$1790=""),"",Universe!$B$1790)</f>
        <v/>
      </c>
      <c r="EGQ1" s="11">
        <f>IF(OR(SwitchTR&lt;&gt;"ON",Universe!$B$1791=""),"",Universe!$B$1791)</f>
        <v/>
      </c>
      <c r="EGS1" s="11">
        <f>IF(OR(SwitchTR&lt;&gt;"ON",Universe!$B$1792=""),"",Universe!$B$1792)</f>
        <v/>
      </c>
      <c r="EGU1" s="11">
        <f>IF(OR(SwitchTR&lt;&gt;"ON",Universe!$B$1793=""),"",Universe!$B$1793)</f>
        <v/>
      </c>
      <c r="EGW1" s="11">
        <f>IF(OR(SwitchTR&lt;&gt;"ON",Universe!$B$1794=""),"",Universe!$B$1794)</f>
        <v/>
      </c>
      <c r="EGY1" s="11">
        <f>IF(OR(SwitchTR&lt;&gt;"ON",Universe!$B$1795=""),"",Universe!$B$1795)</f>
        <v/>
      </c>
      <c r="EHA1" s="11">
        <f>IF(OR(SwitchTR&lt;&gt;"ON",Universe!$B$1796=""),"",Universe!$B$1796)</f>
        <v/>
      </c>
      <c r="EHC1" s="11">
        <f>IF(OR(SwitchTR&lt;&gt;"ON",Universe!$B$1797=""),"",Universe!$B$1797)</f>
        <v/>
      </c>
      <c r="EHE1" s="11">
        <f>IF(OR(SwitchTR&lt;&gt;"ON",Universe!$B$1798=""),"",Universe!$B$1798)</f>
        <v/>
      </c>
      <c r="EHG1" s="11">
        <f>IF(OR(SwitchTR&lt;&gt;"ON",Universe!$B$1799=""),"",Universe!$B$1799)</f>
        <v/>
      </c>
      <c r="EHI1" s="11">
        <f>IF(OR(SwitchTR&lt;&gt;"ON",Universe!$B$1800=""),"",Universe!$B$1800)</f>
        <v/>
      </c>
      <c r="EHK1" s="11">
        <f>IF(OR(SwitchTR&lt;&gt;"ON",Universe!$B$1801=""),"",Universe!$B$1801)</f>
        <v/>
      </c>
      <c r="EHM1" s="11">
        <f>IF(OR(SwitchTR&lt;&gt;"ON",Universe!$B$1802=""),"",Universe!$B$1802)</f>
        <v/>
      </c>
      <c r="EHO1" s="11">
        <f>IF(OR(SwitchTR&lt;&gt;"ON",Universe!$B$1803=""),"",Universe!$B$1803)</f>
        <v/>
      </c>
      <c r="EHQ1" s="11">
        <f>IF(OR(SwitchTR&lt;&gt;"ON",Universe!$B$1804=""),"",Universe!$B$1804)</f>
        <v/>
      </c>
      <c r="EHS1" s="11">
        <f>IF(OR(SwitchTR&lt;&gt;"ON",Universe!$B$1805=""),"",Universe!$B$1805)</f>
        <v/>
      </c>
      <c r="EHU1" s="11">
        <f>IF(OR(SwitchTR&lt;&gt;"ON",Universe!$B$1806=""),"",Universe!$B$1806)</f>
        <v/>
      </c>
      <c r="EHW1" s="11">
        <f>IF(OR(SwitchTR&lt;&gt;"ON",Universe!$B$1807=""),"",Universe!$B$1807)</f>
        <v/>
      </c>
      <c r="EHY1" s="11">
        <f>IF(OR(SwitchTR&lt;&gt;"ON",Universe!$B$1808=""),"",Universe!$B$1808)</f>
        <v/>
      </c>
      <c r="EIA1" s="11">
        <f>IF(OR(SwitchTR&lt;&gt;"ON",Universe!$B$1809=""),"",Universe!$B$1809)</f>
        <v/>
      </c>
      <c r="EIC1" s="11">
        <f>IF(OR(SwitchTR&lt;&gt;"ON",Universe!$B$1810=""),"",Universe!$B$1810)</f>
        <v/>
      </c>
      <c r="EIE1" s="11">
        <f>IF(OR(SwitchTR&lt;&gt;"ON",Universe!$B$1811=""),"",Universe!$B$1811)</f>
        <v/>
      </c>
      <c r="EIG1" s="11">
        <f>IF(OR(SwitchTR&lt;&gt;"ON",Universe!$B$1812=""),"",Universe!$B$1812)</f>
        <v/>
      </c>
      <c r="EII1" s="11">
        <f>IF(OR(SwitchTR&lt;&gt;"ON",Universe!$B$1813=""),"",Universe!$B$1813)</f>
        <v/>
      </c>
      <c r="EIK1" s="11">
        <f>IF(OR(SwitchTR&lt;&gt;"ON",Universe!$B$1814=""),"",Universe!$B$1814)</f>
        <v/>
      </c>
      <c r="EIM1" s="11">
        <f>IF(OR(SwitchTR&lt;&gt;"ON",Universe!$B$1815=""),"",Universe!$B$1815)</f>
        <v/>
      </c>
      <c r="EIO1" s="11">
        <f>IF(OR(SwitchTR&lt;&gt;"ON",Universe!$B$1816=""),"",Universe!$B$1816)</f>
        <v/>
      </c>
      <c r="EIQ1" s="11">
        <f>IF(OR(SwitchTR&lt;&gt;"ON",Universe!$B$1817=""),"",Universe!$B$1817)</f>
        <v/>
      </c>
      <c r="EIS1" s="11">
        <f>IF(OR(SwitchTR&lt;&gt;"ON",Universe!$B$1818=""),"",Universe!$B$1818)</f>
        <v/>
      </c>
      <c r="EIU1" s="11">
        <f>IF(OR(SwitchTR&lt;&gt;"ON",Universe!$B$1819=""),"",Universe!$B$1819)</f>
        <v/>
      </c>
      <c r="EIW1" s="11">
        <f>IF(OR(SwitchTR&lt;&gt;"ON",Universe!$B$1820=""),"",Universe!$B$1820)</f>
        <v/>
      </c>
      <c r="EIY1" s="11">
        <f>IF(OR(SwitchTR&lt;&gt;"ON",Universe!$B$1821=""),"",Universe!$B$1821)</f>
        <v/>
      </c>
      <c r="EJA1" s="11">
        <f>IF(OR(SwitchTR&lt;&gt;"ON",Universe!$B$1822=""),"",Universe!$B$1822)</f>
        <v/>
      </c>
      <c r="EJC1" s="11">
        <f>IF(OR(SwitchTR&lt;&gt;"ON",Universe!$B$1823=""),"",Universe!$B$1823)</f>
        <v/>
      </c>
      <c r="EJE1" s="11">
        <f>IF(OR(SwitchTR&lt;&gt;"ON",Universe!$B$1824=""),"",Universe!$B$1824)</f>
        <v/>
      </c>
      <c r="EJG1" s="11">
        <f>IF(OR(SwitchTR&lt;&gt;"ON",Universe!$B$1825=""),"",Universe!$B$1825)</f>
        <v/>
      </c>
      <c r="EJI1" s="11">
        <f>IF(OR(SwitchTR&lt;&gt;"ON",Universe!$B$1826=""),"",Universe!$B$1826)</f>
        <v/>
      </c>
      <c r="EJK1" s="11">
        <f>IF(OR(SwitchTR&lt;&gt;"ON",Universe!$B$1827=""),"",Universe!$B$1827)</f>
        <v/>
      </c>
      <c r="EJM1" s="11">
        <f>IF(OR(SwitchTR&lt;&gt;"ON",Universe!$B$1828=""),"",Universe!$B$1828)</f>
        <v/>
      </c>
      <c r="EJO1" s="11">
        <f>IF(OR(SwitchTR&lt;&gt;"ON",Universe!$B$1829=""),"",Universe!$B$1829)</f>
        <v/>
      </c>
      <c r="EJQ1" s="11">
        <f>IF(OR(SwitchTR&lt;&gt;"ON",Universe!$B$1830=""),"",Universe!$B$1830)</f>
        <v/>
      </c>
      <c r="EJS1" s="11">
        <f>IF(OR(SwitchTR&lt;&gt;"ON",Universe!$B$1831=""),"",Universe!$B$1831)</f>
        <v/>
      </c>
      <c r="EJU1" s="11">
        <f>IF(OR(SwitchTR&lt;&gt;"ON",Universe!$B$1832=""),"",Universe!$B$1832)</f>
        <v/>
      </c>
      <c r="EJW1" s="11">
        <f>IF(OR(SwitchTR&lt;&gt;"ON",Universe!$B$1833=""),"",Universe!$B$1833)</f>
        <v/>
      </c>
      <c r="EJY1" s="11">
        <f>IF(OR(SwitchTR&lt;&gt;"ON",Universe!$B$1834=""),"",Universe!$B$1834)</f>
        <v/>
      </c>
      <c r="EKA1" s="11">
        <f>IF(OR(SwitchTR&lt;&gt;"ON",Universe!$B$1835=""),"",Universe!$B$1835)</f>
        <v/>
      </c>
      <c r="EKC1" s="11">
        <f>IF(OR(SwitchTR&lt;&gt;"ON",Universe!$B$1836=""),"",Universe!$B$1836)</f>
        <v/>
      </c>
      <c r="EKE1" s="11">
        <f>IF(OR(SwitchTR&lt;&gt;"ON",Universe!$B$1837=""),"",Universe!$B$1837)</f>
        <v/>
      </c>
      <c r="EKG1" s="11">
        <f>IF(OR(SwitchTR&lt;&gt;"ON",Universe!$B$1838=""),"",Universe!$B$1838)</f>
        <v/>
      </c>
      <c r="EKI1" s="11">
        <f>IF(OR(SwitchTR&lt;&gt;"ON",Universe!$B$1839=""),"",Universe!$B$1839)</f>
        <v/>
      </c>
      <c r="EKK1" s="11">
        <f>IF(OR(SwitchTR&lt;&gt;"ON",Universe!$B$1840=""),"",Universe!$B$1840)</f>
        <v/>
      </c>
      <c r="EKM1" s="11">
        <f>IF(OR(SwitchTR&lt;&gt;"ON",Universe!$B$1841=""),"",Universe!$B$1841)</f>
        <v/>
      </c>
      <c r="EKO1" s="11">
        <f>IF(OR(SwitchTR&lt;&gt;"ON",Universe!$B$1842=""),"",Universe!$B$1842)</f>
        <v/>
      </c>
      <c r="EKQ1" s="11">
        <f>IF(OR(SwitchTR&lt;&gt;"ON",Universe!$B$1843=""),"",Universe!$B$1843)</f>
        <v/>
      </c>
      <c r="EKS1" s="11">
        <f>IF(OR(SwitchTR&lt;&gt;"ON",Universe!$B$1844=""),"",Universe!$B$1844)</f>
        <v/>
      </c>
      <c r="EKU1" s="11">
        <f>IF(OR(SwitchTR&lt;&gt;"ON",Universe!$B$1845=""),"",Universe!$B$1845)</f>
        <v/>
      </c>
      <c r="EKW1" s="11">
        <f>IF(OR(SwitchTR&lt;&gt;"ON",Universe!$B$1846=""),"",Universe!$B$1846)</f>
        <v/>
      </c>
      <c r="EKY1" s="11">
        <f>IF(OR(SwitchTR&lt;&gt;"ON",Universe!$B$1847=""),"",Universe!$B$1847)</f>
        <v/>
      </c>
      <c r="ELA1" s="11">
        <f>IF(OR(SwitchTR&lt;&gt;"ON",Universe!$B$1848=""),"",Universe!$B$1848)</f>
        <v/>
      </c>
      <c r="ELC1" s="11">
        <f>IF(OR(SwitchTR&lt;&gt;"ON",Universe!$B$1849=""),"",Universe!$B$1849)</f>
        <v/>
      </c>
      <c r="ELE1" s="11">
        <f>IF(OR(SwitchTR&lt;&gt;"ON",Universe!$B$1850=""),"",Universe!$B$1850)</f>
        <v/>
      </c>
      <c r="ELG1" s="11">
        <f>IF(OR(SwitchTR&lt;&gt;"ON",Universe!$B$1851=""),"",Universe!$B$1851)</f>
        <v/>
      </c>
      <c r="ELI1" s="11">
        <f>IF(OR(SwitchTR&lt;&gt;"ON",Universe!$B$1852=""),"",Universe!$B$1852)</f>
        <v/>
      </c>
      <c r="ELK1" s="11">
        <f>IF(OR(SwitchTR&lt;&gt;"ON",Universe!$B$1853=""),"",Universe!$B$1853)</f>
        <v/>
      </c>
      <c r="ELM1" s="11">
        <f>IF(OR(SwitchTR&lt;&gt;"ON",Universe!$B$1854=""),"",Universe!$B$1854)</f>
        <v/>
      </c>
      <c r="ELO1" s="11">
        <f>IF(OR(SwitchTR&lt;&gt;"ON",Universe!$B$1855=""),"",Universe!$B$1855)</f>
        <v/>
      </c>
      <c r="ELQ1" s="11">
        <f>IF(OR(SwitchTR&lt;&gt;"ON",Universe!$B$1856=""),"",Universe!$B$1856)</f>
        <v/>
      </c>
      <c r="ELS1" s="11">
        <f>IF(OR(SwitchTR&lt;&gt;"ON",Universe!$B$1857=""),"",Universe!$B$1857)</f>
        <v/>
      </c>
      <c r="ELU1" s="11">
        <f>IF(OR(SwitchTR&lt;&gt;"ON",Universe!$B$1858=""),"",Universe!$B$1858)</f>
        <v/>
      </c>
      <c r="ELW1" s="11">
        <f>IF(OR(SwitchTR&lt;&gt;"ON",Universe!$B$1859=""),"",Universe!$B$1859)</f>
        <v/>
      </c>
      <c r="ELY1" s="11">
        <f>IF(OR(SwitchTR&lt;&gt;"ON",Universe!$B$1860=""),"",Universe!$B$1860)</f>
        <v/>
      </c>
      <c r="EMA1" s="11">
        <f>IF(OR(SwitchTR&lt;&gt;"ON",Universe!$B$1861=""),"",Universe!$B$1861)</f>
        <v/>
      </c>
      <c r="EMC1" s="11">
        <f>IF(OR(SwitchTR&lt;&gt;"ON",Universe!$B$1862=""),"",Universe!$B$1862)</f>
        <v/>
      </c>
      <c r="EME1" s="11">
        <f>IF(OR(SwitchTR&lt;&gt;"ON",Universe!$B$1863=""),"",Universe!$B$1863)</f>
        <v/>
      </c>
      <c r="EMG1" s="11">
        <f>IF(OR(SwitchTR&lt;&gt;"ON",Universe!$B$1864=""),"",Universe!$B$1864)</f>
        <v/>
      </c>
      <c r="EMI1" s="11">
        <f>IF(OR(SwitchTR&lt;&gt;"ON",Universe!$B$1865=""),"",Universe!$B$1865)</f>
        <v/>
      </c>
      <c r="EMK1" s="11">
        <f>IF(OR(SwitchTR&lt;&gt;"ON",Universe!$B$1866=""),"",Universe!$B$1866)</f>
        <v/>
      </c>
      <c r="EMM1" s="11">
        <f>IF(OR(SwitchTR&lt;&gt;"ON",Universe!$B$1867=""),"",Universe!$B$1867)</f>
        <v/>
      </c>
      <c r="EMO1" s="11">
        <f>IF(OR(SwitchTR&lt;&gt;"ON",Universe!$B$1868=""),"",Universe!$B$1868)</f>
        <v/>
      </c>
      <c r="EMQ1" s="11">
        <f>IF(OR(SwitchTR&lt;&gt;"ON",Universe!$B$1869=""),"",Universe!$B$1869)</f>
        <v/>
      </c>
      <c r="EMS1" s="11">
        <f>IF(OR(SwitchTR&lt;&gt;"ON",Universe!$B$1870=""),"",Universe!$B$1870)</f>
        <v/>
      </c>
      <c r="EMU1" s="11">
        <f>IF(OR(SwitchTR&lt;&gt;"ON",Universe!$B$1871=""),"",Universe!$B$1871)</f>
        <v/>
      </c>
      <c r="EMW1" s="11">
        <f>IF(OR(SwitchTR&lt;&gt;"ON",Universe!$B$1872=""),"",Universe!$B$1872)</f>
        <v/>
      </c>
      <c r="EMY1" s="11">
        <f>IF(OR(SwitchTR&lt;&gt;"ON",Universe!$B$1873=""),"",Universe!$B$1873)</f>
        <v/>
      </c>
      <c r="ENA1" s="11">
        <f>IF(OR(SwitchTR&lt;&gt;"ON",Universe!$B$1874=""),"",Universe!$B$1874)</f>
        <v/>
      </c>
      <c r="ENC1" s="11">
        <f>IF(OR(SwitchTR&lt;&gt;"ON",Universe!$B$1875=""),"",Universe!$B$1875)</f>
        <v/>
      </c>
      <c r="ENE1" s="11">
        <f>IF(OR(SwitchTR&lt;&gt;"ON",Universe!$B$1876=""),"",Universe!$B$1876)</f>
        <v/>
      </c>
      <c r="ENG1" s="11">
        <f>IF(OR(SwitchTR&lt;&gt;"ON",Universe!$B$1877=""),"",Universe!$B$1877)</f>
        <v/>
      </c>
      <c r="ENI1" s="11">
        <f>IF(OR(SwitchTR&lt;&gt;"ON",Universe!$B$1878=""),"",Universe!$B$1878)</f>
        <v/>
      </c>
      <c r="ENK1" s="11">
        <f>IF(OR(SwitchTR&lt;&gt;"ON",Universe!$B$1879=""),"",Universe!$B$1879)</f>
        <v/>
      </c>
      <c r="ENM1" s="11">
        <f>IF(OR(SwitchTR&lt;&gt;"ON",Universe!$B$1880=""),"",Universe!$B$1880)</f>
        <v/>
      </c>
      <c r="ENO1" s="11">
        <f>IF(OR(SwitchTR&lt;&gt;"ON",Universe!$B$1881=""),"",Universe!$B$1881)</f>
        <v/>
      </c>
      <c r="ENQ1" s="11">
        <f>IF(OR(SwitchTR&lt;&gt;"ON",Universe!$B$1882=""),"",Universe!$B$1882)</f>
        <v/>
      </c>
      <c r="ENS1" s="11">
        <f>IF(OR(SwitchTR&lt;&gt;"ON",Universe!$B$1883=""),"",Universe!$B$1883)</f>
        <v/>
      </c>
      <c r="ENU1" s="11">
        <f>IF(OR(SwitchTR&lt;&gt;"ON",Universe!$B$1884=""),"",Universe!$B$1884)</f>
        <v/>
      </c>
      <c r="ENW1" s="11">
        <f>IF(OR(SwitchTR&lt;&gt;"ON",Universe!$B$1885=""),"",Universe!$B$1885)</f>
        <v/>
      </c>
      <c r="ENY1" s="11">
        <f>IF(OR(SwitchTR&lt;&gt;"ON",Universe!$B$1886=""),"",Universe!$B$1886)</f>
        <v/>
      </c>
      <c r="EOA1" s="11">
        <f>IF(OR(SwitchTR&lt;&gt;"ON",Universe!$B$1887=""),"",Universe!$B$1887)</f>
        <v/>
      </c>
      <c r="EOC1" s="11">
        <f>IF(OR(SwitchTR&lt;&gt;"ON",Universe!$B$1888=""),"",Universe!$B$1888)</f>
        <v/>
      </c>
      <c r="EOE1" s="11">
        <f>IF(OR(SwitchTR&lt;&gt;"ON",Universe!$B$1889=""),"",Universe!$B$1889)</f>
        <v/>
      </c>
      <c r="EOG1" s="11">
        <f>IF(OR(SwitchTR&lt;&gt;"ON",Universe!$B$1890=""),"",Universe!$B$1890)</f>
        <v/>
      </c>
      <c r="EOI1" s="11">
        <f>IF(OR(SwitchTR&lt;&gt;"ON",Universe!$B$1891=""),"",Universe!$B$1891)</f>
        <v/>
      </c>
      <c r="EOK1" s="11">
        <f>IF(OR(SwitchTR&lt;&gt;"ON",Universe!$B$1892=""),"",Universe!$B$1892)</f>
        <v/>
      </c>
      <c r="EOM1" s="11">
        <f>IF(OR(SwitchTR&lt;&gt;"ON",Universe!$B$1893=""),"",Universe!$B$1893)</f>
        <v/>
      </c>
      <c r="EOO1" s="11">
        <f>IF(OR(SwitchTR&lt;&gt;"ON",Universe!$B$1894=""),"",Universe!$B$1894)</f>
        <v/>
      </c>
      <c r="EOQ1" s="11">
        <f>IF(OR(SwitchTR&lt;&gt;"ON",Universe!$B$1895=""),"",Universe!$B$1895)</f>
        <v/>
      </c>
      <c r="EOS1" s="11">
        <f>IF(OR(SwitchTR&lt;&gt;"ON",Universe!$B$1896=""),"",Universe!$B$1896)</f>
        <v/>
      </c>
      <c r="EOU1" s="11">
        <f>IF(OR(SwitchTR&lt;&gt;"ON",Universe!$B$1897=""),"",Universe!$B$1897)</f>
        <v/>
      </c>
      <c r="EOW1" s="11">
        <f>IF(OR(SwitchTR&lt;&gt;"ON",Universe!$B$1898=""),"",Universe!$B$1898)</f>
        <v/>
      </c>
      <c r="EOY1" s="11">
        <f>IF(OR(SwitchTR&lt;&gt;"ON",Universe!$B$1899=""),"",Universe!$B$1899)</f>
        <v/>
      </c>
      <c r="EPA1" s="11">
        <f>IF(OR(SwitchTR&lt;&gt;"ON",Universe!$B$1900=""),"",Universe!$B$1900)</f>
        <v/>
      </c>
      <c r="EPC1" s="11">
        <f>IF(OR(SwitchTR&lt;&gt;"ON",Universe!$B$1901=""),"",Universe!$B$1901)</f>
        <v/>
      </c>
      <c r="EPE1" s="11">
        <f>IF(OR(SwitchTR&lt;&gt;"ON",Universe!$B$1902=""),"",Universe!$B$1902)</f>
        <v/>
      </c>
      <c r="EPG1" s="11">
        <f>IF(OR(SwitchTR&lt;&gt;"ON",Universe!$B$1903=""),"",Universe!$B$1903)</f>
        <v/>
      </c>
      <c r="EPI1" s="11">
        <f>IF(OR(SwitchTR&lt;&gt;"ON",Universe!$B$1904=""),"",Universe!$B$1904)</f>
        <v/>
      </c>
      <c r="EPK1" s="11">
        <f>IF(OR(SwitchTR&lt;&gt;"ON",Universe!$B$1905=""),"",Universe!$B$1905)</f>
        <v/>
      </c>
      <c r="EPM1" s="11">
        <f>IF(OR(SwitchTR&lt;&gt;"ON",Universe!$B$1906=""),"",Universe!$B$1906)</f>
        <v/>
      </c>
      <c r="EPO1" s="11">
        <f>IF(OR(SwitchTR&lt;&gt;"ON",Universe!$B$1907=""),"",Universe!$B$1907)</f>
        <v/>
      </c>
      <c r="EPQ1" s="11">
        <f>IF(OR(SwitchTR&lt;&gt;"ON",Universe!$B$1908=""),"",Universe!$B$1908)</f>
        <v/>
      </c>
      <c r="EPS1" s="11">
        <f>IF(OR(SwitchTR&lt;&gt;"ON",Universe!$B$1909=""),"",Universe!$B$1909)</f>
        <v/>
      </c>
      <c r="EPU1" s="11">
        <f>IF(OR(SwitchTR&lt;&gt;"ON",Universe!$B$1910=""),"",Universe!$B$1910)</f>
        <v/>
      </c>
      <c r="EPW1" s="11">
        <f>IF(OR(SwitchTR&lt;&gt;"ON",Universe!$B$1911=""),"",Universe!$B$1911)</f>
        <v/>
      </c>
      <c r="EPY1" s="11">
        <f>IF(OR(SwitchTR&lt;&gt;"ON",Universe!$B$1912=""),"",Universe!$B$1912)</f>
        <v/>
      </c>
      <c r="EQA1" s="11">
        <f>IF(OR(SwitchTR&lt;&gt;"ON",Universe!$B$1913=""),"",Universe!$B$1913)</f>
        <v/>
      </c>
      <c r="EQC1" s="11">
        <f>IF(OR(SwitchTR&lt;&gt;"ON",Universe!$B$1914=""),"",Universe!$B$1914)</f>
        <v/>
      </c>
      <c r="EQE1" s="11">
        <f>IF(OR(SwitchTR&lt;&gt;"ON",Universe!$B$1915=""),"",Universe!$B$1915)</f>
        <v/>
      </c>
      <c r="EQG1" s="11">
        <f>IF(OR(SwitchTR&lt;&gt;"ON",Universe!$B$1916=""),"",Universe!$B$1916)</f>
        <v/>
      </c>
      <c r="EQI1" s="11">
        <f>IF(OR(SwitchTR&lt;&gt;"ON",Universe!$B$1917=""),"",Universe!$B$1917)</f>
        <v/>
      </c>
      <c r="EQK1" s="11">
        <f>IF(OR(SwitchTR&lt;&gt;"ON",Universe!$B$1918=""),"",Universe!$B$1918)</f>
        <v/>
      </c>
      <c r="EQM1" s="11">
        <f>IF(OR(SwitchTR&lt;&gt;"ON",Universe!$B$1919=""),"",Universe!$B$1919)</f>
        <v/>
      </c>
      <c r="EQO1" s="11">
        <f>IF(OR(SwitchTR&lt;&gt;"ON",Universe!$B$1920=""),"",Universe!$B$1920)</f>
        <v/>
      </c>
      <c r="EQQ1" s="11">
        <f>IF(OR(SwitchTR&lt;&gt;"ON",Universe!$B$1921=""),"",Universe!$B$1921)</f>
        <v/>
      </c>
      <c r="EQS1" s="11">
        <f>IF(OR(SwitchTR&lt;&gt;"ON",Universe!$B$1922=""),"",Universe!$B$1922)</f>
        <v/>
      </c>
      <c r="EQU1" s="11">
        <f>IF(OR(SwitchTR&lt;&gt;"ON",Universe!$B$1923=""),"",Universe!$B$1923)</f>
        <v/>
      </c>
      <c r="EQW1" s="11">
        <f>IF(OR(SwitchTR&lt;&gt;"ON",Universe!$B$1924=""),"",Universe!$B$1924)</f>
        <v/>
      </c>
      <c r="EQY1" s="11">
        <f>IF(OR(SwitchTR&lt;&gt;"ON",Universe!$B$1925=""),"",Universe!$B$1925)</f>
        <v/>
      </c>
      <c r="ERA1" s="11">
        <f>IF(OR(SwitchTR&lt;&gt;"ON",Universe!$B$1926=""),"",Universe!$B$1926)</f>
        <v/>
      </c>
      <c r="ERC1" s="11">
        <f>IF(OR(SwitchTR&lt;&gt;"ON",Universe!$B$1927=""),"",Universe!$B$1927)</f>
        <v/>
      </c>
      <c r="ERE1" s="11">
        <f>IF(OR(SwitchTR&lt;&gt;"ON",Universe!$B$1928=""),"",Universe!$B$1928)</f>
        <v/>
      </c>
      <c r="ERG1" s="11">
        <f>IF(OR(SwitchTR&lt;&gt;"ON",Universe!$B$1929=""),"",Universe!$B$1929)</f>
        <v/>
      </c>
      <c r="ERI1" s="11">
        <f>IF(OR(SwitchTR&lt;&gt;"ON",Universe!$B$1930=""),"",Universe!$B$1930)</f>
        <v/>
      </c>
      <c r="ERK1" s="11">
        <f>IF(OR(SwitchTR&lt;&gt;"ON",Universe!$B$1931=""),"",Universe!$B$1931)</f>
        <v/>
      </c>
      <c r="ERM1" s="11">
        <f>IF(OR(SwitchTR&lt;&gt;"ON",Universe!$B$1932=""),"",Universe!$B$1932)</f>
        <v/>
      </c>
      <c r="ERO1" s="11">
        <f>IF(OR(SwitchTR&lt;&gt;"ON",Universe!$B$1933=""),"",Universe!$B$1933)</f>
        <v/>
      </c>
      <c r="ERQ1" s="11">
        <f>IF(OR(SwitchTR&lt;&gt;"ON",Universe!$B$1934=""),"",Universe!$B$1934)</f>
        <v/>
      </c>
      <c r="ERS1" s="11">
        <f>IF(OR(SwitchTR&lt;&gt;"ON",Universe!$B$1935=""),"",Universe!$B$1935)</f>
        <v/>
      </c>
      <c r="ERU1" s="11">
        <f>IF(OR(SwitchTR&lt;&gt;"ON",Universe!$B$1936=""),"",Universe!$B$1936)</f>
        <v/>
      </c>
      <c r="ERW1" s="11">
        <f>IF(OR(SwitchTR&lt;&gt;"ON",Universe!$B$1937=""),"",Universe!$B$1937)</f>
        <v/>
      </c>
      <c r="ERY1" s="11">
        <f>IF(OR(SwitchTR&lt;&gt;"ON",Universe!$B$1938=""),"",Universe!$B$1938)</f>
        <v/>
      </c>
      <c r="ESA1" s="11">
        <f>IF(OR(SwitchTR&lt;&gt;"ON",Universe!$B$1939=""),"",Universe!$B$1939)</f>
        <v/>
      </c>
      <c r="ESC1" s="11">
        <f>IF(OR(SwitchTR&lt;&gt;"ON",Universe!$B$1940=""),"",Universe!$B$1940)</f>
        <v/>
      </c>
      <c r="ESE1" s="11">
        <f>IF(OR(SwitchTR&lt;&gt;"ON",Universe!$B$1941=""),"",Universe!$B$1941)</f>
        <v/>
      </c>
      <c r="ESG1" s="11">
        <f>IF(OR(SwitchTR&lt;&gt;"ON",Universe!$B$1942=""),"",Universe!$B$1942)</f>
        <v/>
      </c>
      <c r="ESI1" s="11">
        <f>IF(OR(SwitchTR&lt;&gt;"ON",Universe!$B$1943=""),"",Universe!$B$1943)</f>
        <v/>
      </c>
      <c r="ESK1" s="11">
        <f>IF(OR(SwitchTR&lt;&gt;"ON",Universe!$B$1944=""),"",Universe!$B$1944)</f>
        <v/>
      </c>
      <c r="ESM1" s="11">
        <f>IF(OR(SwitchTR&lt;&gt;"ON",Universe!$B$1945=""),"",Universe!$B$1945)</f>
        <v/>
      </c>
      <c r="ESO1" s="11">
        <f>IF(OR(SwitchTR&lt;&gt;"ON",Universe!$B$1946=""),"",Universe!$B$1946)</f>
        <v/>
      </c>
      <c r="ESQ1" s="11">
        <f>IF(OR(SwitchTR&lt;&gt;"ON",Universe!$B$1947=""),"",Universe!$B$1947)</f>
        <v/>
      </c>
      <c r="ESS1" s="11">
        <f>IF(OR(SwitchTR&lt;&gt;"ON",Universe!$B$1948=""),"",Universe!$B$1948)</f>
        <v/>
      </c>
      <c r="ESU1" s="11">
        <f>IF(OR(SwitchTR&lt;&gt;"ON",Universe!$B$1949=""),"",Universe!$B$1949)</f>
        <v/>
      </c>
      <c r="ESW1" s="11">
        <f>IF(OR(SwitchTR&lt;&gt;"ON",Universe!$B$1950=""),"",Universe!$B$1950)</f>
        <v/>
      </c>
      <c r="ESY1" s="11">
        <f>IF(OR(SwitchTR&lt;&gt;"ON",Universe!$B$1951=""),"",Universe!$B$1951)</f>
        <v/>
      </c>
      <c r="ETA1" s="11">
        <f>IF(OR(SwitchTR&lt;&gt;"ON",Universe!$B$1952=""),"",Universe!$B$1952)</f>
        <v/>
      </c>
      <c r="ETC1" s="11">
        <f>IF(OR(SwitchTR&lt;&gt;"ON",Universe!$B$1953=""),"",Universe!$B$1953)</f>
        <v/>
      </c>
      <c r="ETE1" s="11">
        <f>IF(OR(SwitchTR&lt;&gt;"ON",Universe!$B$1954=""),"",Universe!$B$1954)</f>
        <v/>
      </c>
      <c r="ETG1" s="11">
        <f>IF(OR(SwitchTR&lt;&gt;"ON",Universe!$B$1955=""),"",Universe!$B$1955)</f>
        <v/>
      </c>
      <c r="ETI1" s="11">
        <f>IF(OR(SwitchTR&lt;&gt;"ON",Universe!$B$1956=""),"",Universe!$B$1956)</f>
        <v/>
      </c>
      <c r="ETK1" s="11">
        <f>IF(OR(SwitchTR&lt;&gt;"ON",Universe!$B$1957=""),"",Universe!$B$1957)</f>
        <v/>
      </c>
      <c r="ETM1" s="11">
        <f>IF(OR(SwitchTR&lt;&gt;"ON",Universe!$B$1958=""),"",Universe!$B$1958)</f>
        <v/>
      </c>
      <c r="ETO1" s="11">
        <f>IF(OR(SwitchTR&lt;&gt;"ON",Universe!$B$1959=""),"",Universe!$B$1959)</f>
        <v/>
      </c>
      <c r="ETQ1" s="11">
        <f>IF(OR(SwitchTR&lt;&gt;"ON",Universe!$B$1960=""),"",Universe!$B$1960)</f>
        <v/>
      </c>
      <c r="ETS1" s="11">
        <f>IF(OR(SwitchTR&lt;&gt;"ON",Universe!$B$1961=""),"",Universe!$B$1961)</f>
        <v/>
      </c>
      <c r="ETU1" s="11">
        <f>IF(OR(SwitchTR&lt;&gt;"ON",Universe!$B$1962=""),"",Universe!$B$1962)</f>
        <v/>
      </c>
      <c r="ETW1" s="11">
        <f>IF(OR(SwitchTR&lt;&gt;"ON",Universe!$B$1963=""),"",Universe!$B$1963)</f>
        <v/>
      </c>
      <c r="ETY1" s="11">
        <f>IF(OR(SwitchTR&lt;&gt;"ON",Universe!$B$1964=""),"",Universe!$B$1964)</f>
        <v/>
      </c>
      <c r="EUA1" s="11">
        <f>IF(OR(SwitchTR&lt;&gt;"ON",Universe!$B$1965=""),"",Universe!$B$1965)</f>
        <v/>
      </c>
      <c r="EUC1" s="11">
        <f>IF(OR(SwitchTR&lt;&gt;"ON",Universe!$B$1966=""),"",Universe!$B$1966)</f>
        <v/>
      </c>
      <c r="EUE1" s="11">
        <f>IF(OR(SwitchTR&lt;&gt;"ON",Universe!$B$1967=""),"",Universe!$B$1967)</f>
        <v/>
      </c>
      <c r="EUG1" s="11">
        <f>IF(OR(SwitchTR&lt;&gt;"ON",Universe!$B$1968=""),"",Universe!$B$1968)</f>
        <v/>
      </c>
      <c r="EUI1" s="11">
        <f>IF(OR(SwitchTR&lt;&gt;"ON",Universe!$B$1969=""),"",Universe!$B$1969)</f>
        <v/>
      </c>
      <c r="EUK1" s="11">
        <f>IF(OR(SwitchTR&lt;&gt;"ON",Universe!$B$1970=""),"",Universe!$B$1970)</f>
        <v/>
      </c>
      <c r="EUM1" s="11">
        <f>IF(OR(SwitchTR&lt;&gt;"ON",Universe!$B$1971=""),"",Universe!$B$1971)</f>
        <v/>
      </c>
      <c r="EUO1" s="11">
        <f>IF(OR(SwitchTR&lt;&gt;"ON",Universe!$B$1972=""),"",Universe!$B$1972)</f>
        <v/>
      </c>
      <c r="EUQ1" s="11">
        <f>IF(OR(SwitchTR&lt;&gt;"ON",Universe!$B$1973=""),"",Universe!$B$1973)</f>
        <v/>
      </c>
      <c r="EUS1" s="11">
        <f>IF(OR(SwitchTR&lt;&gt;"ON",Universe!$B$1974=""),"",Universe!$B$1974)</f>
        <v/>
      </c>
      <c r="EUU1" s="11">
        <f>IF(OR(SwitchTR&lt;&gt;"ON",Universe!$B$1975=""),"",Universe!$B$1975)</f>
        <v/>
      </c>
      <c r="EUW1" s="11">
        <f>IF(OR(SwitchTR&lt;&gt;"ON",Universe!$B$1976=""),"",Universe!$B$1976)</f>
        <v/>
      </c>
      <c r="EUY1" s="11">
        <f>IF(OR(SwitchTR&lt;&gt;"ON",Universe!$B$1977=""),"",Universe!$B$1977)</f>
        <v/>
      </c>
      <c r="EVA1" s="11">
        <f>IF(OR(SwitchTR&lt;&gt;"ON",Universe!$B$1978=""),"",Universe!$B$1978)</f>
        <v/>
      </c>
      <c r="EVC1" s="11">
        <f>IF(OR(SwitchTR&lt;&gt;"ON",Universe!$B$1979=""),"",Universe!$B$1979)</f>
        <v/>
      </c>
      <c r="EVE1" s="11">
        <f>IF(OR(SwitchTR&lt;&gt;"ON",Universe!$B$1980=""),"",Universe!$B$1980)</f>
        <v/>
      </c>
      <c r="EVG1" s="11">
        <f>IF(OR(SwitchTR&lt;&gt;"ON",Universe!$B$1981=""),"",Universe!$B$1981)</f>
        <v/>
      </c>
      <c r="EVI1" s="11">
        <f>IF(OR(SwitchTR&lt;&gt;"ON",Universe!$B$1982=""),"",Universe!$B$1982)</f>
        <v/>
      </c>
      <c r="EVK1" s="11">
        <f>IF(OR(SwitchTR&lt;&gt;"ON",Universe!$B$1983=""),"",Universe!$B$1983)</f>
        <v/>
      </c>
      <c r="EVM1" s="11">
        <f>IF(OR(SwitchTR&lt;&gt;"ON",Universe!$B$1984=""),"",Universe!$B$1984)</f>
        <v/>
      </c>
      <c r="EVO1" s="11">
        <f>IF(OR(SwitchTR&lt;&gt;"ON",Universe!$B$1985=""),"",Universe!$B$1985)</f>
        <v/>
      </c>
      <c r="EVQ1" s="11">
        <f>IF(OR(SwitchTR&lt;&gt;"ON",Universe!$B$1986=""),"",Universe!$B$1986)</f>
        <v/>
      </c>
      <c r="EVS1" s="11">
        <f>IF(OR(SwitchTR&lt;&gt;"ON",Universe!$B$1987=""),"",Universe!$B$1987)</f>
        <v/>
      </c>
      <c r="EVU1" s="11">
        <f>IF(OR(SwitchTR&lt;&gt;"ON",Universe!$B$1988=""),"",Universe!$B$1988)</f>
        <v/>
      </c>
      <c r="EVW1" s="11">
        <f>IF(OR(SwitchTR&lt;&gt;"ON",Universe!$B$1989=""),"",Universe!$B$1989)</f>
        <v/>
      </c>
      <c r="EVY1" s="11">
        <f>IF(OR(SwitchTR&lt;&gt;"ON",Universe!$B$1990=""),"",Universe!$B$1990)</f>
        <v/>
      </c>
      <c r="EWA1" s="11">
        <f>IF(OR(SwitchTR&lt;&gt;"ON",Universe!$B$1991=""),"",Universe!$B$1991)</f>
        <v/>
      </c>
      <c r="EWC1" s="11">
        <f>IF(OR(SwitchTR&lt;&gt;"ON",Universe!$B$1992=""),"",Universe!$B$1992)</f>
        <v/>
      </c>
      <c r="EWE1" s="11">
        <f>IF(OR(SwitchTR&lt;&gt;"ON",Universe!$B$1993=""),"",Universe!$B$1993)</f>
        <v/>
      </c>
      <c r="EWG1" s="11">
        <f>IF(OR(SwitchTR&lt;&gt;"ON",Universe!$B$1994=""),"",Universe!$B$1994)</f>
        <v/>
      </c>
      <c r="EWI1" s="11">
        <f>IF(OR(SwitchTR&lt;&gt;"ON",Universe!$B$1995=""),"",Universe!$B$1995)</f>
        <v/>
      </c>
      <c r="EWK1" s="11">
        <f>IF(OR(SwitchTR&lt;&gt;"ON",Universe!$B$1996=""),"",Universe!$B$1996)</f>
        <v/>
      </c>
      <c r="EWM1" s="11">
        <f>IF(OR(SwitchTR&lt;&gt;"ON",Universe!$B$1997=""),"",Universe!$B$1997)</f>
        <v/>
      </c>
      <c r="EWO1" s="11">
        <f>IF(OR(SwitchTR&lt;&gt;"ON",Universe!$B$1998=""),"",Universe!$B$1998)</f>
        <v/>
      </c>
      <c r="EWQ1" s="11">
        <f>IF(OR(SwitchTR&lt;&gt;"ON",Universe!$B$1999=""),"",Universe!$B$1999)</f>
        <v/>
      </c>
      <c r="EWS1" s="11">
        <f>IF(OR(SwitchTR&lt;&gt;"ON",Universe!$B$2000=""),"",Universe!$B$2000)</f>
        <v/>
      </c>
      <c r="EWU1" s="11">
        <f>IF(OR(SwitchTR&lt;&gt;"ON",Universe!$B$2001=""),"",Universe!$B$2001)</f>
        <v/>
      </c>
    </row>
    <row r="2" spans="1:4000">
      <c r="A2" s="8">
        <f>COUNT(B4:B400)</f>
        <v>0</v>
      </c>
      <c r="C2" s="8">
        <f>COUNT(D4:D400)</f>
        <v>0</v>
      </c>
      <c r="E2" s="8">
        <f>COUNT(F4:F400)</f>
        <v>0</v>
      </c>
      <c r="G2" s="8">
        <f>COUNT(H4:H400)</f>
        <v>0</v>
      </c>
      <c r="I2" s="8">
        <f>COUNT(J4:J400)</f>
        <v>0</v>
      </c>
      <c r="K2" s="8">
        <f>COUNT(L4:L400)</f>
        <v>0</v>
      </c>
      <c r="M2" s="8">
        <f>COUNT(N4:N400)</f>
        <v>0</v>
      </c>
      <c r="O2" s="8">
        <f>COUNT(P4:P400)</f>
        <v>0</v>
      </c>
      <c r="Q2" s="8">
        <f>COUNT(R4:R400)</f>
        <v>0</v>
      </c>
      <c r="S2" s="8">
        <f>COUNT(T4:T400)</f>
        <v>0</v>
      </c>
      <c r="U2" s="8">
        <f>COUNT(V4:V400)</f>
        <v>0</v>
      </c>
      <c r="W2" s="8">
        <f>COUNT(X4:X400)</f>
        <v>0</v>
      </c>
      <c r="Y2" s="8">
        <f>COUNT(Z4:Z400)</f>
        <v>0</v>
      </c>
      <c r="AA2" s="8">
        <f>COUNT(AB4:AB400)</f>
        <v>0</v>
      </c>
      <c r="AC2" s="8">
        <f>COUNT(AD4:AD400)</f>
        <v>0</v>
      </c>
      <c r="AE2" s="8">
        <f>COUNT(AF4:AF400)</f>
        <v>0</v>
      </c>
      <c r="AG2" s="8">
        <f>COUNT(AH4:AH400)</f>
        <v>0</v>
      </c>
      <c r="AI2" s="8">
        <f>COUNT(AJ4:AJ400)</f>
        <v>0</v>
      </c>
      <c r="AK2" s="8">
        <f>COUNT(AL4:AL400)</f>
        <v>0</v>
      </c>
      <c r="AM2" s="8">
        <f>COUNT(AN4:AN400)</f>
        <v>0</v>
      </c>
      <c r="AO2" s="8">
        <f>COUNT(AP4:AP400)</f>
        <v>0</v>
      </c>
      <c r="AQ2" s="8">
        <f>COUNT(AR4:AR400)</f>
        <v>0</v>
      </c>
      <c r="AS2" s="8">
        <f>COUNT(AT4:AT400)</f>
        <v>0</v>
      </c>
      <c r="AU2" s="8">
        <f>COUNT(AV4:AV400)</f>
        <v>0</v>
      </c>
      <c r="AW2" s="8">
        <f>COUNT(AX4:AX400)</f>
        <v>0</v>
      </c>
      <c r="AY2" s="8">
        <f>COUNT(AZ4:AZ400)</f>
        <v>0</v>
      </c>
      <c r="BA2" s="8">
        <f>COUNT(BB4:BB400)</f>
        <v>0</v>
      </c>
      <c r="BC2" s="8">
        <f>COUNT(BD4:BD400)</f>
        <v>0</v>
      </c>
      <c r="BE2" s="8">
        <f>COUNT(BF4:BF400)</f>
        <v>0</v>
      </c>
      <c r="BG2" s="8">
        <f>COUNT(BH4:BH400)</f>
        <v>0</v>
      </c>
      <c r="BI2" s="8">
        <f>COUNT(BJ4:BJ400)</f>
        <v>0</v>
      </c>
      <c r="BK2" s="8">
        <f>COUNT(BL4:BL400)</f>
        <v>0</v>
      </c>
      <c r="BM2" s="8">
        <f>COUNT(BN4:BN400)</f>
        <v>0</v>
      </c>
      <c r="BO2" s="8">
        <f>COUNT(BP4:BP400)</f>
        <v>0</v>
      </c>
      <c r="BQ2" s="8">
        <f>COUNT(BR4:BR400)</f>
        <v>0</v>
      </c>
      <c r="BS2" s="8">
        <f>COUNT(BT4:BT400)</f>
        <v>0</v>
      </c>
      <c r="BU2" s="8">
        <f>COUNT(BV4:BV400)</f>
        <v>0</v>
      </c>
      <c r="BW2" s="8">
        <f>COUNT(BX4:BX400)</f>
        <v>0</v>
      </c>
      <c r="BY2" s="8">
        <f>COUNT(BZ4:BZ400)</f>
        <v>0</v>
      </c>
      <c r="CA2" s="8">
        <f>COUNT(CB4:CB400)</f>
        <v>0</v>
      </c>
      <c r="CC2" s="8">
        <f>COUNT(CD4:CD400)</f>
        <v>0</v>
      </c>
      <c r="CE2" s="8">
        <f>COUNT(CF4:CF400)</f>
        <v>0</v>
      </c>
      <c r="CG2" s="8">
        <f>COUNT(CH4:CH400)</f>
        <v>0</v>
      </c>
      <c r="CI2" s="8">
        <f>COUNT(CJ4:CJ400)</f>
        <v>0</v>
      </c>
      <c r="CK2" s="8">
        <f>COUNT(CL4:CL400)</f>
        <v>0</v>
      </c>
      <c r="CM2" s="8">
        <f>COUNT(CN4:CN400)</f>
        <v>0</v>
      </c>
      <c r="CO2" s="8">
        <f>COUNT(CP4:CP400)</f>
        <v>0</v>
      </c>
      <c r="CQ2" s="8">
        <f>COUNT(CR4:CR400)</f>
        <v>0</v>
      </c>
      <c r="CS2" s="8">
        <f>COUNT(CT4:CT400)</f>
        <v>0</v>
      </c>
      <c r="CU2" s="8">
        <f>COUNT(CV4:CV400)</f>
        <v>0</v>
      </c>
      <c r="CW2" s="8">
        <f>COUNT(CX4:CX400)</f>
        <v>0</v>
      </c>
      <c r="CY2" s="8">
        <f>COUNT(CZ4:CZ400)</f>
        <v>0</v>
      </c>
      <c r="DA2" s="8">
        <f>COUNT(DB4:DB400)</f>
        <v>0</v>
      </c>
      <c r="DC2" s="8">
        <f>COUNT(DD4:DD400)</f>
        <v>0</v>
      </c>
      <c r="DE2" s="8">
        <f>COUNT(DF4:DF400)</f>
        <v>0</v>
      </c>
      <c r="DG2" s="8">
        <f>COUNT(DH4:DH400)</f>
        <v>0</v>
      </c>
      <c r="DI2" s="8">
        <f>COUNT(DJ4:DJ400)</f>
        <v>0</v>
      </c>
      <c r="DK2" s="8">
        <f>COUNT(DL4:DL400)</f>
        <v>0</v>
      </c>
      <c r="DM2" s="8">
        <f>COUNT(DN4:DN400)</f>
        <v>0</v>
      </c>
      <c r="DO2" s="8">
        <f>COUNT(DP4:DP400)</f>
        <v>0</v>
      </c>
      <c r="DQ2" s="8">
        <f>COUNT(DR4:DR400)</f>
        <v>0</v>
      </c>
      <c r="DS2" s="8">
        <f>COUNT(DT4:DT400)</f>
        <v>0</v>
      </c>
      <c r="DU2" s="8">
        <f>COUNT(DV4:DV400)</f>
        <v>0</v>
      </c>
      <c r="DW2" s="8">
        <f>COUNT(DX4:DX400)</f>
        <v>0</v>
      </c>
      <c r="DY2" s="8">
        <f>COUNT(DZ4:DZ400)</f>
        <v>0</v>
      </c>
      <c r="EA2" s="8">
        <f>COUNT(EB4:EB400)</f>
        <v>0</v>
      </c>
      <c r="EC2" s="8">
        <f>COUNT(ED4:ED400)</f>
        <v>0</v>
      </c>
      <c r="EE2" s="8">
        <f>COUNT(EF4:EF400)</f>
        <v>0</v>
      </c>
      <c r="EG2" s="8">
        <f>COUNT(EH4:EH400)</f>
        <v>0</v>
      </c>
      <c r="EI2" s="8">
        <f>COUNT(EJ4:EJ400)</f>
        <v>0</v>
      </c>
      <c r="EK2" s="8">
        <f>COUNT(EL4:EL400)</f>
        <v>0</v>
      </c>
      <c r="EM2" s="8">
        <f>COUNT(EN4:EN400)</f>
        <v>0</v>
      </c>
      <c r="EO2" s="8">
        <f>COUNT(EP4:EP400)</f>
        <v>0</v>
      </c>
      <c r="EQ2" s="8">
        <f>COUNT(ER4:ER400)</f>
        <v>0</v>
      </c>
      <c r="ES2" s="8">
        <f>COUNT(ET4:ET400)</f>
        <v>0</v>
      </c>
      <c r="EU2" s="8">
        <f>COUNT(EV4:EV400)</f>
        <v>0</v>
      </c>
      <c r="EW2" s="8">
        <f>COUNT(EX4:EX400)</f>
        <v>0</v>
      </c>
      <c r="EY2" s="8">
        <f>COUNT(EZ4:EZ400)</f>
        <v>0</v>
      </c>
      <c r="FA2" s="8">
        <f>COUNT(FB4:FB400)</f>
        <v>0</v>
      </c>
      <c r="FC2" s="8">
        <f>COUNT(FD4:FD400)</f>
        <v>0</v>
      </c>
      <c r="FE2" s="8">
        <f>COUNT(FF4:FF400)</f>
        <v>0</v>
      </c>
      <c r="FG2" s="8">
        <f>COUNT(FH4:FH400)</f>
        <v>0</v>
      </c>
      <c r="FI2" s="8">
        <f>COUNT(FJ4:FJ400)</f>
        <v>0</v>
      </c>
      <c r="FK2" s="8">
        <f>COUNT(FL4:FL400)</f>
        <v>0</v>
      </c>
      <c r="FM2" s="8">
        <f>COUNT(FN4:FN400)</f>
        <v>0</v>
      </c>
      <c r="FO2" s="8">
        <f>COUNT(FP4:FP400)</f>
        <v>0</v>
      </c>
      <c r="FQ2" s="8">
        <f>COUNT(FR4:FR400)</f>
        <v>0</v>
      </c>
      <c r="FS2" s="8">
        <f>COUNT(FT4:FT400)</f>
        <v>0</v>
      </c>
      <c r="FU2" s="8">
        <f>COUNT(FV4:FV400)</f>
        <v>0</v>
      </c>
      <c r="FW2" s="8">
        <f>COUNT(FX4:FX400)</f>
        <v>0</v>
      </c>
      <c r="FY2" s="8">
        <f>COUNT(FZ4:FZ400)</f>
        <v>0</v>
      </c>
      <c r="GA2" s="8">
        <f>COUNT(GB4:GB400)</f>
        <v>0</v>
      </c>
      <c r="GC2" s="8">
        <f>COUNT(GD4:GD400)</f>
        <v>0</v>
      </c>
      <c r="GE2" s="8">
        <f>COUNT(GF4:GF400)</f>
        <v>0</v>
      </c>
      <c r="GG2" s="8">
        <f>COUNT(GH4:GH400)</f>
        <v>0</v>
      </c>
      <c r="GI2" s="8">
        <f>COUNT(GJ4:GJ400)</f>
        <v>0</v>
      </c>
      <c r="GK2" s="8">
        <f>COUNT(GL4:GL400)</f>
        <v>0</v>
      </c>
      <c r="GM2" s="8">
        <f>COUNT(GN4:GN400)</f>
        <v>0</v>
      </c>
      <c r="GO2" s="8">
        <f>COUNT(GP4:GP400)</f>
        <v>0</v>
      </c>
      <c r="GQ2" s="8">
        <f>COUNT(GR4:GR400)</f>
        <v>0</v>
      </c>
      <c r="GS2" s="8">
        <f>COUNT(GT4:GT400)</f>
        <v>0</v>
      </c>
      <c r="GU2" s="8">
        <f>COUNT(GV4:GV400)</f>
        <v>0</v>
      </c>
      <c r="GW2" s="8">
        <f>COUNT(GX4:GX400)</f>
        <v>0</v>
      </c>
      <c r="GY2" s="8">
        <f>COUNT(GZ4:GZ400)</f>
        <v>0</v>
      </c>
      <c r="HA2" s="8">
        <f>COUNT(HB4:HB400)</f>
        <v>0</v>
      </c>
      <c r="HC2" s="8">
        <f>COUNT(HD4:HD400)</f>
        <v>0</v>
      </c>
      <c r="HE2" s="8">
        <f>COUNT(HF4:HF400)</f>
        <v>0</v>
      </c>
      <c r="HG2" s="8">
        <f>COUNT(HH4:HH400)</f>
        <v>0</v>
      </c>
      <c r="HI2" s="8">
        <f>COUNT(HJ4:HJ400)</f>
        <v>0</v>
      </c>
      <c r="HK2" s="8">
        <f>COUNT(HL4:HL400)</f>
        <v>0</v>
      </c>
      <c r="HM2" s="8">
        <f>COUNT(HN4:HN400)</f>
        <v>0</v>
      </c>
      <c r="HO2" s="8">
        <f>COUNT(HP4:HP400)</f>
        <v>0</v>
      </c>
      <c r="HQ2" s="8">
        <f>COUNT(HR4:HR400)</f>
        <v>0</v>
      </c>
      <c r="HS2" s="8">
        <f>COUNT(HT4:HT400)</f>
        <v>0</v>
      </c>
      <c r="HU2" s="8">
        <f>COUNT(HV4:HV400)</f>
        <v>0</v>
      </c>
      <c r="HW2" s="8">
        <f>COUNT(HX4:HX400)</f>
        <v>0</v>
      </c>
      <c r="HY2" s="8">
        <f>COUNT(HZ4:HZ400)</f>
        <v>0</v>
      </c>
      <c r="IA2" s="8">
        <f>COUNT(IB4:IB400)</f>
        <v>0</v>
      </c>
      <c r="IC2" s="8">
        <f>COUNT(ID4:ID400)</f>
        <v>0</v>
      </c>
      <c r="IE2" s="8">
        <f>COUNT(IF4:IF400)</f>
        <v>0</v>
      </c>
      <c r="IG2" s="8">
        <f>COUNT(IH4:IH400)</f>
        <v>0</v>
      </c>
      <c r="II2" s="8">
        <f>COUNT(IJ4:IJ400)</f>
        <v>0</v>
      </c>
      <c r="IK2" s="8">
        <f>COUNT(IL4:IL400)</f>
        <v>0</v>
      </c>
      <c r="IM2" s="8">
        <f>COUNT(IN4:IN400)</f>
        <v>0</v>
      </c>
      <c r="IO2" s="8">
        <f>COUNT(IP4:IP400)</f>
        <v>0</v>
      </c>
      <c r="IQ2" s="8">
        <f>COUNT(IR4:IR400)</f>
        <v>0</v>
      </c>
      <c r="IS2" s="8">
        <f>COUNT(IT4:IT400)</f>
        <v>0</v>
      </c>
      <c r="IU2" s="8">
        <f>COUNT(IV4:IV400)</f>
        <v>0</v>
      </c>
      <c r="IW2" s="8">
        <f>COUNT(IX4:IX400)</f>
        <v>0</v>
      </c>
      <c r="IY2" s="8">
        <f>COUNT(IZ4:IZ400)</f>
        <v>0</v>
      </c>
      <c r="JA2" s="8">
        <f>COUNT(JB4:JB400)</f>
        <v>0</v>
      </c>
      <c r="JC2" s="8">
        <f>COUNT(JD4:JD400)</f>
        <v>0</v>
      </c>
      <c r="JE2" s="8">
        <f>COUNT(JF4:JF400)</f>
        <v>0</v>
      </c>
      <c r="JG2" s="8">
        <f>COUNT(JH4:JH400)</f>
        <v>0</v>
      </c>
      <c r="JI2" s="8">
        <f>COUNT(JJ4:JJ400)</f>
        <v>0</v>
      </c>
      <c r="JK2" s="8">
        <f>COUNT(JL4:JL400)</f>
        <v>0</v>
      </c>
      <c r="JM2" s="8">
        <f>COUNT(JN4:JN400)</f>
        <v>0</v>
      </c>
      <c r="JO2" s="8">
        <f>COUNT(JP4:JP400)</f>
        <v>0</v>
      </c>
      <c r="JQ2" s="8">
        <f>COUNT(JR4:JR400)</f>
        <v>0</v>
      </c>
      <c r="JS2" s="8">
        <f>COUNT(JT4:JT400)</f>
        <v>0</v>
      </c>
      <c r="JU2" s="8">
        <f>COUNT(JV4:JV400)</f>
        <v>0</v>
      </c>
      <c r="JW2" s="8">
        <f>COUNT(JX4:JX400)</f>
        <v>0</v>
      </c>
      <c r="JY2" s="8">
        <f>COUNT(JZ4:JZ400)</f>
        <v>0</v>
      </c>
      <c r="KA2" s="8">
        <f>COUNT(KB4:KB400)</f>
        <v>0</v>
      </c>
      <c r="KC2" s="8">
        <f>COUNT(KD4:KD400)</f>
        <v>0</v>
      </c>
      <c r="KE2" s="8">
        <f>COUNT(KF4:KF400)</f>
        <v>0</v>
      </c>
      <c r="KG2" s="8">
        <f>COUNT(KH4:KH400)</f>
        <v>0</v>
      </c>
      <c r="KI2" s="8">
        <f>COUNT(KJ4:KJ400)</f>
        <v>0</v>
      </c>
      <c r="KK2" s="8">
        <f>COUNT(KL4:KL400)</f>
        <v>0</v>
      </c>
      <c r="KM2" s="8">
        <f>COUNT(KN4:KN400)</f>
        <v>0</v>
      </c>
      <c r="KO2" s="8">
        <f>COUNT(KP4:KP400)</f>
        <v>0</v>
      </c>
      <c r="KQ2" s="8">
        <f>COUNT(KR4:KR400)</f>
        <v>0</v>
      </c>
      <c r="KS2" s="8">
        <f>COUNT(KT4:KT400)</f>
        <v>0</v>
      </c>
      <c r="KU2" s="8">
        <f>COUNT(KV4:KV400)</f>
        <v>0</v>
      </c>
      <c r="KW2" s="8">
        <f>COUNT(KX4:KX400)</f>
        <v>0</v>
      </c>
      <c r="KY2" s="8">
        <f>COUNT(KZ4:KZ400)</f>
        <v>0</v>
      </c>
      <c r="LA2" s="8">
        <f>COUNT(LB4:LB400)</f>
        <v>0</v>
      </c>
      <c r="LC2" s="8">
        <f>COUNT(LD4:LD400)</f>
        <v>0</v>
      </c>
      <c r="LE2" s="8">
        <f>COUNT(LF4:LF400)</f>
        <v>0</v>
      </c>
      <c r="LG2" s="8">
        <f>COUNT(LH4:LH400)</f>
        <v>0</v>
      </c>
      <c r="LI2" s="8">
        <f>COUNT(LJ4:LJ400)</f>
        <v>0</v>
      </c>
      <c r="LK2" s="8">
        <f>COUNT(LL4:LL400)</f>
        <v>0</v>
      </c>
      <c r="LM2" s="8">
        <f>COUNT(LN4:LN400)</f>
        <v>0</v>
      </c>
      <c r="LO2" s="8">
        <f>COUNT(LP4:LP400)</f>
        <v>0</v>
      </c>
      <c r="LQ2" s="8">
        <f>COUNT(LR4:LR400)</f>
        <v>0</v>
      </c>
      <c r="LS2" s="8">
        <f>COUNT(LT4:LT400)</f>
        <v>0</v>
      </c>
      <c r="LU2" s="8">
        <f>COUNT(LV4:LV400)</f>
        <v>0</v>
      </c>
      <c r="LW2" s="8">
        <f>COUNT(LX4:LX400)</f>
        <v>0</v>
      </c>
      <c r="LY2" s="8">
        <f>COUNT(LZ4:LZ400)</f>
        <v>0</v>
      </c>
      <c r="MA2" s="8">
        <f>COUNT(MB4:MB400)</f>
        <v>0</v>
      </c>
      <c r="MC2" s="8">
        <f>COUNT(MD4:MD400)</f>
        <v>0</v>
      </c>
      <c r="ME2" s="8">
        <f>COUNT(MF4:MF400)</f>
        <v>0</v>
      </c>
      <c r="MG2" s="8">
        <f>COUNT(MH4:MH400)</f>
        <v>0</v>
      </c>
      <c r="MI2" s="8">
        <f>COUNT(MJ4:MJ400)</f>
        <v>0</v>
      </c>
      <c r="MK2" s="8">
        <f>COUNT(ML4:ML400)</f>
        <v>0</v>
      </c>
      <c r="MM2" s="8">
        <f>COUNT(MN4:MN400)</f>
        <v>0</v>
      </c>
      <c r="MO2" s="8">
        <f>COUNT(MP4:MP400)</f>
        <v>0</v>
      </c>
      <c r="MQ2" s="8">
        <f>COUNT(MR4:MR400)</f>
        <v>0</v>
      </c>
      <c r="MS2" s="8">
        <f>COUNT(MT4:MT400)</f>
        <v>0</v>
      </c>
      <c r="MU2" s="8">
        <f>COUNT(MV4:MV400)</f>
        <v>0</v>
      </c>
      <c r="MW2" s="8">
        <f>COUNT(MX4:MX400)</f>
        <v>0</v>
      </c>
      <c r="MY2" s="8">
        <f>COUNT(MZ4:MZ400)</f>
        <v>0</v>
      </c>
      <c r="NA2" s="8">
        <f>COUNT(NB4:NB400)</f>
        <v>0</v>
      </c>
      <c r="NC2" s="8">
        <f>COUNT(ND4:ND400)</f>
        <v>0</v>
      </c>
      <c r="NE2" s="8">
        <f>COUNT(NF4:NF400)</f>
        <v>0</v>
      </c>
      <c r="NG2" s="8">
        <f>COUNT(NH4:NH400)</f>
        <v>0</v>
      </c>
      <c r="NI2" s="8">
        <f>COUNT(NJ4:NJ400)</f>
        <v>0</v>
      </c>
      <c r="NK2" s="8">
        <f>COUNT(NL4:NL400)</f>
        <v>0</v>
      </c>
      <c r="NM2" s="8">
        <f>COUNT(NN4:NN400)</f>
        <v>0</v>
      </c>
      <c r="NO2" s="8">
        <f>COUNT(NP4:NP400)</f>
        <v>0</v>
      </c>
      <c r="NQ2" s="8">
        <f>COUNT(NR4:NR400)</f>
        <v>0</v>
      </c>
      <c r="NS2" s="8">
        <f>COUNT(NT4:NT400)</f>
        <v>0</v>
      </c>
      <c r="NU2" s="8">
        <f>COUNT(NV4:NV400)</f>
        <v>0</v>
      </c>
      <c r="NW2" s="8">
        <f>COUNT(NX4:NX400)</f>
        <v>0</v>
      </c>
      <c r="NY2" s="8">
        <f>COUNT(NZ4:NZ400)</f>
        <v>0</v>
      </c>
      <c r="OA2" s="8">
        <f>COUNT(OB4:OB400)</f>
        <v>0</v>
      </c>
      <c r="OC2" s="8">
        <f>COUNT(OD4:OD400)</f>
        <v>0</v>
      </c>
      <c r="OE2" s="8">
        <f>COUNT(OF4:OF400)</f>
        <v>0</v>
      </c>
      <c r="OG2" s="8">
        <f>COUNT(OH4:OH400)</f>
        <v>0</v>
      </c>
      <c r="OI2" s="8">
        <f>COUNT(OJ4:OJ400)</f>
        <v>0</v>
      </c>
      <c r="OK2" s="8">
        <f>COUNT(OL4:OL400)</f>
        <v>0</v>
      </c>
      <c r="OM2" s="8">
        <f>COUNT(ON4:ON400)</f>
        <v>0</v>
      </c>
      <c r="OO2" s="8">
        <f>COUNT(OP4:OP400)</f>
        <v>0</v>
      </c>
      <c r="OQ2" s="8">
        <f>COUNT(OR4:OR400)</f>
        <v>0</v>
      </c>
      <c r="OS2" s="8">
        <f>COUNT(OT4:OT400)</f>
        <v>0</v>
      </c>
      <c r="OU2" s="8">
        <f>COUNT(OV4:OV400)</f>
        <v>0</v>
      </c>
      <c r="OW2" s="8">
        <f>COUNT(OX4:OX400)</f>
        <v>0</v>
      </c>
      <c r="OY2" s="8">
        <f>COUNT(OZ4:OZ400)</f>
        <v>0</v>
      </c>
      <c r="PA2" s="8">
        <f>COUNT(PB4:PB400)</f>
        <v>0</v>
      </c>
      <c r="PC2" s="8">
        <f>COUNT(PD4:PD400)</f>
        <v>0</v>
      </c>
      <c r="PE2" s="8">
        <f>COUNT(PF4:PF400)</f>
        <v>0</v>
      </c>
      <c r="PG2" s="8">
        <f>COUNT(PH4:PH400)</f>
        <v>0</v>
      </c>
      <c r="PI2" s="8">
        <f>COUNT(PJ4:PJ400)</f>
        <v>0</v>
      </c>
      <c r="PK2" s="8">
        <f>COUNT(PL4:PL400)</f>
        <v>0</v>
      </c>
      <c r="PM2" s="8">
        <f>COUNT(PN4:PN400)</f>
        <v>0</v>
      </c>
      <c r="PO2" s="8">
        <f>COUNT(PP4:PP400)</f>
        <v>0</v>
      </c>
      <c r="PQ2" s="8">
        <f>COUNT(PR4:PR400)</f>
        <v>0</v>
      </c>
      <c r="PS2" s="8">
        <f>COUNT(PT4:PT400)</f>
        <v>0</v>
      </c>
      <c r="PU2" s="8">
        <f>COUNT(PV4:PV400)</f>
        <v>0</v>
      </c>
      <c r="PW2" s="8">
        <f>COUNT(PX4:PX400)</f>
        <v>0</v>
      </c>
      <c r="PY2" s="8">
        <f>COUNT(PZ4:PZ400)</f>
        <v>0</v>
      </c>
      <c r="QA2" s="8">
        <f>COUNT(QB4:QB400)</f>
        <v>0</v>
      </c>
      <c r="QC2" s="8">
        <f>COUNT(QD4:QD400)</f>
        <v>0</v>
      </c>
      <c r="QE2" s="8">
        <f>COUNT(QF4:QF400)</f>
        <v>0</v>
      </c>
      <c r="QG2" s="8">
        <f>COUNT(QH4:QH400)</f>
        <v>0</v>
      </c>
      <c r="QI2" s="8">
        <f>COUNT(QJ4:QJ400)</f>
        <v>0</v>
      </c>
      <c r="QK2" s="8">
        <f>COUNT(QL4:QL400)</f>
        <v>0</v>
      </c>
      <c r="QM2" s="8">
        <f>COUNT(QN4:QN400)</f>
        <v>0</v>
      </c>
      <c r="QO2" s="8">
        <f>COUNT(QP4:QP400)</f>
        <v>0</v>
      </c>
      <c r="QQ2" s="8">
        <f>COUNT(QR4:QR400)</f>
        <v>0</v>
      </c>
      <c r="QS2" s="8">
        <f>COUNT(QT4:QT400)</f>
        <v>0</v>
      </c>
      <c r="QU2" s="8">
        <f>COUNT(QV4:QV400)</f>
        <v>0</v>
      </c>
      <c r="QW2" s="8">
        <f>COUNT(QX4:QX400)</f>
        <v>0</v>
      </c>
      <c r="QY2" s="8">
        <f>COUNT(QZ4:QZ400)</f>
        <v>0</v>
      </c>
      <c r="RA2" s="8">
        <f>COUNT(RB4:RB400)</f>
        <v>0</v>
      </c>
      <c r="RC2" s="8">
        <f>COUNT(RD4:RD400)</f>
        <v>0</v>
      </c>
      <c r="RE2" s="8">
        <f>COUNT(RF4:RF400)</f>
        <v>0</v>
      </c>
      <c r="RG2" s="8">
        <f>COUNT(RH4:RH400)</f>
        <v>0</v>
      </c>
      <c r="RI2" s="8">
        <f>COUNT(RJ4:RJ400)</f>
        <v>0</v>
      </c>
      <c r="RK2" s="8">
        <f>COUNT(RL4:RL400)</f>
        <v>0</v>
      </c>
      <c r="RM2" s="8">
        <f>COUNT(RN4:RN400)</f>
        <v>0</v>
      </c>
      <c r="RO2" s="8">
        <f>COUNT(RP4:RP400)</f>
        <v>0</v>
      </c>
      <c r="RQ2" s="8">
        <f>COUNT(RR4:RR400)</f>
        <v>0</v>
      </c>
      <c r="RS2" s="8">
        <f>COUNT(RT4:RT400)</f>
        <v>0</v>
      </c>
      <c r="RU2" s="8">
        <f>COUNT(RV4:RV400)</f>
        <v>0</v>
      </c>
      <c r="RW2" s="8">
        <f>COUNT(RX4:RX400)</f>
        <v>0</v>
      </c>
      <c r="RY2" s="8">
        <f>COUNT(RZ4:RZ400)</f>
        <v>0</v>
      </c>
      <c r="SA2" s="8">
        <f>COUNT(SB4:SB400)</f>
        <v>0</v>
      </c>
      <c r="SC2" s="8">
        <f>COUNT(SD4:SD400)</f>
        <v>0</v>
      </c>
      <c r="SE2" s="8">
        <f>COUNT(SF4:SF400)</f>
        <v>0</v>
      </c>
      <c r="SG2" s="8">
        <f>COUNT(SH4:SH400)</f>
        <v>0</v>
      </c>
      <c r="SI2" s="8">
        <f>COUNT(SJ4:SJ400)</f>
        <v>0</v>
      </c>
      <c r="SK2" s="8">
        <f>COUNT(SL4:SL400)</f>
        <v>0</v>
      </c>
      <c r="SM2" s="8">
        <f>COUNT(SN4:SN400)</f>
        <v>0</v>
      </c>
      <c r="SO2" s="8">
        <f>COUNT(SP4:SP400)</f>
        <v>0</v>
      </c>
      <c r="SQ2" s="8">
        <f>COUNT(SR4:SR400)</f>
        <v>0</v>
      </c>
      <c r="SS2" s="8">
        <f>COUNT(ST4:ST400)</f>
        <v>0</v>
      </c>
      <c r="SU2" s="8">
        <f>COUNT(SV4:SV400)</f>
        <v>0</v>
      </c>
      <c r="SW2" s="8">
        <f>COUNT(SX4:SX400)</f>
        <v>0</v>
      </c>
      <c r="SY2" s="8">
        <f>COUNT(SZ4:SZ400)</f>
        <v>0</v>
      </c>
      <c r="TA2" s="8">
        <f>COUNT(TB4:TB400)</f>
        <v>0</v>
      </c>
      <c r="TC2" s="8">
        <f>COUNT(TD4:TD400)</f>
        <v>0</v>
      </c>
      <c r="TE2" s="8">
        <f>COUNT(TF4:TF400)</f>
        <v>0</v>
      </c>
      <c r="TG2" s="8">
        <f>COUNT(TH4:TH400)</f>
        <v>0</v>
      </c>
      <c r="TI2" s="8">
        <f>COUNT(TJ4:TJ400)</f>
        <v>0</v>
      </c>
      <c r="TK2" s="8">
        <f>COUNT(TL4:TL400)</f>
        <v>0</v>
      </c>
      <c r="TM2" s="8">
        <f>COUNT(TN4:TN400)</f>
        <v>0</v>
      </c>
      <c r="TO2" s="8">
        <f>COUNT(TP4:TP400)</f>
        <v>0</v>
      </c>
      <c r="TQ2" s="8">
        <f>COUNT(TR4:TR400)</f>
        <v>0</v>
      </c>
      <c r="TS2" s="8">
        <f>COUNT(TT4:TT400)</f>
        <v>0</v>
      </c>
      <c r="TU2" s="8">
        <f>COUNT(TV4:TV400)</f>
        <v>0</v>
      </c>
      <c r="TW2" s="8">
        <f>COUNT(TX4:TX400)</f>
        <v>0</v>
      </c>
      <c r="TY2" s="8">
        <f>COUNT(TZ4:TZ400)</f>
        <v>0</v>
      </c>
      <c r="UA2" s="8">
        <f>COUNT(UB4:UB400)</f>
        <v>0</v>
      </c>
      <c r="UC2" s="8">
        <f>COUNT(UD4:UD400)</f>
        <v>0</v>
      </c>
      <c r="UE2" s="8">
        <f>COUNT(UF4:UF400)</f>
        <v>0</v>
      </c>
      <c r="UG2" s="8">
        <f>COUNT(UH4:UH400)</f>
        <v>0</v>
      </c>
      <c r="UI2" s="8">
        <f>COUNT(UJ4:UJ400)</f>
        <v>0</v>
      </c>
      <c r="UK2" s="8">
        <f>COUNT(UL4:UL400)</f>
        <v>0</v>
      </c>
      <c r="UM2" s="8">
        <f>COUNT(UN4:UN400)</f>
        <v>0</v>
      </c>
      <c r="UO2" s="8">
        <f>COUNT(UP4:UP400)</f>
        <v>0</v>
      </c>
      <c r="UQ2" s="8">
        <f>COUNT(UR4:UR400)</f>
        <v>0</v>
      </c>
      <c r="US2" s="8">
        <f>COUNT(UT4:UT400)</f>
        <v>0</v>
      </c>
      <c r="UU2" s="8">
        <f>COUNT(UV4:UV400)</f>
        <v>0</v>
      </c>
      <c r="UW2" s="8">
        <f>COUNT(UX4:UX400)</f>
        <v>0</v>
      </c>
      <c r="UY2" s="8">
        <f>COUNT(UZ4:UZ400)</f>
        <v>0</v>
      </c>
      <c r="VA2" s="8">
        <f>COUNT(VB4:VB400)</f>
        <v>0</v>
      </c>
      <c r="VC2" s="8">
        <f>COUNT(VD4:VD400)</f>
        <v>0</v>
      </c>
      <c r="VE2" s="8">
        <f>COUNT(VF4:VF400)</f>
        <v>0</v>
      </c>
      <c r="VG2" s="8">
        <f>COUNT(VH4:VH400)</f>
        <v>0</v>
      </c>
      <c r="VI2" s="8">
        <f>COUNT(VJ4:VJ400)</f>
        <v>0</v>
      </c>
      <c r="VK2" s="8">
        <f>COUNT(VL4:VL400)</f>
        <v>0</v>
      </c>
      <c r="VM2" s="8">
        <f>COUNT(VN4:VN400)</f>
        <v>0</v>
      </c>
      <c r="VO2" s="8">
        <f>COUNT(VP4:VP400)</f>
        <v>0</v>
      </c>
      <c r="VQ2" s="8">
        <f>COUNT(VR4:VR400)</f>
        <v>0</v>
      </c>
      <c r="VS2" s="8">
        <f>COUNT(VT4:VT400)</f>
        <v>0</v>
      </c>
      <c r="VU2" s="8">
        <f>COUNT(VV4:VV400)</f>
        <v>0</v>
      </c>
      <c r="VW2" s="8">
        <f>COUNT(VX4:VX400)</f>
        <v>0</v>
      </c>
      <c r="VY2" s="8">
        <f>COUNT(VZ4:VZ400)</f>
        <v>0</v>
      </c>
      <c r="WA2" s="8">
        <f>COUNT(WB4:WB400)</f>
        <v>0</v>
      </c>
      <c r="WC2" s="8">
        <f>COUNT(WD4:WD400)</f>
        <v>0</v>
      </c>
      <c r="WE2" s="8">
        <f>COUNT(WF4:WF400)</f>
        <v>0</v>
      </c>
      <c r="WG2" s="8">
        <f>COUNT(WH4:WH400)</f>
        <v>0</v>
      </c>
      <c r="WI2" s="8">
        <f>COUNT(WJ4:WJ400)</f>
        <v>0</v>
      </c>
      <c r="WK2" s="8">
        <f>COUNT(WL4:WL400)</f>
        <v>0</v>
      </c>
      <c r="WM2" s="8">
        <f>COUNT(WN4:WN400)</f>
        <v>0</v>
      </c>
      <c r="WO2" s="8">
        <f>COUNT(WP4:WP400)</f>
        <v>0</v>
      </c>
      <c r="WQ2" s="8">
        <f>COUNT(WR4:WR400)</f>
        <v>0</v>
      </c>
      <c r="WS2" s="8">
        <f>COUNT(WT4:WT400)</f>
        <v>0</v>
      </c>
      <c r="WU2" s="8">
        <f>COUNT(WV4:WV400)</f>
        <v>0</v>
      </c>
      <c r="WW2" s="8">
        <f>COUNT(WX4:WX400)</f>
        <v>0</v>
      </c>
      <c r="WY2" s="8">
        <f>COUNT(WZ4:WZ400)</f>
        <v>0</v>
      </c>
      <c r="XA2" s="8">
        <f>COUNT(XB4:XB400)</f>
        <v>0</v>
      </c>
      <c r="XC2" s="8">
        <f>COUNT(XD4:XD400)</f>
        <v>0</v>
      </c>
      <c r="XE2" s="8">
        <f>COUNT(XF4:XF400)</f>
        <v>0</v>
      </c>
      <c r="XG2" s="8">
        <f>COUNT(XH4:XH400)</f>
        <v>0</v>
      </c>
      <c r="XI2" s="8">
        <f>COUNT(XJ4:XJ400)</f>
        <v>0</v>
      </c>
      <c r="XK2" s="8">
        <f>COUNT(XL4:XL400)</f>
        <v>0</v>
      </c>
      <c r="XM2" s="8">
        <f>COUNT(XN4:XN400)</f>
        <v>0</v>
      </c>
      <c r="XO2" s="8">
        <f>COUNT(XP4:XP400)</f>
        <v>0</v>
      </c>
      <c r="XQ2" s="8">
        <f>COUNT(XR4:XR400)</f>
        <v>0</v>
      </c>
      <c r="XS2" s="8">
        <f>COUNT(XT4:XT400)</f>
        <v>0</v>
      </c>
      <c r="XU2" s="8">
        <f>COUNT(XV4:XV400)</f>
        <v>0</v>
      </c>
      <c r="XW2" s="8">
        <f>COUNT(XX4:XX400)</f>
        <v>0</v>
      </c>
      <c r="XY2" s="8">
        <f>COUNT(XZ4:XZ400)</f>
        <v>0</v>
      </c>
      <c r="YA2" s="8">
        <f>COUNT(YB4:YB400)</f>
        <v>0</v>
      </c>
      <c r="YC2" s="8">
        <f>COUNT(YD4:YD400)</f>
        <v>0</v>
      </c>
      <c r="YE2" s="8">
        <f>COUNT(YF4:YF400)</f>
        <v>0</v>
      </c>
      <c r="YG2" s="8">
        <f>COUNT(YH4:YH400)</f>
        <v>0</v>
      </c>
      <c r="YI2" s="8">
        <f>COUNT(YJ4:YJ400)</f>
        <v>0</v>
      </c>
      <c r="YK2" s="8">
        <f>COUNT(YL4:YL400)</f>
        <v>0</v>
      </c>
      <c r="YM2" s="8">
        <f>COUNT(YN4:YN400)</f>
        <v>0</v>
      </c>
      <c r="YO2" s="8">
        <f>COUNT(YP4:YP400)</f>
        <v>0</v>
      </c>
      <c r="YQ2" s="8">
        <f>COUNT(YR4:YR400)</f>
        <v>0</v>
      </c>
      <c r="YS2" s="8">
        <f>COUNT(YT4:YT400)</f>
        <v>0</v>
      </c>
      <c r="YU2" s="8">
        <f>COUNT(YV4:YV400)</f>
        <v>0</v>
      </c>
      <c r="YW2" s="8">
        <f>COUNT(YX4:YX400)</f>
        <v>0</v>
      </c>
      <c r="YY2" s="8">
        <f>COUNT(YZ4:YZ400)</f>
        <v>0</v>
      </c>
      <c r="ZA2" s="8">
        <f>COUNT(ZB4:ZB400)</f>
        <v>0</v>
      </c>
      <c r="ZC2" s="8">
        <f>COUNT(ZD4:ZD400)</f>
        <v>0</v>
      </c>
      <c r="ZE2" s="8">
        <f>COUNT(ZF4:ZF400)</f>
        <v>0</v>
      </c>
      <c r="ZG2" s="8">
        <f>COUNT(ZH4:ZH400)</f>
        <v>0</v>
      </c>
      <c r="ZI2" s="8">
        <f>COUNT(ZJ4:ZJ400)</f>
        <v>0</v>
      </c>
      <c r="ZK2" s="8">
        <f>COUNT(ZL4:ZL400)</f>
        <v>0</v>
      </c>
      <c r="ZM2" s="8">
        <f>COUNT(ZN4:ZN400)</f>
        <v>0</v>
      </c>
      <c r="ZO2" s="8">
        <f>COUNT(ZP4:ZP400)</f>
        <v>0</v>
      </c>
      <c r="ZQ2" s="8">
        <f>COUNT(ZR4:ZR400)</f>
        <v>0</v>
      </c>
      <c r="ZS2" s="8">
        <f>COUNT(ZT4:ZT400)</f>
        <v>0</v>
      </c>
      <c r="ZU2" s="8">
        <f>COUNT(ZV4:ZV400)</f>
        <v>0</v>
      </c>
      <c r="ZW2" s="8">
        <f>COUNT(ZX4:ZX400)</f>
        <v>0</v>
      </c>
      <c r="ZY2" s="8">
        <f>COUNT(ZZ4:ZZ400)</f>
        <v>0</v>
      </c>
      <c r="AAA2" s="8">
        <f>COUNT(AAB4:AAB400)</f>
        <v>0</v>
      </c>
      <c r="AAC2" s="8">
        <f>COUNT(AAD4:AAD400)</f>
        <v>0</v>
      </c>
      <c r="AAE2" s="8">
        <f>COUNT(AAF4:AAF400)</f>
        <v>0</v>
      </c>
      <c r="AAG2" s="8">
        <f>COUNT(AAH4:AAH400)</f>
        <v>0</v>
      </c>
      <c r="AAI2" s="8">
        <f>COUNT(AAJ4:AAJ400)</f>
        <v>0</v>
      </c>
      <c r="AAK2" s="8">
        <f>COUNT(AAL4:AAL400)</f>
        <v>0</v>
      </c>
      <c r="AAM2" s="8">
        <f>COUNT(AAN4:AAN400)</f>
        <v>0</v>
      </c>
      <c r="AAO2" s="8">
        <f>COUNT(AAP4:AAP400)</f>
        <v>0</v>
      </c>
      <c r="AAQ2" s="8">
        <f>COUNT(AAR4:AAR400)</f>
        <v>0</v>
      </c>
      <c r="AAS2" s="8">
        <f>COUNT(AAT4:AAT400)</f>
        <v>0</v>
      </c>
      <c r="AAU2" s="8">
        <f>COUNT(AAV4:AAV400)</f>
        <v>0</v>
      </c>
      <c r="AAW2" s="8">
        <f>COUNT(AAX4:AAX400)</f>
        <v>0</v>
      </c>
      <c r="AAY2" s="8">
        <f>COUNT(AAZ4:AAZ400)</f>
        <v>0</v>
      </c>
      <c r="ABA2" s="8">
        <f>COUNT(ABB4:ABB400)</f>
        <v>0</v>
      </c>
      <c r="ABC2" s="8">
        <f>COUNT(ABD4:ABD400)</f>
        <v>0</v>
      </c>
      <c r="ABE2" s="8">
        <f>COUNT(ABF4:ABF400)</f>
        <v>0</v>
      </c>
      <c r="ABG2" s="8">
        <f>COUNT(ABH4:ABH400)</f>
        <v>0</v>
      </c>
      <c r="ABI2" s="8">
        <f>COUNT(ABJ4:ABJ400)</f>
        <v>0</v>
      </c>
      <c r="ABK2" s="8">
        <f>COUNT(ABL4:ABL400)</f>
        <v>0</v>
      </c>
      <c r="ABM2" s="8">
        <f>COUNT(ABN4:ABN400)</f>
        <v>0</v>
      </c>
      <c r="ABO2" s="8">
        <f>COUNT(ABP4:ABP400)</f>
        <v>0</v>
      </c>
      <c r="ABQ2" s="8">
        <f>COUNT(ABR4:ABR400)</f>
        <v>0</v>
      </c>
      <c r="ABS2" s="8">
        <f>COUNT(ABT4:ABT400)</f>
        <v>0</v>
      </c>
      <c r="ABU2" s="8">
        <f>COUNT(ABV4:ABV400)</f>
        <v>0</v>
      </c>
      <c r="ABW2" s="8">
        <f>COUNT(ABX4:ABX400)</f>
        <v>0</v>
      </c>
      <c r="ABY2" s="8">
        <f>COUNT(ABZ4:ABZ400)</f>
        <v>0</v>
      </c>
      <c r="ACA2" s="8">
        <f>COUNT(ACB4:ACB400)</f>
        <v>0</v>
      </c>
      <c r="ACC2" s="8">
        <f>COUNT(ACD4:ACD400)</f>
        <v>0</v>
      </c>
      <c r="ACE2" s="8">
        <f>COUNT(ACF4:ACF400)</f>
        <v>0</v>
      </c>
      <c r="ACG2" s="8">
        <f>COUNT(ACH4:ACH400)</f>
        <v>0</v>
      </c>
      <c r="ACI2" s="8">
        <f>COUNT(ACJ4:ACJ400)</f>
        <v>0</v>
      </c>
      <c r="ACK2" s="8">
        <f>COUNT(ACL4:ACL400)</f>
        <v>0</v>
      </c>
      <c r="ACM2" s="8">
        <f>COUNT(ACN4:ACN400)</f>
        <v>0</v>
      </c>
      <c r="ACO2" s="8">
        <f>COUNT(ACP4:ACP400)</f>
        <v>0</v>
      </c>
      <c r="ACQ2" s="8">
        <f>COUNT(ACR4:ACR400)</f>
        <v>0</v>
      </c>
      <c r="ACS2" s="8">
        <f>COUNT(ACT4:ACT400)</f>
        <v>0</v>
      </c>
      <c r="ACU2" s="8">
        <f>COUNT(ACV4:ACV400)</f>
        <v>0</v>
      </c>
      <c r="ACW2" s="8">
        <f>COUNT(ACX4:ACX400)</f>
        <v>0</v>
      </c>
      <c r="ACY2" s="8">
        <f>COUNT(ACZ4:ACZ400)</f>
        <v>0</v>
      </c>
      <c r="ADA2" s="8">
        <f>COUNT(ADB4:ADB400)</f>
        <v>0</v>
      </c>
      <c r="ADC2" s="8">
        <f>COUNT(ADD4:ADD400)</f>
        <v>0</v>
      </c>
      <c r="ADE2" s="8">
        <f>COUNT(ADF4:ADF400)</f>
        <v>0</v>
      </c>
      <c r="ADG2" s="8">
        <f>COUNT(ADH4:ADH400)</f>
        <v>0</v>
      </c>
      <c r="ADI2" s="8">
        <f>COUNT(ADJ4:ADJ400)</f>
        <v>0</v>
      </c>
      <c r="ADK2" s="8">
        <f>COUNT(ADL4:ADL400)</f>
        <v>0</v>
      </c>
      <c r="ADM2" s="8">
        <f>COUNT(ADN4:ADN400)</f>
        <v>0</v>
      </c>
      <c r="ADO2" s="8">
        <f>COUNT(ADP4:ADP400)</f>
        <v>0</v>
      </c>
      <c r="ADQ2" s="8">
        <f>COUNT(ADR4:ADR400)</f>
        <v>0</v>
      </c>
      <c r="ADS2" s="8">
        <f>COUNT(ADT4:ADT400)</f>
        <v>0</v>
      </c>
      <c r="ADU2" s="8">
        <f>COUNT(ADV4:ADV400)</f>
        <v>0</v>
      </c>
      <c r="ADW2" s="8">
        <f>COUNT(ADX4:ADX400)</f>
        <v>0</v>
      </c>
      <c r="ADY2" s="8">
        <f>COUNT(ADZ4:ADZ400)</f>
        <v>0</v>
      </c>
      <c r="AEA2" s="8">
        <f>COUNT(AEB4:AEB400)</f>
        <v>0</v>
      </c>
      <c r="AEC2" s="8">
        <f>COUNT(AED4:AED400)</f>
        <v>0</v>
      </c>
      <c r="AEE2" s="8">
        <f>COUNT(AEF4:AEF400)</f>
        <v>0</v>
      </c>
      <c r="AEG2" s="8">
        <f>COUNT(AEH4:AEH400)</f>
        <v>0</v>
      </c>
      <c r="AEI2" s="8">
        <f>COUNT(AEJ4:AEJ400)</f>
        <v>0</v>
      </c>
      <c r="AEK2" s="8">
        <f>COUNT(AEL4:AEL400)</f>
        <v>0</v>
      </c>
      <c r="AEM2" s="8">
        <f>COUNT(AEN4:AEN400)</f>
        <v>0</v>
      </c>
      <c r="AEO2" s="8">
        <f>COUNT(AEP4:AEP400)</f>
        <v>0</v>
      </c>
      <c r="AEQ2" s="8">
        <f>COUNT(AER4:AER400)</f>
        <v>0</v>
      </c>
      <c r="AES2" s="8">
        <f>COUNT(AET4:AET400)</f>
        <v>0</v>
      </c>
      <c r="AEU2" s="8">
        <f>COUNT(AEV4:AEV400)</f>
        <v>0</v>
      </c>
      <c r="AEW2" s="8">
        <f>COUNT(AEX4:AEX400)</f>
        <v>0</v>
      </c>
      <c r="AEY2" s="8">
        <f>COUNT(AEZ4:AEZ400)</f>
        <v>0</v>
      </c>
      <c r="AFA2" s="8">
        <f>COUNT(AFB4:AFB400)</f>
        <v>0</v>
      </c>
      <c r="AFC2" s="8">
        <f>COUNT(AFD4:AFD400)</f>
        <v>0</v>
      </c>
      <c r="AFE2" s="8">
        <f>COUNT(AFF4:AFF400)</f>
        <v>0</v>
      </c>
      <c r="AFG2" s="8">
        <f>COUNT(AFH4:AFH400)</f>
        <v>0</v>
      </c>
      <c r="AFI2" s="8">
        <f>COUNT(AFJ4:AFJ400)</f>
        <v>0</v>
      </c>
      <c r="AFK2" s="8">
        <f>COUNT(AFL4:AFL400)</f>
        <v>0</v>
      </c>
      <c r="AFM2" s="8">
        <f>COUNT(AFN4:AFN400)</f>
        <v>0</v>
      </c>
      <c r="AFO2" s="8">
        <f>COUNT(AFP4:AFP400)</f>
        <v>0</v>
      </c>
      <c r="AFQ2" s="8">
        <f>COUNT(AFR4:AFR400)</f>
        <v>0</v>
      </c>
      <c r="AFS2" s="8">
        <f>COUNT(AFT4:AFT400)</f>
        <v>0</v>
      </c>
      <c r="AFU2" s="8">
        <f>COUNT(AFV4:AFV400)</f>
        <v>0</v>
      </c>
      <c r="AFW2" s="8">
        <f>COUNT(AFX4:AFX400)</f>
        <v>0</v>
      </c>
      <c r="AFY2" s="8">
        <f>COUNT(AFZ4:AFZ400)</f>
        <v>0</v>
      </c>
      <c r="AGA2" s="8">
        <f>COUNT(AGB4:AGB400)</f>
        <v>0</v>
      </c>
      <c r="AGC2" s="8">
        <f>COUNT(AGD4:AGD400)</f>
        <v>0</v>
      </c>
      <c r="AGE2" s="8">
        <f>COUNT(AGF4:AGF400)</f>
        <v>0</v>
      </c>
      <c r="AGG2" s="8">
        <f>COUNT(AGH4:AGH400)</f>
        <v>0</v>
      </c>
      <c r="AGI2" s="8">
        <f>COUNT(AGJ4:AGJ400)</f>
        <v>0</v>
      </c>
      <c r="AGK2" s="8">
        <f>COUNT(AGL4:AGL400)</f>
        <v>0</v>
      </c>
      <c r="AGM2" s="8">
        <f>COUNT(AGN4:AGN400)</f>
        <v>0</v>
      </c>
      <c r="AGO2" s="8">
        <f>COUNT(AGP4:AGP400)</f>
        <v>0</v>
      </c>
      <c r="AGQ2" s="8">
        <f>COUNT(AGR4:AGR400)</f>
        <v>0</v>
      </c>
      <c r="AGS2" s="8">
        <f>COUNT(AGT4:AGT400)</f>
        <v>0</v>
      </c>
      <c r="AGU2" s="8">
        <f>COUNT(AGV4:AGV400)</f>
        <v>0</v>
      </c>
      <c r="AGW2" s="8">
        <f>COUNT(AGX4:AGX400)</f>
        <v>0</v>
      </c>
      <c r="AGY2" s="8">
        <f>COUNT(AGZ4:AGZ400)</f>
        <v>0</v>
      </c>
      <c r="AHA2" s="8">
        <f>COUNT(AHB4:AHB400)</f>
        <v>0</v>
      </c>
      <c r="AHC2" s="8">
        <f>COUNT(AHD4:AHD400)</f>
        <v>0</v>
      </c>
      <c r="AHE2" s="8">
        <f>COUNT(AHF4:AHF400)</f>
        <v>0</v>
      </c>
      <c r="AHG2" s="8">
        <f>COUNT(AHH4:AHH400)</f>
        <v>0</v>
      </c>
      <c r="AHI2" s="8">
        <f>COUNT(AHJ4:AHJ400)</f>
        <v>0</v>
      </c>
      <c r="AHK2" s="8">
        <f>COUNT(AHL4:AHL400)</f>
        <v>0</v>
      </c>
      <c r="AHM2" s="8">
        <f>COUNT(AHN4:AHN400)</f>
        <v>0</v>
      </c>
      <c r="AHO2" s="8">
        <f>COUNT(AHP4:AHP400)</f>
        <v>0</v>
      </c>
      <c r="AHQ2" s="8">
        <f>COUNT(AHR4:AHR400)</f>
        <v>0</v>
      </c>
      <c r="AHS2" s="8">
        <f>COUNT(AHT4:AHT400)</f>
        <v>0</v>
      </c>
      <c r="AHU2" s="8">
        <f>COUNT(AHV4:AHV400)</f>
        <v>0</v>
      </c>
      <c r="AHW2" s="8">
        <f>COUNT(AHX4:AHX400)</f>
        <v>0</v>
      </c>
      <c r="AHY2" s="8">
        <f>COUNT(AHZ4:AHZ400)</f>
        <v>0</v>
      </c>
      <c r="AIA2" s="8">
        <f>COUNT(AIB4:AIB400)</f>
        <v>0</v>
      </c>
      <c r="AIC2" s="8">
        <f>COUNT(AID4:AID400)</f>
        <v>0</v>
      </c>
      <c r="AIE2" s="8">
        <f>COUNT(AIF4:AIF400)</f>
        <v>0</v>
      </c>
      <c r="AIG2" s="8">
        <f>COUNT(AIH4:AIH400)</f>
        <v>0</v>
      </c>
      <c r="AII2" s="8">
        <f>COUNT(AIJ4:AIJ400)</f>
        <v>0</v>
      </c>
      <c r="AIK2" s="8">
        <f>COUNT(AIL4:AIL400)</f>
        <v>0</v>
      </c>
      <c r="AIM2" s="8">
        <f>COUNT(AIN4:AIN400)</f>
        <v>0</v>
      </c>
      <c r="AIO2" s="8">
        <f>COUNT(AIP4:AIP400)</f>
        <v>0</v>
      </c>
      <c r="AIQ2" s="8">
        <f>COUNT(AIR4:AIR400)</f>
        <v>0</v>
      </c>
      <c r="AIS2" s="8">
        <f>COUNT(AIT4:AIT400)</f>
        <v>0</v>
      </c>
      <c r="AIU2" s="8">
        <f>COUNT(AIV4:AIV400)</f>
        <v>0</v>
      </c>
      <c r="AIW2" s="8">
        <f>COUNT(AIX4:AIX400)</f>
        <v>0</v>
      </c>
      <c r="AIY2" s="8">
        <f>COUNT(AIZ4:AIZ400)</f>
        <v>0</v>
      </c>
      <c r="AJA2" s="8">
        <f>COUNT(AJB4:AJB400)</f>
        <v>0</v>
      </c>
      <c r="AJC2" s="8">
        <f>COUNT(AJD4:AJD400)</f>
        <v>0</v>
      </c>
      <c r="AJE2" s="8">
        <f>COUNT(AJF4:AJF400)</f>
        <v>0</v>
      </c>
      <c r="AJG2" s="8">
        <f>COUNT(AJH4:AJH400)</f>
        <v>0</v>
      </c>
      <c r="AJI2" s="8">
        <f>COUNT(AJJ4:AJJ400)</f>
        <v>0</v>
      </c>
      <c r="AJK2" s="8">
        <f>COUNT(AJL4:AJL400)</f>
        <v>0</v>
      </c>
      <c r="AJM2" s="8">
        <f>COUNT(AJN4:AJN400)</f>
        <v>0</v>
      </c>
      <c r="AJO2" s="8">
        <f>COUNT(AJP4:AJP400)</f>
        <v>0</v>
      </c>
      <c r="AJQ2" s="8">
        <f>COUNT(AJR4:AJR400)</f>
        <v>0</v>
      </c>
      <c r="AJS2" s="8">
        <f>COUNT(AJT4:AJT400)</f>
        <v>0</v>
      </c>
      <c r="AJU2" s="8">
        <f>COUNT(AJV4:AJV400)</f>
        <v>0</v>
      </c>
      <c r="AJW2" s="8">
        <f>COUNT(AJX4:AJX400)</f>
        <v>0</v>
      </c>
      <c r="AJY2" s="8">
        <f>COUNT(AJZ4:AJZ400)</f>
        <v>0</v>
      </c>
      <c r="AKA2" s="8">
        <f>COUNT(AKB4:AKB400)</f>
        <v>0</v>
      </c>
      <c r="AKC2" s="8">
        <f>COUNT(AKD4:AKD400)</f>
        <v>0</v>
      </c>
      <c r="AKE2" s="8">
        <f>COUNT(AKF4:AKF400)</f>
        <v>0</v>
      </c>
      <c r="AKG2" s="8">
        <f>COUNT(AKH4:AKH400)</f>
        <v>0</v>
      </c>
      <c r="AKI2" s="8">
        <f>COUNT(AKJ4:AKJ400)</f>
        <v>0</v>
      </c>
      <c r="AKK2" s="8">
        <f>COUNT(AKL4:AKL400)</f>
        <v>0</v>
      </c>
      <c r="AKM2" s="8">
        <f>COUNT(AKN4:AKN400)</f>
        <v>0</v>
      </c>
      <c r="AKO2" s="8">
        <f>COUNT(AKP4:AKP400)</f>
        <v>0</v>
      </c>
      <c r="AKQ2" s="8">
        <f>COUNT(AKR4:AKR400)</f>
        <v>0</v>
      </c>
      <c r="AKS2" s="8">
        <f>COUNT(AKT4:AKT400)</f>
        <v>0</v>
      </c>
      <c r="AKU2" s="8">
        <f>COUNT(AKV4:AKV400)</f>
        <v>0</v>
      </c>
      <c r="AKW2" s="8">
        <f>COUNT(AKX4:AKX400)</f>
        <v>0</v>
      </c>
      <c r="AKY2" s="8">
        <f>COUNT(AKZ4:AKZ400)</f>
        <v>0</v>
      </c>
      <c r="ALA2" s="8">
        <f>COUNT(ALB4:ALB400)</f>
        <v>0</v>
      </c>
      <c r="ALC2" s="8">
        <f>COUNT(ALD4:ALD400)</f>
        <v>0</v>
      </c>
      <c r="ALE2" s="8">
        <f>COUNT(ALF4:ALF400)</f>
        <v>0</v>
      </c>
      <c r="ALG2" s="8">
        <f>COUNT(ALH4:ALH400)</f>
        <v>0</v>
      </c>
      <c r="ALI2" s="8">
        <f>COUNT(ALJ4:ALJ400)</f>
        <v>0</v>
      </c>
      <c r="ALK2" s="8">
        <f>COUNT(ALL4:ALL400)</f>
        <v>0</v>
      </c>
      <c r="ALM2" s="8">
        <f>COUNT(ALN4:ALN400)</f>
        <v>0</v>
      </c>
      <c r="ALO2" s="8">
        <f>COUNT(ALP4:ALP400)</f>
        <v>0</v>
      </c>
      <c r="ALQ2" s="8">
        <f>COUNT(ALR4:ALR400)</f>
        <v>0</v>
      </c>
      <c r="ALS2" s="8">
        <f>COUNT(ALT4:ALT400)</f>
        <v>0</v>
      </c>
      <c r="ALU2" s="8">
        <f>COUNT(ALV4:ALV400)</f>
        <v>0</v>
      </c>
      <c r="ALW2" s="8">
        <f>COUNT(ALX4:ALX400)</f>
        <v>0</v>
      </c>
      <c r="ALY2" s="8">
        <f>COUNT(ALZ4:ALZ400)</f>
        <v>0</v>
      </c>
      <c r="AMA2" s="8">
        <f>COUNT(AMB4:AMB400)</f>
        <v>0</v>
      </c>
      <c r="AMC2" s="8">
        <f>COUNT(AMD4:AMD400)</f>
        <v>0</v>
      </c>
      <c r="AME2" s="8">
        <f>COUNT(AMF4:AMF400)</f>
        <v>0</v>
      </c>
      <c r="AMG2" s="8">
        <f>COUNT(AMH4:AMH400)</f>
        <v>0</v>
      </c>
      <c r="AMI2" s="8">
        <f>COUNT(AMJ4:AMJ400)</f>
        <v>0</v>
      </c>
      <c r="AMK2" s="8">
        <f>COUNT(AML4:AML400)</f>
        <v>0</v>
      </c>
      <c r="AMM2" s="8">
        <f>COUNT(AMN4:AMN400)</f>
        <v>0</v>
      </c>
      <c r="AMO2" s="8">
        <f>COUNT(AMP4:AMP400)</f>
        <v>0</v>
      </c>
      <c r="AMQ2" s="8">
        <f>COUNT(AMR4:AMR400)</f>
        <v>0</v>
      </c>
      <c r="AMS2" s="8">
        <f>COUNT(AMT4:AMT400)</f>
        <v>0</v>
      </c>
      <c r="AMU2" s="8">
        <f>COUNT(AMV4:AMV400)</f>
        <v>0</v>
      </c>
      <c r="AMW2" s="8">
        <f>COUNT(AMX4:AMX400)</f>
        <v>0</v>
      </c>
      <c r="AMY2" s="8">
        <f>COUNT(AMZ4:AMZ400)</f>
        <v>0</v>
      </c>
      <c r="ANA2" s="8">
        <f>COUNT(ANB4:ANB400)</f>
        <v>0</v>
      </c>
      <c r="ANC2" s="8">
        <f>COUNT(AND4:AND400)</f>
        <v>0</v>
      </c>
      <c r="ANE2" s="8">
        <f>COUNT(ANF4:ANF400)</f>
        <v>0</v>
      </c>
      <c r="ANG2" s="8">
        <f>COUNT(ANH4:ANH400)</f>
        <v>0</v>
      </c>
      <c r="ANI2" s="8">
        <f>COUNT(ANJ4:ANJ400)</f>
        <v>0</v>
      </c>
      <c r="ANK2" s="8">
        <f>COUNT(ANL4:ANL400)</f>
        <v>0</v>
      </c>
      <c r="ANM2" s="8">
        <f>COUNT(ANN4:ANN400)</f>
        <v>0</v>
      </c>
      <c r="ANO2" s="8">
        <f>COUNT(ANP4:ANP400)</f>
        <v>0</v>
      </c>
      <c r="ANQ2" s="8">
        <f>COUNT(ANR4:ANR400)</f>
        <v>0</v>
      </c>
      <c r="ANS2" s="8">
        <f>COUNT(ANT4:ANT400)</f>
        <v>0</v>
      </c>
      <c r="ANU2" s="8">
        <f>COUNT(ANV4:ANV400)</f>
        <v>0</v>
      </c>
      <c r="ANW2" s="8">
        <f>COUNT(ANX4:ANX400)</f>
        <v>0</v>
      </c>
      <c r="ANY2" s="8">
        <f>COUNT(ANZ4:ANZ400)</f>
        <v>0</v>
      </c>
      <c r="AOA2" s="8">
        <f>COUNT(AOB4:AOB400)</f>
        <v>0</v>
      </c>
      <c r="AOC2" s="8">
        <f>COUNT(AOD4:AOD400)</f>
        <v>0</v>
      </c>
      <c r="AOE2" s="8">
        <f>COUNT(AOF4:AOF400)</f>
        <v>0</v>
      </c>
      <c r="AOG2" s="8">
        <f>COUNT(AOH4:AOH400)</f>
        <v>0</v>
      </c>
      <c r="AOI2" s="8">
        <f>COUNT(AOJ4:AOJ400)</f>
        <v>0</v>
      </c>
      <c r="AOK2" s="8">
        <f>COUNT(AOL4:AOL400)</f>
        <v>0</v>
      </c>
      <c r="AOM2" s="8">
        <f>COUNT(AON4:AON400)</f>
        <v>0</v>
      </c>
      <c r="AOO2" s="8">
        <f>COUNT(AOP4:AOP400)</f>
        <v>0</v>
      </c>
      <c r="AOQ2" s="8">
        <f>COUNT(AOR4:AOR400)</f>
        <v>0</v>
      </c>
      <c r="AOS2" s="8">
        <f>COUNT(AOT4:AOT400)</f>
        <v>0</v>
      </c>
      <c r="AOU2" s="8">
        <f>COUNT(AOV4:AOV400)</f>
        <v>0</v>
      </c>
      <c r="AOW2" s="8">
        <f>COUNT(AOX4:AOX400)</f>
        <v>0</v>
      </c>
      <c r="AOY2" s="8">
        <f>COUNT(AOZ4:AOZ400)</f>
        <v>0</v>
      </c>
      <c r="APA2" s="8">
        <f>COUNT(APB4:APB400)</f>
        <v>0</v>
      </c>
      <c r="APC2" s="8">
        <f>COUNT(APD4:APD400)</f>
        <v>0</v>
      </c>
      <c r="APE2" s="8">
        <f>COUNT(APF4:APF400)</f>
        <v>0</v>
      </c>
      <c r="APG2" s="8">
        <f>COUNT(APH4:APH400)</f>
        <v>0</v>
      </c>
      <c r="API2" s="8">
        <f>COUNT(APJ4:APJ400)</f>
        <v>0</v>
      </c>
      <c r="APK2" s="8">
        <f>COUNT(APL4:APL400)</f>
        <v>0</v>
      </c>
      <c r="APM2" s="8">
        <f>COUNT(APN4:APN400)</f>
        <v>0</v>
      </c>
      <c r="APO2" s="8">
        <f>COUNT(APP4:APP400)</f>
        <v>0</v>
      </c>
      <c r="APQ2" s="8">
        <f>COUNT(APR4:APR400)</f>
        <v>0</v>
      </c>
      <c r="APS2" s="8">
        <f>COUNT(APT4:APT400)</f>
        <v>0</v>
      </c>
      <c r="APU2" s="8">
        <f>COUNT(APV4:APV400)</f>
        <v>0</v>
      </c>
      <c r="APW2" s="8">
        <f>COUNT(APX4:APX400)</f>
        <v>0</v>
      </c>
      <c r="APY2" s="8">
        <f>COUNT(APZ4:APZ400)</f>
        <v>0</v>
      </c>
      <c r="AQA2" s="8">
        <f>COUNT(AQB4:AQB400)</f>
        <v>0</v>
      </c>
      <c r="AQC2" s="8">
        <f>COUNT(AQD4:AQD400)</f>
        <v>0</v>
      </c>
      <c r="AQE2" s="8">
        <f>COUNT(AQF4:AQF400)</f>
        <v>0</v>
      </c>
      <c r="AQG2" s="8">
        <f>COUNT(AQH4:AQH400)</f>
        <v>0</v>
      </c>
      <c r="AQI2" s="8">
        <f>COUNT(AQJ4:AQJ400)</f>
        <v>0</v>
      </c>
      <c r="AQK2" s="8">
        <f>COUNT(AQL4:AQL400)</f>
        <v>0</v>
      </c>
      <c r="AQM2" s="8">
        <f>COUNT(AQN4:AQN400)</f>
        <v>0</v>
      </c>
      <c r="AQO2" s="8">
        <f>COUNT(AQP4:AQP400)</f>
        <v>0</v>
      </c>
      <c r="AQQ2" s="8">
        <f>COUNT(AQR4:AQR400)</f>
        <v>0</v>
      </c>
      <c r="AQS2" s="8">
        <f>COUNT(AQT4:AQT400)</f>
        <v>0</v>
      </c>
      <c r="AQU2" s="8">
        <f>COUNT(AQV4:AQV400)</f>
        <v>0</v>
      </c>
      <c r="AQW2" s="8">
        <f>COUNT(AQX4:AQX400)</f>
        <v>0</v>
      </c>
      <c r="AQY2" s="8">
        <f>COUNT(AQZ4:AQZ400)</f>
        <v>0</v>
      </c>
      <c r="ARA2" s="8">
        <f>COUNT(ARB4:ARB400)</f>
        <v>0</v>
      </c>
      <c r="ARC2" s="8">
        <f>COUNT(ARD4:ARD400)</f>
        <v>0</v>
      </c>
      <c r="ARE2" s="8">
        <f>COUNT(ARF4:ARF400)</f>
        <v>0</v>
      </c>
      <c r="ARG2" s="8">
        <f>COUNT(ARH4:ARH400)</f>
        <v>0</v>
      </c>
      <c r="ARI2" s="8">
        <f>COUNT(ARJ4:ARJ400)</f>
        <v>0</v>
      </c>
      <c r="ARK2" s="8">
        <f>COUNT(ARL4:ARL400)</f>
        <v>0</v>
      </c>
      <c r="ARM2" s="8">
        <f>COUNT(ARN4:ARN400)</f>
        <v>0</v>
      </c>
      <c r="ARO2" s="8">
        <f>COUNT(ARP4:ARP400)</f>
        <v>0</v>
      </c>
      <c r="ARQ2" s="8">
        <f>COUNT(ARR4:ARR400)</f>
        <v>0</v>
      </c>
      <c r="ARS2" s="8">
        <f>COUNT(ART4:ART400)</f>
        <v>0</v>
      </c>
      <c r="ARU2" s="8">
        <f>COUNT(ARV4:ARV400)</f>
        <v>0</v>
      </c>
      <c r="ARW2" s="8">
        <f>COUNT(ARX4:ARX400)</f>
        <v>0</v>
      </c>
      <c r="ARY2" s="8">
        <f>COUNT(ARZ4:ARZ400)</f>
        <v>0</v>
      </c>
      <c r="ASA2" s="8">
        <f>COUNT(ASB4:ASB400)</f>
        <v>0</v>
      </c>
      <c r="ASC2" s="8">
        <f>COUNT(ASD4:ASD400)</f>
        <v>0</v>
      </c>
      <c r="ASE2" s="8">
        <f>COUNT(ASF4:ASF400)</f>
        <v>0</v>
      </c>
      <c r="ASG2" s="8">
        <f>COUNT(ASH4:ASH400)</f>
        <v>0</v>
      </c>
      <c r="ASI2" s="8">
        <f>COUNT(ASJ4:ASJ400)</f>
        <v>0</v>
      </c>
      <c r="ASK2" s="8">
        <f>COUNT(ASL4:ASL400)</f>
        <v>0</v>
      </c>
      <c r="ASM2" s="8">
        <f>COUNT(ASN4:ASN400)</f>
        <v>0</v>
      </c>
      <c r="ASO2" s="8">
        <f>COUNT(ASP4:ASP400)</f>
        <v>0</v>
      </c>
      <c r="ASQ2" s="8">
        <f>COUNT(ASR4:ASR400)</f>
        <v>0</v>
      </c>
      <c r="ASS2" s="8">
        <f>COUNT(AST4:AST400)</f>
        <v>0</v>
      </c>
      <c r="ASU2" s="8">
        <f>COUNT(ASV4:ASV400)</f>
        <v>0</v>
      </c>
      <c r="ASW2" s="8">
        <f>COUNT(ASX4:ASX400)</f>
        <v>0</v>
      </c>
      <c r="ASY2" s="8">
        <f>COUNT(ASZ4:ASZ400)</f>
        <v>0</v>
      </c>
      <c r="ATA2" s="8">
        <f>COUNT(ATB4:ATB400)</f>
        <v>0</v>
      </c>
      <c r="ATC2" s="8">
        <f>COUNT(ATD4:ATD400)</f>
        <v>0</v>
      </c>
      <c r="ATE2" s="8">
        <f>COUNT(ATF4:ATF400)</f>
        <v>0</v>
      </c>
      <c r="ATG2" s="8">
        <f>COUNT(ATH4:ATH400)</f>
        <v>0</v>
      </c>
      <c r="ATI2" s="8">
        <f>COUNT(ATJ4:ATJ400)</f>
        <v>0</v>
      </c>
      <c r="ATK2" s="8">
        <f>COUNT(ATL4:ATL400)</f>
        <v>0</v>
      </c>
      <c r="ATM2" s="8">
        <f>COUNT(ATN4:ATN400)</f>
        <v>0</v>
      </c>
      <c r="ATO2" s="8">
        <f>COUNT(ATP4:ATP400)</f>
        <v>0</v>
      </c>
      <c r="ATQ2" s="8">
        <f>COUNT(ATR4:ATR400)</f>
        <v>0</v>
      </c>
      <c r="ATS2" s="8">
        <f>COUNT(ATT4:ATT400)</f>
        <v>0</v>
      </c>
      <c r="ATU2" s="8">
        <f>COUNT(ATV4:ATV400)</f>
        <v>0</v>
      </c>
      <c r="ATW2" s="8">
        <f>COUNT(ATX4:ATX400)</f>
        <v>0</v>
      </c>
      <c r="ATY2" s="8">
        <f>COUNT(ATZ4:ATZ400)</f>
        <v>0</v>
      </c>
      <c r="AUA2" s="8">
        <f>COUNT(AUB4:AUB400)</f>
        <v>0</v>
      </c>
      <c r="AUC2" s="8">
        <f>COUNT(AUD4:AUD400)</f>
        <v>0</v>
      </c>
      <c r="AUE2" s="8">
        <f>COUNT(AUF4:AUF400)</f>
        <v>0</v>
      </c>
      <c r="AUG2" s="8">
        <f>COUNT(AUH4:AUH400)</f>
        <v>0</v>
      </c>
      <c r="AUI2" s="8">
        <f>COUNT(AUJ4:AUJ400)</f>
        <v>0</v>
      </c>
      <c r="AUK2" s="8">
        <f>COUNT(AUL4:AUL400)</f>
        <v>0</v>
      </c>
      <c r="AUM2" s="8">
        <f>COUNT(AUN4:AUN400)</f>
        <v>0</v>
      </c>
      <c r="AUO2" s="8">
        <f>COUNT(AUP4:AUP400)</f>
        <v>0</v>
      </c>
      <c r="AUQ2" s="8">
        <f>COUNT(AUR4:AUR400)</f>
        <v>0</v>
      </c>
      <c r="AUS2" s="8">
        <f>COUNT(AUT4:AUT400)</f>
        <v>0</v>
      </c>
      <c r="AUU2" s="8">
        <f>COUNT(AUV4:AUV400)</f>
        <v>0</v>
      </c>
      <c r="AUW2" s="8">
        <f>COUNT(AUX4:AUX400)</f>
        <v>0</v>
      </c>
      <c r="AUY2" s="8">
        <f>COUNT(AUZ4:AUZ400)</f>
        <v>0</v>
      </c>
      <c r="AVA2" s="8">
        <f>COUNT(AVB4:AVB400)</f>
        <v>0</v>
      </c>
      <c r="AVC2" s="8">
        <f>COUNT(AVD4:AVD400)</f>
        <v>0</v>
      </c>
      <c r="AVE2" s="8">
        <f>COUNT(AVF4:AVF400)</f>
        <v>0</v>
      </c>
      <c r="AVG2" s="8">
        <f>COUNT(AVH4:AVH400)</f>
        <v>0</v>
      </c>
      <c r="AVI2" s="8">
        <f>COUNT(AVJ4:AVJ400)</f>
        <v>0</v>
      </c>
      <c r="AVK2" s="8">
        <f>COUNT(AVL4:AVL400)</f>
        <v>0</v>
      </c>
      <c r="AVM2" s="8">
        <f>COUNT(AVN4:AVN400)</f>
        <v>0</v>
      </c>
      <c r="AVO2" s="8">
        <f>COUNT(AVP4:AVP400)</f>
        <v>0</v>
      </c>
      <c r="AVQ2" s="8">
        <f>COUNT(AVR4:AVR400)</f>
        <v>0</v>
      </c>
      <c r="AVS2" s="8">
        <f>COUNT(AVT4:AVT400)</f>
        <v>0</v>
      </c>
      <c r="AVU2" s="8">
        <f>COUNT(AVV4:AVV400)</f>
        <v>0</v>
      </c>
      <c r="AVW2" s="8">
        <f>COUNT(AVX4:AVX400)</f>
        <v>0</v>
      </c>
      <c r="AVY2" s="8">
        <f>COUNT(AVZ4:AVZ400)</f>
        <v>0</v>
      </c>
      <c r="AWA2" s="8">
        <f>COUNT(AWB4:AWB400)</f>
        <v>0</v>
      </c>
      <c r="AWC2" s="8">
        <f>COUNT(AWD4:AWD400)</f>
        <v>0</v>
      </c>
      <c r="AWE2" s="8">
        <f>COUNT(AWF4:AWF400)</f>
        <v>0</v>
      </c>
      <c r="AWG2" s="8">
        <f>COUNT(AWH4:AWH400)</f>
        <v>0</v>
      </c>
      <c r="AWI2" s="8">
        <f>COUNT(AWJ4:AWJ400)</f>
        <v>0</v>
      </c>
      <c r="AWK2" s="8">
        <f>COUNT(AWL4:AWL400)</f>
        <v>0</v>
      </c>
      <c r="AWM2" s="8">
        <f>COUNT(AWN4:AWN400)</f>
        <v>0</v>
      </c>
      <c r="AWO2" s="8">
        <f>COUNT(AWP4:AWP400)</f>
        <v>0</v>
      </c>
      <c r="AWQ2" s="8">
        <f>COUNT(AWR4:AWR400)</f>
        <v>0</v>
      </c>
      <c r="AWS2" s="8">
        <f>COUNT(AWT4:AWT400)</f>
        <v>0</v>
      </c>
      <c r="AWU2" s="8">
        <f>COUNT(AWV4:AWV400)</f>
        <v>0</v>
      </c>
      <c r="AWW2" s="8">
        <f>COUNT(AWX4:AWX400)</f>
        <v>0</v>
      </c>
      <c r="AWY2" s="8">
        <f>COUNT(AWZ4:AWZ400)</f>
        <v>0</v>
      </c>
      <c r="AXA2" s="8">
        <f>COUNT(AXB4:AXB400)</f>
        <v>0</v>
      </c>
      <c r="AXC2" s="8">
        <f>COUNT(AXD4:AXD400)</f>
        <v>0</v>
      </c>
      <c r="AXE2" s="8">
        <f>COUNT(AXF4:AXF400)</f>
        <v>0</v>
      </c>
      <c r="AXG2" s="8">
        <f>COUNT(AXH4:AXH400)</f>
        <v>0</v>
      </c>
      <c r="AXI2" s="8">
        <f>COUNT(AXJ4:AXJ400)</f>
        <v>0</v>
      </c>
      <c r="AXK2" s="8">
        <f>COUNT(AXL4:AXL400)</f>
        <v>0</v>
      </c>
      <c r="AXM2" s="8">
        <f>COUNT(AXN4:AXN400)</f>
        <v>0</v>
      </c>
      <c r="AXO2" s="8">
        <f>COUNT(AXP4:AXP400)</f>
        <v>0</v>
      </c>
      <c r="AXQ2" s="8">
        <f>COUNT(AXR4:AXR400)</f>
        <v>0</v>
      </c>
      <c r="AXS2" s="8">
        <f>COUNT(AXT4:AXT400)</f>
        <v>0</v>
      </c>
      <c r="AXU2" s="8">
        <f>COUNT(AXV4:AXV400)</f>
        <v>0</v>
      </c>
      <c r="AXW2" s="8">
        <f>COUNT(AXX4:AXX400)</f>
        <v>0</v>
      </c>
      <c r="AXY2" s="8">
        <f>COUNT(AXZ4:AXZ400)</f>
        <v>0</v>
      </c>
      <c r="AYA2" s="8">
        <f>COUNT(AYB4:AYB400)</f>
        <v>0</v>
      </c>
      <c r="AYC2" s="8">
        <f>COUNT(AYD4:AYD400)</f>
        <v>0</v>
      </c>
      <c r="AYE2" s="8">
        <f>COUNT(AYF4:AYF400)</f>
        <v>0</v>
      </c>
      <c r="AYG2" s="8">
        <f>COUNT(AYH4:AYH400)</f>
        <v>0</v>
      </c>
      <c r="AYI2" s="8">
        <f>COUNT(AYJ4:AYJ400)</f>
        <v>0</v>
      </c>
      <c r="AYK2" s="8">
        <f>COUNT(AYL4:AYL400)</f>
        <v>0</v>
      </c>
      <c r="AYM2" s="8">
        <f>COUNT(AYN4:AYN400)</f>
        <v>0</v>
      </c>
      <c r="AYO2" s="8">
        <f>COUNT(AYP4:AYP400)</f>
        <v>0</v>
      </c>
      <c r="AYQ2" s="8">
        <f>COUNT(AYR4:AYR400)</f>
        <v>0</v>
      </c>
      <c r="AYS2" s="8">
        <f>COUNT(AYT4:AYT400)</f>
        <v>0</v>
      </c>
      <c r="AYU2" s="8">
        <f>COUNT(AYV4:AYV400)</f>
        <v>0</v>
      </c>
      <c r="AYW2" s="8">
        <f>COUNT(AYX4:AYX400)</f>
        <v>0</v>
      </c>
      <c r="AYY2" s="8">
        <f>COUNT(AYZ4:AYZ400)</f>
        <v>0</v>
      </c>
      <c r="AZA2" s="8">
        <f>COUNT(AZB4:AZB400)</f>
        <v>0</v>
      </c>
      <c r="AZC2" s="8">
        <f>COUNT(AZD4:AZD400)</f>
        <v>0</v>
      </c>
      <c r="AZE2" s="8">
        <f>COUNT(AZF4:AZF400)</f>
        <v>0</v>
      </c>
      <c r="AZG2" s="8">
        <f>COUNT(AZH4:AZH400)</f>
        <v>0</v>
      </c>
      <c r="AZI2" s="8">
        <f>COUNT(AZJ4:AZJ400)</f>
        <v>0</v>
      </c>
      <c r="AZK2" s="8">
        <f>COUNT(AZL4:AZL400)</f>
        <v>0</v>
      </c>
      <c r="AZM2" s="8">
        <f>COUNT(AZN4:AZN400)</f>
        <v>0</v>
      </c>
      <c r="AZO2" s="8">
        <f>COUNT(AZP4:AZP400)</f>
        <v>0</v>
      </c>
      <c r="AZQ2" s="8">
        <f>COUNT(AZR4:AZR400)</f>
        <v>0</v>
      </c>
      <c r="AZS2" s="8">
        <f>COUNT(AZT4:AZT400)</f>
        <v>0</v>
      </c>
      <c r="AZU2" s="8">
        <f>COUNT(AZV4:AZV400)</f>
        <v>0</v>
      </c>
      <c r="AZW2" s="8">
        <f>COUNT(AZX4:AZX400)</f>
        <v>0</v>
      </c>
      <c r="AZY2" s="8">
        <f>COUNT(AZZ4:AZZ400)</f>
        <v>0</v>
      </c>
      <c r="BAA2" s="8">
        <f>COUNT(BAB4:BAB400)</f>
        <v>0</v>
      </c>
      <c r="BAC2" s="8">
        <f>COUNT(BAD4:BAD400)</f>
        <v>0</v>
      </c>
      <c r="BAE2" s="8">
        <f>COUNT(BAF4:BAF400)</f>
        <v>0</v>
      </c>
      <c r="BAG2" s="8">
        <f>COUNT(BAH4:BAH400)</f>
        <v>0</v>
      </c>
      <c r="BAI2" s="8">
        <f>COUNT(BAJ4:BAJ400)</f>
        <v>0</v>
      </c>
      <c r="BAK2" s="8">
        <f>COUNT(BAL4:BAL400)</f>
        <v>0</v>
      </c>
      <c r="BAM2" s="8">
        <f>COUNT(BAN4:BAN400)</f>
        <v>0</v>
      </c>
      <c r="BAO2" s="8">
        <f>COUNT(BAP4:BAP400)</f>
        <v>0</v>
      </c>
      <c r="BAQ2" s="8">
        <f>COUNT(BAR4:BAR400)</f>
        <v>0</v>
      </c>
      <c r="BAS2" s="8">
        <f>COUNT(BAT4:BAT400)</f>
        <v>0</v>
      </c>
      <c r="BAU2" s="8">
        <f>COUNT(BAV4:BAV400)</f>
        <v>0</v>
      </c>
      <c r="BAW2" s="8">
        <f>COUNT(BAX4:BAX400)</f>
        <v>0</v>
      </c>
      <c r="BAY2" s="8">
        <f>COUNT(BAZ4:BAZ400)</f>
        <v>0</v>
      </c>
      <c r="BBA2" s="8">
        <f>COUNT(BBB4:BBB400)</f>
        <v>0</v>
      </c>
      <c r="BBC2" s="8">
        <f>COUNT(BBD4:BBD400)</f>
        <v>0</v>
      </c>
      <c r="BBE2" s="8">
        <f>COUNT(BBF4:BBF400)</f>
        <v>0</v>
      </c>
      <c r="BBG2" s="8">
        <f>COUNT(BBH4:BBH400)</f>
        <v>0</v>
      </c>
      <c r="BBI2" s="8">
        <f>COUNT(BBJ4:BBJ400)</f>
        <v>0</v>
      </c>
      <c r="BBK2" s="8">
        <f>COUNT(BBL4:BBL400)</f>
        <v>0</v>
      </c>
      <c r="BBM2" s="8">
        <f>COUNT(BBN4:BBN400)</f>
        <v>0</v>
      </c>
      <c r="BBO2" s="8">
        <f>COUNT(BBP4:BBP400)</f>
        <v>0</v>
      </c>
      <c r="BBQ2" s="8">
        <f>COUNT(BBR4:BBR400)</f>
        <v>0</v>
      </c>
      <c r="BBS2" s="8">
        <f>COUNT(BBT4:BBT400)</f>
        <v>0</v>
      </c>
      <c r="BBU2" s="8">
        <f>COUNT(BBV4:BBV400)</f>
        <v>0</v>
      </c>
      <c r="BBW2" s="8">
        <f>COUNT(BBX4:BBX400)</f>
        <v>0</v>
      </c>
      <c r="BBY2" s="8">
        <f>COUNT(BBZ4:BBZ400)</f>
        <v>0</v>
      </c>
      <c r="BCA2" s="8">
        <f>COUNT(BCB4:BCB400)</f>
        <v>0</v>
      </c>
      <c r="BCC2" s="8">
        <f>COUNT(BCD4:BCD400)</f>
        <v>0</v>
      </c>
      <c r="BCE2" s="8">
        <f>COUNT(BCF4:BCF400)</f>
        <v>0</v>
      </c>
      <c r="BCG2" s="8">
        <f>COUNT(BCH4:BCH400)</f>
        <v>0</v>
      </c>
      <c r="BCI2" s="8">
        <f>COUNT(BCJ4:BCJ400)</f>
        <v>0</v>
      </c>
      <c r="BCK2" s="8">
        <f>COUNT(BCL4:BCL400)</f>
        <v>0</v>
      </c>
      <c r="BCM2" s="8">
        <f>COUNT(BCN4:BCN400)</f>
        <v>0</v>
      </c>
      <c r="BCO2" s="8">
        <f>COUNT(BCP4:BCP400)</f>
        <v>0</v>
      </c>
      <c r="BCQ2" s="8">
        <f>COUNT(BCR4:BCR400)</f>
        <v>0</v>
      </c>
      <c r="BCS2" s="8">
        <f>COUNT(BCT4:BCT400)</f>
        <v>0</v>
      </c>
      <c r="BCU2" s="8">
        <f>COUNT(BCV4:BCV400)</f>
        <v>0</v>
      </c>
      <c r="BCW2" s="8">
        <f>COUNT(BCX4:BCX400)</f>
        <v>0</v>
      </c>
      <c r="BCY2" s="8">
        <f>COUNT(BCZ4:BCZ400)</f>
        <v>0</v>
      </c>
      <c r="BDA2" s="8">
        <f>COUNT(BDB4:BDB400)</f>
        <v>0</v>
      </c>
      <c r="BDC2" s="8">
        <f>COUNT(BDD4:BDD400)</f>
        <v>0</v>
      </c>
      <c r="BDE2" s="8">
        <f>COUNT(BDF4:BDF400)</f>
        <v>0</v>
      </c>
      <c r="BDG2" s="8">
        <f>COUNT(BDH4:BDH400)</f>
        <v>0</v>
      </c>
      <c r="BDI2" s="8">
        <f>COUNT(BDJ4:BDJ400)</f>
        <v>0</v>
      </c>
      <c r="BDK2" s="8">
        <f>COUNT(BDL4:BDL400)</f>
        <v>0</v>
      </c>
      <c r="BDM2" s="8">
        <f>COUNT(BDN4:BDN400)</f>
        <v>0</v>
      </c>
      <c r="BDO2" s="8">
        <f>COUNT(BDP4:BDP400)</f>
        <v>0</v>
      </c>
      <c r="BDQ2" s="8">
        <f>COUNT(BDR4:BDR400)</f>
        <v>0</v>
      </c>
      <c r="BDS2" s="8">
        <f>COUNT(BDT4:BDT400)</f>
        <v>0</v>
      </c>
      <c r="BDU2" s="8">
        <f>COUNT(BDV4:BDV400)</f>
        <v>0</v>
      </c>
      <c r="BDW2" s="8">
        <f>COUNT(BDX4:BDX400)</f>
        <v>0</v>
      </c>
      <c r="BDY2" s="8">
        <f>COUNT(BDZ4:BDZ400)</f>
        <v>0</v>
      </c>
      <c r="BEA2" s="8">
        <f>COUNT(BEB4:BEB400)</f>
        <v>0</v>
      </c>
      <c r="BEC2" s="8">
        <f>COUNT(BED4:BED400)</f>
        <v>0</v>
      </c>
      <c r="BEE2" s="8">
        <f>COUNT(BEF4:BEF400)</f>
        <v>0</v>
      </c>
      <c r="BEG2" s="8">
        <f>COUNT(BEH4:BEH400)</f>
        <v>0</v>
      </c>
      <c r="BEI2" s="8">
        <f>COUNT(BEJ4:BEJ400)</f>
        <v>0</v>
      </c>
      <c r="BEK2" s="8">
        <f>COUNT(BEL4:BEL400)</f>
        <v>0</v>
      </c>
      <c r="BEM2" s="8">
        <f>COUNT(BEN4:BEN400)</f>
        <v>0</v>
      </c>
      <c r="BEO2" s="8">
        <f>COUNT(BEP4:BEP400)</f>
        <v>0</v>
      </c>
      <c r="BEQ2" s="8">
        <f>COUNT(BER4:BER400)</f>
        <v>0</v>
      </c>
      <c r="BES2" s="8">
        <f>COUNT(BET4:BET400)</f>
        <v>0</v>
      </c>
      <c r="BEU2" s="8">
        <f>COUNT(BEV4:BEV400)</f>
        <v>0</v>
      </c>
      <c r="BEW2" s="8">
        <f>COUNT(BEX4:BEX400)</f>
        <v>0</v>
      </c>
      <c r="BEY2" s="8">
        <f>COUNT(BEZ4:BEZ400)</f>
        <v>0</v>
      </c>
      <c r="BFA2" s="8">
        <f>COUNT(BFB4:BFB400)</f>
        <v>0</v>
      </c>
      <c r="BFC2" s="8">
        <f>COUNT(BFD4:BFD400)</f>
        <v>0</v>
      </c>
      <c r="BFE2" s="8">
        <f>COUNT(BFF4:BFF400)</f>
        <v>0</v>
      </c>
      <c r="BFG2" s="8">
        <f>COUNT(BFH4:BFH400)</f>
        <v>0</v>
      </c>
      <c r="BFI2" s="8">
        <f>COUNT(BFJ4:BFJ400)</f>
        <v>0</v>
      </c>
      <c r="BFK2" s="8">
        <f>COUNT(BFL4:BFL400)</f>
        <v>0</v>
      </c>
      <c r="BFM2" s="8">
        <f>COUNT(BFN4:BFN400)</f>
        <v>0</v>
      </c>
      <c r="BFO2" s="8">
        <f>COUNT(BFP4:BFP400)</f>
        <v>0</v>
      </c>
      <c r="BFQ2" s="8">
        <f>COUNT(BFR4:BFR400)</f>
        <v>0</v>
      </c>
      <c r="BFS2" s="8">
        <f>COUNT(BFT4:BFT400)</f>
        <v>0</v>
      </c>
      <c r="BFU2" s="8">
        <f>COUNT(BFV4:BFV400)</f>
        <v>0</v>
      </c>
      <c r="BFW2" s="8">
        <f>COUNT(BFX4:BFX400)</f>
        <v>0</v>
      </c>
      <c r="BFY2" s="8">
        <f>COUNT(BFZ4:BFZ400)</f>
        <v>0</v>
      </c>
      <c r="BGA2" s="8">
        <f>COUNT(BGB4:BGB400)</f>
        <v>0</v>
      </c>
      <c r="BGC2" s="8">
        <f>COUNT(BGD4:BGD400)</f>
        <v>0</v>
      </c>
      <c r="BGE2" s="8">
        <f>COUNT(BGF4:BGF400)</f>
        <v>0</v>
      </c>
      <c r="BGG2" s="8">
        <f>COUNT(BGH4:BGH400)</f>
        <v>0</v>
      </c>
      <c r="BGI2" s="8">
        <f>COUNT(BGJ4:BGJ400)</f>
        <v>0</v>
      </c>
      <c r="BGK2" s="8">
        <f>COUNT(BGL4:BGL400)</f>
        <v>0</v>
      </c>
      <c r="BGM2" s="8">
        <f>COUNT(BGN4:BGN400)</f>
        <v>0</v>
      </c>
      <c r="BGO2" s="8">
        <f>COUNT(BGP4:BGP400)</f>
        <v>0</v>
      </c>
      <c r="BGQ2" s="8">
        <f>COUNT(BGR4:BGR400)</f>
        <v>0</v>
      </c>
      <c r="BGS2" s="8">
        <f>COUNT(BGT4:BGT400)</f>
        <v>0</v>
      </c>
      <c r="BGU2" s="8">
        <f>COUNT(BGV4:BGV400)</f>
        <v>0</v>
      </c>
      <c r="BGW2" s="8">
        <f>COUNT(BGX4:BGX400)</f>
        <v>0</v>
      </c>
      <c r="BGY2" s="8">
        <f>COUNT(BGZ4:BGZ400)</f>
        <v>0</v>
      </c>
      <c r="BHA2" s="8">
        <f>COUNT(BHB4:BHB400)</f>
        <v>0</v>
      </c>
      <c r="BHC2" s="8">
        <f>COUNT(BHD4:BHD400)</f>
        <v>0</v>
      </c>
      <c r="BHE2" s="8">
        <f>COUNT(BHF4:BHF400)</f>
        <v>0</v>
      </c>
      <c r="BHG2" s="8">
        <f>COUNT(BHH4:BHH400)</f>
        <v>0</v>
      </c>
      <c r="BHI2" s="8">
        <f>COUNT(BHJ4:BHJ400)</f>
        <v>0</v>
      </c>
      <c r="BHK2" s="8">
        <f>COUNT(BHL4:BHL400)</f>
        <v>0</v>
      </c>
      <c r="BHM2" s="8">
        <f>COUNT(BHN4:BHN400)</f>
        <v>0</v>
      </c>
      <c r="BHO2" s="8">
        <f>COUNT(BHP4:BHP400)</f>
        <v>0</v>
      </c>
      <c r="BHQ2" s="8">
        <f>COUNT(BHR4:BHR400)</f>
        <v>0</v>
      </c>
      <c r="BHS2" s="8">
        <f>COUNT(BHT4:BHT400)</f>
        <v>0</v>
      </c>
      <c r="BHU2" s="8">
        <f>COUNT(BHV4:BHV400)</f>
        <v>0</v>
      </c>
      <c r="BHW2" s="8">
        <f>COUNT(BHX4:BHX400)</f>
        <v>0</v>
      </c>
      <c r="BHY2" s="8">
        <f>COUNT(BHZ4:BHZ400)</f>
        <v>0</v>
      </c>
      <c r="BIA2" s="8">
        <f>COUNT(BIB4:BIB400)</f>
        <v>0</v>
      </c>
      <c r="BIC2" s="8">
        <f>COUNT(BID4:BID400)</f>
        <v>0</v>
      </c>
      <c r="BIE2" s="8">
        <f>COUNT(BIF4:BIF400)</f>
        <v>0</v>
      </c>
      <c r="BIG2" s="8">
        <f>COUNT(BIH4:BIH400)</f>
        <v>0</v>
      </c>
      <c r="BII2" s="8">
        <f>COUNT(BIJ4:BIJ400)</f>
        <v>0</v>
      </c>
      <c r="BIK2" s="8">
        <f>COUNT(BIL4:BIL400)</f>
        <v>0</v>
      </c>
      <c r="BIM2" s="8">
        <f>COUNT(BIN4:BIN400)</f>
        <v>0</v>
      </c>
      <c r="BIO2" s="8">
        <f>COUNT(BIP4:BIP400)</f>
        <v>0</v>
      </c>
      <c r="BIQ2" s="8">
        <f>COUNT(BIR4:BIR400)</f>
        <v>0</v>
      </c>
      <c r="BIS2" s="8">
        <f>COUNT(BIT4:BIT400)</f>
        <v>0</v>
      </c>
      <c r="BIU2" s="8">
        <f>COUNT(BIV4:BIV400)</f>
        <v>0</v>
      </c>
      <c r="BIW2" s="8">
        <f>COUNT(BIX4:BIX400)</f>
        <v>0</v>
      </c>
      <c r="BIY2" s="8">
        <f>COUNT(BIZ4:BIZ400)</f>
        <v>0</v>
      </c>
      <c r="BJA2" s="8">
        <f>COUNT(BJB4:BJB400)</f>
        <v>0</v>
      </c>
      <c r="BJC2" s="8">
        <f>COUNT(BJD4:BJD400)</f>
        <v>0</v>
      </c>
      <c r="BJE2" s="8">
        <f>COUNT(BJF4:BJF400)</f>
        <v>0</v>
      </c>
      <c r="BJG2" s="8">
        <f>COUNT(BJH4:BJH400)</f>
        <v>0</v>
      </c>
      <c r="BJI2" s="8">
        <f>COUNT(BJJ4:BJJ400)</f>
        <v>0</v>
      </c>
      <c r="BJK2" s="8">
        <f>COUNT(BJL4:BJL400)</f>
        <v>0</v>
      </c>
      <c r="BJM2" s="8">
        <f>COUNT(BJN4:BJN400)</f>
        <v>0</v>
      </c>
      <c r="BJO2" s="8">
        <f>COUNT(BJP4:BJP400)</f>
        <v>0</v>
      </c>
      <c r="BJQ2" s="8">
        <f>COUNT(BJR4:BJR400)</f>
        <v>0</v>
      </c>
      <c r="BJS2" s="8">
        <f>COUNT(BJT4:BJT400)</f>
        <v>0</v>
      </c>
      <c r="BJU2" s="8">
        <f>COUNT(BJV4:BJV400)</f>
        <v>0</v>
      </c>
      <c r="BJW2" s="8">
        <f>COUNT(BJX4:BJX400)</f>
        <v>0</v>
      </c>
      <c r="BJY2" s="8">
        <f>COUNT(BJZ4:BJZ400)</f>
        <v>0</v>
      </c>
      <c r="BKA2" s="8">
        <f>COUNT(BKB4:BKB400)</f>
        <v>0</v>
      </c>
      <c r="BKC2" s="8">
        <f>COUNT(BKD4:BKD400)</f>
        <v>0</v>
      </c>
      <c r="BKE2" s="8">
        <f>COUNT(BKF4:BKF400)</f>
        <v>0</v>
      </c>
      <c r="BKG2" s="8">
        <f>COUNT(BKH4:BKH400)</f>
        <v>0</v>
      </c>
      <c r="BKI2" s="8">
        <f>COUNT(BKJ4:BKJ400)</f>
        <v>0</v>
      </c>
      <c r="BKK2" s="8">
        <f>COUNT(BKL4:BKL400)</f>
        <v>0</v>
      </c>
      <c r="BKM2" s="8">
        <f>COUNT(BKN4:BKN400)</f>
        <v>0</v>
      </c>
      <c r="BKO2" s="8">
        <f>COUNT(BKP4:BKP400)</f>
        <v>0</v>
      </c>
      <c r="BKQ2" s="8">
        <f>COUNT(BKR4:BKR400)</f>
        <v>0</v>
      </c>
      <c r="BKS2" s="8">
        <f>COUNT(BKT4:BKT400)</f>
        <v>0</v>
      </c>
      <c r="BKU2" s="8">
        <f>COUNT(BKV4:BKV400)</f>
        <v>0</v>
      </c>
      <c r="BKW2" s="8">
        <f>COUNT(BKX4:BKX400)</f>
        <v>0</v>
      </c>
      <c r="BKY2" s="8">
        <f>COUNT(BKZ4:BKZ400)</f>
        <v>0</v>
      </c>
      <c r="BLA2" s="8">
        <f>COUNT(BLB4:BLB400)</f>
        <v>0</v>
      </c>
      <c r="BLC2" s="8">
        <f>COUNT(BLD4:BLD400)</f>
        <v>0</v>
      </c>
      <c r="BLE2" s="8">
        <f>COUNT(BLF4:BLF400)</f>
        <v>0</v>
      </c>
      <c r="BLG2" s="8">
        <f>COUNT(BLH4:BLH400)</f>
        <v>0</v>
      </c>
      <c r="BLI2" s="8">
        <f>COUNT(BLJ4:BLJ400)</f>
        <v>0</v>
      </c>
      <c r="BLK2" s="8">
        <f>COUNT(BLL4:BLL400)</f>
        <v>0</v>
      </c>
      <c r="BLM2" s="8">
        <f>COUNT(BLN4:BLN400)</f>
        <v>0</v>
      </c>
      <c r="BLO2" s="8">
        <f>COUNT(BLP4:BLP400)</f>
        <v>0</v>
      </c>
      <c r="BLQ2" s="8">
        <f>COUNT(BLR4:BLR400)</f>
        <v>0</v>
      </c>
      <c r="BLS2" s="8">
        <f>COUNT(BLT4:BLT400)</f>
        <v>0</v>
      </c>
      <c r="BLU2" s="8">
        <f>COUNT(BLV4:BLV400)</f>
        <v>0</v>
      </c>
      <c r="BLW2" s="8">
        <f>COUNT(BLX4:BLX400)</f>
        <v>0</v>
      </c>
      <c r="BLY2" s="8">
        <f>COUNT(BLZ4:BLZ400)</f>
        <v>0</v>
      </c>
      <c r="BMA2" s="8">
        <f>COUNT(BMB4:BMB400)</f>
        <v>0</v>
      </c>
      <c r="BMC2" s="8">
        <f>COUNT(BMD4:BMD400)</f>
        <v>0</v>
      </c>
      <c r="BME2" s="8">
        <f>COUNT(BMF4:BMF400)</f>
        <v>0</v>
      </c>
      <c r="BMG2" s="8">
        <f>COUNT(BMH4:BMH400)</f>
        <v>0</v>
      </c>
      <c r="BMI2" s="8">
        <f>COUNT(BMJ4:BMJ400)</f>
        <v>0</v>
      </c>
      <c r="BMK2" s="8">
        <f>COUNT(BML4:BML400)</f>
        <v>0</v>
      </c>
      <c r="BMM2" s="8">
        <f>COUNT(BMN4:BMN400)</f>
        <v>0</v>
      </c>
      <c r="BMO2" s="8">
        <f>COUNT(BMP4:BMP400)</f>
        <v>0</v>
      </c>
      <c r="BMQ2" s="8">
        <f>COUNT(BMR4:BMR400)</f>
        <v>0</v>
      </c>
      <c r="BMS2" s="8">
        <f>COUNT(BMT4:BMT400)</f>
        <v>0</v>
      </c>
      <c r="BMU2" s="8">
        <f>COUNT(BMV4:BMV400)</f>
        <v>0</v>
      </c>
      <c r="BMW2" s="8">
        <f>COUNT(BMX4:BMX400)</f>
        <v>0</v>
      </c>
      <c r="BMY2" s="8">
        <f>COUNT(BMZ4:BMZ400)</f>
        <v>0</v>
      </c>
      <c r="BNA2" s="8">
        <f>COUNT(BNB4:BNB400)</f>
        <v>0</v>
      </c>
      <c r="BNC2" s="8">
        <f>COUNT(BND4:BND400)</f>
        <v>0</v>
      </c>
      <c r="BNE2" s="8">
        <f>COUNT(BNF4:BNF400)</f>
        <v>0</v>
      </c>
      <c r="BNG2" s="8">
        <f>COUNT(BNH4:BNH400)</f>
        <v>0</v>
      </c>
      <c r="BNI2" s="8">
        <f>COUNT(BNJ4:BNJ400)</f>
        <v>0</v>
      </c>
      <c r="BNK2" s="8">
        <f>COUNT(BNL4:BNL400)</f>
        <v>0</v>
      </c>
      <c r="BNM2" s="8">
        <f>COUNT(BNN4:BNN400)</f>
        <v>0</v>
      </c>
      <c r="BNO2" s="8">
        <f>COUNT(BNP4:BNP400)</f>
        <v>0</v>
      </c>
      <c r="BNQ2" s="8">
        <f>COUNT(BNR4:BNR400)</f>
        <v>0</v>
      </c>
      <c r="BNS2" s="8">
        <f>COUNT(BNT4:BNT400)</f>
        <v>0</v>
      </c>
      <c r="BNU2" s="8">
        <f>COUNT(BNV4:BNV400)</f>
        <v>0</v>
      </c>
      <c r="BNW2" s="8">
        <f>COUNT(BNX4:BNX400)</f>
        <v>0</v>
      </c>
      <c r="BNY2" s="8">
        <f>COUNT(BNZ4:BNZ400)</f>
        <v>0</v>
      </c>
      <c r="BOA2" s="8">
        <f>COUNT(BOB4:BOB400)</f>
        <v>0</v>
      </c>
      <c r="BOC2" s="8">
        <f>COUNT(BOD4:BOD400)</f>
        <v>0</v>
      </c>
      <c r="BOE2" s="8">
        <f>COUNT(BOF4:BOF400)</f>
        <v>0</v>
      </c>
      <c r="BOG2" s="8">
        <f>COUNT(BOH4:BOH400)</f>
        <v>0</v>
      </c>
      <c r="BOI2" s="8">
        <f>COUNT(BOJ4:BOJ400)</f>
        <v>0</v>
      </c>
      <c r="BOK2" s="8">
        <f>COUNT(BOL4:BOL400)</f>
        <v>0</v>
      </c>
      <c r="BOM2" s="8">
        <f>COUNT(BON4:BON400)</f>
        <v>0</v>
      </c>
      <c r="BOO2" s="8">
        <f>COUNT(BOP4:BOP400)</f>
        <v>0</v>
      </c>
      <c r="BOQ2" s="8">
        <f>COUNT(BOR4:BOR400)</f>
        <v>0</v>
      </c>
      <c r="BOS2" s="8">
        <f>COUNT(BOT4:BOT400)</f>
        <v>0</v>
      </c>
      <c r="BOU2" s="8">
        <f>COUNT(BOV4:BOV400)</f>
        <v>0</v>
      </c>
      <c r="BOW2" s="8">
        <f>COUNT(BOX4:BOX400)</f>
        <v>0</v>
      </c>
      <c r="BOY2" s="8">
        <f>COUNT(BOZ4:BOZ400)</f>
        <v>0</v>
      </c>
      <c r="BPA2" s="8">
        <f>COUNT(BPB4:BPB400)</f>
        <v>0</v>
      </c>
      <c r="BPC2" s="8">
        <f>COUNT(BPD4:BPD400)</f>
        <v>0</v>
      </c>
      <c r="BPE2" s="8">
        <f>COUNT(BPF4:BPF400)</f>
        <v>0</v>
      </c>
      <c r="BPG2" s="8">
        <f>COUNT(BPH4:BPH400)</f>
        <v>0</v>
      </c>
      <c r="BPI2" s="8">
        <f>COUNT(BPJ4:BPJ400)</f>
        <v>0</v>
      </c>
      <c r="BPK2" s="8">
        <f>COUNT(BPL4:BPL400)</f>
        <v>0</v>
      </c>
      <c r="BPM2" s="8">
        <f>COUNT(BPN4:BPN400)</f>
        <v>0</v>
      </c>
      <c r="BPO2" s="8">
        <f>COUNT(BPP4:BPP400)</f>
        <v>0</v>
      </c>
      <c r="BPQ2" s="8">
        <f>COUNT(BPR4:BPR400)</f>
        <v>0</v>
      </c>
      <c r="BPS2" s="8">
        <f>COUNT(BPT4:BPT400)</f>
        <v>0</v>
      </c>
      <c r="BPU2" s="8">
        <f>COUNT(BPV4:BPV400)</f>
        <v>0</v>
      </c>
      <c r="BPW2" s="8">
        <f>COUNT(BPX4:BPX400)</f>
        <v>0</v>
      </c>
      <c r="BPY2" s="8">
        <f>COUNT(BPZ4:BPZ400)</f>
        <v>0</v>
      </c>
      <c r="BQA2" s="8">
        <f>COUNT(BQB4:BQB400)</f>
        <v>0</v>
      </c>
      <c r="BQC2" s="8">
        <f>COUNT(BQD4:BQD400)</f>
        <v>0</v>
      </c>
      <c r="BQE2" s="8">
        <f>COUNT(BQF4:BQF400)</f>
        <v>0</v>
      </c>
      <c r="BQG2" s="8">
        <f>COUNT(BQH4:BQH400)</f>
        <v>0</v>
      </c>
      <c r="BQI2" s="8">
        <f>COUNT(BQJ4:BQJ400)</f>
        <v>0</v>
      </c>
      <c r="BQK2" s="8">
        <f>COUNT(BQL4:BQL400)</f>
        <v>0</v>
      </c>
      <c r="BQM2" s="8">
        <f>COUNT(BQN4:BQN400)</f>
        <v>0</v>
      </c>
      <c r="BQO2" s="8">
        <f>COUNT(BQP4:BQP400)</f>
        <v>0</v>
      </c>
      <c r="BQQ2" s="8">
        <f>COUNT(BQR4:BQR400)</f>
        <v>0</v>
      </c>
      <c r="BQS2" s="8">
        <f>COUNT(BQT4:BQT400)</f>
        <v>0</v>
      </c>
      <c r="BQU2" s="8">
        <f>COUNT(BQV4:BQV400)</f>
        <v>0</v>
      </c>
      <c r="BQW2" s="8">
        <f>COUNT(BQX4:BQX400)</f>
        <v>0</v>
      </c>
      <c r="BQY2" s="8">
        <f>COUNT(BQZ4:BQZ400)</f>
        <v>0</v>
      </c>
      <c r="BRA2" s="8">
        <f>COUNT(BRB4:BRB400)</f>
        <v>0</v>
      </c>
      <c r="BRC2" s="8">
        <f>COUNT(BRD4:BRD400)</f>
        <v>0</v>
      </c>
      <c r="BRE2" s="8">
        <f>COUNT(BRF4:BRF400)</f>
        <v>0</v>
      </c>
      <c r="BRG2" s="8">
        <f>COUNT(BRH4:BRH400)</f>
        <v>0</v>
      </c>
      <c r="BRI2" s="8">
        <f>COUNT(BRJ4:BRJ400)</f>
        <v>0</v>
      </c>
      <c r="BRK2" s="8">
        <f>COUNT(BRL4:BRL400)</f>
        <v>0</v>
      </c>
      <c r="BRM2" s="8">
        <f>COUNT(BRN4:BRN400)</f>
        <v>0</v>
      </c>
      <c r="BRO2" s="8">
        <f>COUNT(BRP4:BRP400)</f>
        <v>0</v>
      </c>
      <c r="BRQ2" s="8">
        <f>COUNT(BRR4:BRR400)</f>
        <v>0</v>
      </c>
      <c r="BRS2" s="8">
        <f>COUNT(BRT4:BRT400)</f>
        <v>0</v>
      </c>
      <c r="BRU2" s="8">
        <f>COUNT(BRV4:BRV400)</f>
        <v>0</v>
      </c>
      <c r="BRW2" s="8">
        <f>COUNT(BRX4:BRX400)</f>
        <v>0</v>
      </c>
      <c r="BRY2" s="8">
        <f>COUNT(BRZ4:BRZ400)</f>
        <v>0</v>
      </c>
      <c r="BSA2" s="8">
        <f>COUNT(BSB4:BSB400)</f>
        <v>0</v>
      </c>
      <c r="BSC2" s="8">
        <f>COUNT(BSD4:BSD400)</f>
        <v>0</v>
      </c>
      <c r="BSE2" s="8">
        <f>COUNT(BSF4:BSF400)</f>
        <v>0</v>
      </c>
      <c r="BSG2" s="8">
        <f>COUNT(BSH4:BSH400)</f>
        <v>0</v>
      </c>
      <c r="BSI2" s="8">
        <f>COUNT(BSJ4:BSJ400)</f>
        <v>0</v>
      </c>
      <c r="BSK2" s="8">
        <f>COUNT(BSL4:BSL400)</f>
        <v>0</v>
      </c>
      <c r="BSM2" s="8">
        <f>COUNT(BSN4:BSN400)</f>
        <v>0</v>
      </c>
      <c r="BSO2" s="8">
        <f>COUNT(BSP4:BSP400)</f>
        <v>0</v>
      </c>
      <c r="BSQ2" s="8">
        <f>COUNT(BSR4:BSR400)</f>
        <v>0</v>
      </c>
      <c r="BSS2" s="8">
        <f>COUNT(BST4:BST400)</f>
        <v>0</v>
      </c>
      <c r="BSU2" s="8">
        <f>COUNT(BSV4:BSV400)</f>
        <v>0</v>
      </c>
      <c r="BSW2" s="8">
        <f>COUNT(BSX4:BSX400)</f>
        <v>0</v>
      </c>
      <c r="BSY2" s="8">
        <f>COUNT(BSZ4:BSZ400)</f>
        <v>0</v>
      </c>
      <c r="BTA2" s="8">
        <f>COUNT(BTB4:BTB400)</f>
        <v>0</v>
      </c>
      <c r="BTC2" s="8">
        <f>COUNT(BTD4:BTD400)</f>
        <v>0</v>
      </c>
      <c r="BTE2" s="8">
        <f>COUNT(BTF4:BTF400)</f>
        <v>0</v>
      </c>
      <c r="BTG2" s="8">
        <f>COUNT(BTH4:BTH400)</f>
        <v>0</v>
      </c>
      <c r="BTI2" s="8">
        <f>COUNT(BTJ4:BTJ400)</f>
        <v>0</v>
      </c>
      <c r="BTK2" s="8">
        <f>COUNT(BTL4:BTL400)</f>
        <v>0</v>
      </c>
      <c r="BTM2" s="8">
        <f>COUNT(BTN4:BTN400)</f>
        <v>0</v>
      </c>
      <c r="BTO2" s="8">
        <f>COUNT(BTP4:BTP400)</f>
        <v>0</v>
      </c>
      <c r="BTQ2" s="8">
        <f>COUNT(BTR4:BTR400)</f>
        <v>0</v>
      </c>
      <c r="BTS2" s="8">
        <f>COUNT(BTT4:BTT400)</f>
        <v>0</v>
      </c>
      <c r="BTU2" s="8">
        <f>COUNT(BTV4:BTV400)</f>
        <v>0</v>
      </c>
      <c r="BTW2" s="8">
        <f>COUNT(BTX4:BTX400)</f>
        <v>0</v>
      </c>
      <c r="BTY2" s="8">
        <f>COUNT(BTZ4:BTZ400)</f>
        <v>0</v>
      </c>
      <c r="BUA2" s="8">
        <f>COUNT(BUB4:BUB400)</f>
        <v>0</v>
      </c>
      <c r="BUC2" s="8">
        <f>COUNT(BUD4:BUD400)</f>
        <v>0</v>
      </c>
      <c r="BUE2" s="8">
        <f>COUNT(BUF4:BUF400)</f>
        <v>0</v>
      </c>
      <c r="BUG2" s="8">
        <f>COUNT(BUH4:BUH400)</f>
        <v>0</v>
      </c>
      <c r="BUI2" s="8">
        <f>COUNT(BUJ4:BUJ400)</f>
        <v>0</v>
      </c>
      <c r="BUK2" s="8">
        <f>COUNT(BUL4:BUL400)</f>
        <v>0</v>
      </c>
      <c r="BUM2" s="8">
        <f>COUNT(BUN4:BUN400)</f>
        <v>0</v>
      </c>
      <c r="BUO2" s="8">
        <f>COUNT(BUP4:BUP400)</f>
        <v>0</v>
      </c>
      <c r="BUQ2" s="8">
        <f>COUNT(BUR4:BUR400)</f>
        <v>0</v>
      </c>
      <c r="BUS2" s="8">
        <f>COUNT(BUT4:BUT400)</f>
        <v>0</v>
      </c>
      <c r="BUU2" s="8">
        <f>COUNT(BUV4:BUV400)</f>
        <v>0</v>
      </c>
      <c r="BUW2" s="8">
        <f>COUNT(BUX4:BUX400)</f>
        <v>0</v>
      </c>
      <c r="BUY2" s="8">
        <f>COUNT(BUZ4:BUZ400)</f>
        <v>0</v>
      </c>
      <c r="BVA2" s="8">
        <f>COUNT(BVB4:BVB400)</f>
        <v>0</v>
      </c>
      <c r="BVC2" s="8">
        <f>COUNT(BVD4:BVD400)</f>
        <v>0</v>
      </c>
      <c r="BVE2" s="8">
        <f>COUNT(BVF4:BVF400)</f>
        <v>0</v>
      </c>
      <c r="BVG2" s="8">
        <f>COUNT(BVH4:BVH400)</f>
        <v>0</v>
      </c>
      <c r="BVI2" s="8">
        <f>COUNT(BVJ4:BVJ400)</f>
        <v>0</v>
      </c>
      <c r="BVK2" s="8">
        <f>COUNT(BVL4:BVL400)</f>
        <v>0</v>
      </c>
      <c r="BVM2" s="8">
        <f>COUNT(BVN4:BVN400)</f>
        <v>0</v>
      </c>
      <c r="BVO2" s="8">
        <f>COUNT(BVP4:BVP400)</f>
        <v>0</v>
      </c>
      <c r="BVQ2" s="8">
        <f>COUNT(BVR4:BVR400)</f>
        <v>0</v>
      </c>
      <c r="BVS2" s="8">
        <f>COUNT(BVT4:BVT400)</f>
        <v>0</v>
      </c>
      <c r="BVU2" s="8">
        <f>COUNT(BVV4:BVV400)</f>
        <v>0</v>
      </c>
      <c r="BVW2" s="8">
        <f>COUNT(BVX4:BVX400)</f>
        <v>0</v>
      </c>
      <c r="BVY2" s="8">
        <f>COUNT(BVZ4:BVZ400)</f>
        <v>0</v>
      </c>
      <c r="BWA2" s="8">
        <f>COUNT(BWB4:BWB400)</f>
        <v>0</v>
      </c>
      <c r="BWC2" s="8">
        <f>COUNT(BWD4:BWD400)</f>
        <v>0</v>
      </c>
      <c r="BWE2" s="8">
        <f>COUNT(BWF4:BWF400)</f>
        <v>0</v>
      </c>
      <c r="BWG2" s="8">
        <f>COUNT(BWH4:BWH400)</f>
        <v>0</v>
      </c>
      <c r="BWI2" s="8">
        <f>COUNT(BWJ4:BWJ400)</f>
        <v>0</v>
      </c>
      <c r="BWK2" s="8">
        <f>COUNT(BWL4:BWL400)</f>
        <v>0</v>
      </c>
      <c r="BWM2" s="8">
        <f>COUNT(BWN4:BWN400)</f>
        <v>0</v>
      </c>
      <c r="BWO2" s="8">
        <f>COUNT(BWP4:BWP400)</f>
        <v>0</v>
      </c>
      <c r="BWQ2" s="8">
        <f>COUNT(BWR4:BWR400)</f>
        <v>0</v>
      </c>
      <c r="BWS2" s="8">
        <f>COUNT(BWT4:BWT400)</f>
        <v>0</v>
      </c>
      <c r="BWU2" s="8">
        <f>COUNT(BWV4:BWV400)</f>
        <v>0</v>
      </c>
      <c r="BWW2" s="8">
        <f>COUNT(BWX4:BWX400)</f>
        <v>0</v>
      </c>
      <c r="BWY2" s="8">
        <f>COUNT(BWZ4:BWZ400)</f>
        <v>0</v>
      </c>
      <c r="BXA2" s="8">
        <f>COUNT(BXB4:BXB400)</f>
        <v>0</v>
      </c>
      <c r="BXC2" s="8">
        <f>COUNT(BXD4:BXD400)</f>
        <v>0</v>
      </c>
      <c r="BXE2" s="8">
        <f>COUNT(BXF4:BXF400)</f>
        <v>0</v>
      </c>
      <c r="BXG2" s="8">
        <f>COUNT(BXH4:BXH400)</f>
        <v>0</v>
      </c>
      <c r="BXI2" s="8">
        <f>COUNT(BXJ4:BXJ400)</f>
        <v>0</v>
      </c>
      <c r="BXK2" s="8">
        <f>COUNT(BXL4:BXL400)</f>
        <v>0</v>
      </c>
      <c r="BXM2" s="8">
        <f>COUNT(BXN4:BXN400)</f>
        <v>0</v>
      </c>
      <c r="BXO2" s="8">
        <f>COUNT(BXP4:BXP400)</f>
        <v>0</v>
      </c>
      <c r="BXQ2" s="8">
        <f>COUNT(BXR4:BXR400)</f>
        <v>0</v>
      </c>
      <c r="BXS2" s="8">
        <f>COUNT(BXT4:BXT400)</f>
        <v>0</v>
      </c>
      <c r="BXU2" s="8">
        <f>COUNT(BXV4:BXV400)</f>
        <v>0</v>
      </c>
      <c r="BXW2" s="8">
        <f>COUNT(BXX4:BXX400)</f>
        <v>0</v>
      </c>
      <c r="BXY2" s="8">
        <f>COUNT(BXZ4:BXZ400)</f>
        <v>0</v>
      </c>
      <c r="BYA2" s="8">
        <f>COUNT(BYB4:BYB400)</f>
        <v>0</v>
      </c>
      <c r="BYC2" s="8">
        <f>COUNT(BYD4:BYD400)</f>
        <v>0</v>
      </c>
      <c r="BYE2" s="8">
        <f>COUNT(BYF4:BYF400)</f>
        <v>0</v>
      </c>
      <c r="BYG2" s="8">
        <f>COUNT(BYH4:BYH400)</f>
        <v>0</v>
      </c>
      <c r="BYI2" s="8">
        <f>COUNT(BYJ4:BYJ400)</f>
        <v>0</v>
      </c>
      <c r="BYK2" s="8">
        <f>COUNT(BYL4:BYL400)</f>
        <v>0</v>
      </c>
      <c r="BYM2" s="8">
        <f>COUNT(BYN4:BYN400)</f>
        <v>0</v>
      </c>
      <c r="BYO2" s="8">
        <f>COUNT(BYP4:BYP400)</f>
        <v>0</v>
      </c>
      <c r="BYQ2" s="8">
        <f>COUNT(BYR4:BYR400)</f>
        <v>0</v>
      </c>
      <c r="BYS2" s="8">
        <f>COUNT(BYT4:BYT400)</f>
        <v>0</v>
      </c>
      <c r="BYU2" s="8">
        <f>COUNT(BYV4:BYV400)</f>
        <v>0</v>
      </c>
      <c r="BYW2" s="8">
        <f>COUNT(BYX4:BYX400)</f>
        <v>0</v>
      </c>
      <c r="BYY2" s="8">
        <f>COUNT(BYZ4:BYZ400)</f>
        <v>0</v>
      </c>
      <c r="BZA2" s="8">
        <f>COUNT(BZB4:BZB400)</f>
        <v>0</v>
      </c>
      <c r="BZC2" s="8">
        <f>COUNT(BZD4:BZD400)</f>
        <v>0</v>
      </c>
      <c r="BZE2" s="8">
        <f>COUNT(BZF4:BZF400)</f>
        <v>0</v>
      </c>
      <c r="BZG2" s="8">
        <f>COUNT(BZH4:BZH400)</f>
        <v>0</v>
      </c>
      <c r="BZI2" s="8">
        <f>COUNT(BZJ4:BZJ400)</f>
        <v>0</v>
      </c>
      <c r="BZK2" s="8">
        <f>COUNT(BZL4:BZL400)</f>
        <v>0</v>
      </c>
      <c r="BZM2" s="8">
        <f>COUNT(BZN4:BZN400)</f>
        <v>0</v>
      </c>
      <c r="BZO2" s="8">
        <f>COUNT(BZP4:BZP400)</f>
        <v>0</v>
      </c>
      <c r="BZQ2" s="8">
        <f>COUNT(BZR4:BZR400)</f>
        <v>0</v>
      </c>
      <c r="BZS2" s="8">
        <f>COUNT(BZT4:BZT400)</f>
        <v>0</v>
      </c>
      <c r="BZU2" s="8">
        <f>COUNT(BZV4:BZV400)</f>
        <v>0</v>
      </c>
      <c r="BZW2" s="8">
        <f>COUNT(BZX4:BZX400)</f>
        <v>0</v>
      </c>
      <c r="BZY2" s="8">
        <f>COUNT(BZZ4:BZZ400)</f>
        <v>0</v>
      </c>
      <c r="CAA2" s="8">
        <f>COUNT(CAB4:CAB400)</f>
        <v>0</v>
      </c>
      <c r="CAC2" s="8">
        <f>COUNT(CAD4:CAD400)</f>
        <v>0</v>
      </c>
      <c r="CAE2" s="8">
        <f>COUNT(CAF4:CAF400)</f>
        <v>0</v>
      </c>
      <c r="CAG2" s="8">
        <f>COUNT(CAH4:CAH400)</f>
        <v>0</v>
      </c>
      <c r="CAI2" s="8">
        <f>COUNT(CAJ4:CAJ400)</f>
        <v>0</v>
      </c>
      <c r="CAK2" s="8">
        <f>COUNT(CAL4:CAL400)</f>
        <v>0</v>
      </c>
      <c r="CAM2" s="8">
        <f>COUNT(CAN4:CAN400)</f>
        <v>0</v>
      </c>
      <c r="CAO2" s="8">
        <f>COUNT(CAP4:CAP400)</f>
        <v>0</v>
      </c>
      <c r="CAQ2" s="8">
        <f>COUNT(CAR4:CAR400)</f>
        <v>0</v>
      </c>
      <c r="CAS2" s="8">
        <f>COUNT(CAT4:CAT400)</f>
        <v>0</v>
      </c>
      <c r="CAU2" s="8">
        <f>COUNT(CAV4:CAV400)</f>
        <v>0</v>
      </c>
      <c r="CAW2" s="8">
        <f>COUNT(CAX4:CAX400)</f>
        <v>0</v>
      </c>
      <c r="CAY2" s="8">
        <f>COUNT(CAZ4:CAZ400)</f>
        <v>0</v>
      </c>
      <c r="CBA2" s="8">
        <f>COUNT(CBB4:CBB400)</f>
        <v>0</v>
      </c>
      <c r="CBC2" s="8">
        <f>COUNT(CBD4:CBD400)</f>
        <v>0</v>
      </c>
      <c r="CBE2" s="8">
        <f>COUNT(CBF4:CBF400)</f>
        <v>0</v>
      </c>
      <c r="CBG2" s="8">
        <f>COUNT(CBH4:CBH400)</f>
        <v>0</v>
      </c>
      <c r="CBI2" s="8">
        <f>COUNT(CBJ4:CBJ400)</f>
        <v>0</v>
      </c>
      <c r="CBK2" s="8">
        <f>COUNT(CBL4:CBL400)</f>
        <v>0</v>
      </c>
      <c r="CBM2" s="8">
        <f>COUNT(CBN4:CBN400)</f>
        <v>0</v>
      </c>
      <c r="CBO2" s="8">
        <f>COUNT(CBP4:CBP400)</f>
        <v>0</v>
      </c>
      <c r="CBQ2" s="8">
        <f>COUNT(CBR4:CBR400)</f>
        <v>0</v>
      </c>
      <c r="CBS2" s="8">
        <f>COUNT(CBT4:CBT400)</f>
        <v>0</v>
      </c>
      <c r="CBU2" s="8">
        <f>COUNT(CBV4:CBV400)</f>
        <v>0</v>
      </c>
      <c r="CBW2" s="8">
        <f>COUNT(CBX4:CBX400)</f>
        <v>0</v>
      </c>
      <c r="CBY2" s="8">
        <f>COUNT(CBZ4:CBZ400)</f>
        <v>0</v>
      </c>
      <c r="CCA2" s="8">
        <f>COUNT(CCB4:CCB400)</f>
        <v>0</v>
      </c>
      <c r="CCC2" s="8">
        <f>COUNT(CCD4:CCD400)</f>
        <v>0</v>
      </c>
      <c r="CCE2" s="8">
        <f>COUNT(CCF4:CCF400)</f>
        <v>0</v>
      </c>
      <c r="CCG2" s="8">
        <f>COUNT(CCH4:CCH400)</f>
        <v>0</v>
      </c>
      <c r="CCI2" s="8">
        <f>COUNT(CCJ4:CCJ400)</f>
        <v>0</v>
      </c>
      <c r="CCK2" s="8">
        <f>COUNT(CCL4:CCL400)</f>
        <v>0</v>
      </c>
      <c r="CCM2" s="8">
        <f>COUNT(CCN4:CCN400)</f>
        <v>0</v>
      </c>
      <c r="CCO2" s="8">
        <f>COUNT(CCP4:CCP400)</f>
        <v>0</v>
      </c>
      <c r="CCQ2" s="8">
        <f>COUNT(CCR4:CCR400)</f>
        <v>0</v>
      </c>
      <c r="CCS2" s="8">
        <f>COUNT(CCT4:CCT400)</f>
        <v>0</v>
      </c>
      <c r="CCU2" s="8">
        <f>COUNT(CCV4:CCV400)</f>
        <v>0</v>
      </c>
      <c r="CCW2" s="8">
        <f>COUNT(CCX4:CCX400)</f>
        <v>0</v>
      </c>
      <c r="CCY2" s="8">
        <f>COUNT(CCZ4:CCZ400)</f>
        <v>0</v>
      </c>
      <c r="CDA2" s="8">
        <f>COUNT(CDB4:CDB400)</f>
        <v>0</v>
      </c>
      <c r="CDC2" s="8">
        <f>COUNT(CDD4:CDD400)</f>
        <v>0</v>
      </c>
      <c r="CDE2" s="8">
        <f>COUNT(CDF4:CDF400)</f>
        <v>0</v>
      </c>
      <c r="CDG2" s="8">
        <f>COUNT(CDH4:CDH400)</f>
        <v>0</v>
      </c>
      <c r="CDI2" s="8">
        <f>COUNT(CDJ4:CDJ400)</f>
        <v>0</v>
      </c>
      <c r="CDK2" s="8">
        <f>COUNT(CDL4:CDL400)</f>
        <v>0</v>
      </c>
      <c r="CDM2" s="8">
        <f>COUNT(CDN4:CDN400)</f>
        <v>0</v>
      </c>
      <c r="CDO2" s="8">
        <f>COUNT(CDP4:CDP400)</f>
        <v>0</v>
      </c>
      <c r="CDQ2" s="8">
        <f>COUNT(CDR4:CDR400)</f>
        <v>0</v>
      </c>
      <c r="CDS2" s="8">
        <f>COUNT(CDT4:CDT400)</f>
        <v>0</v>
      </c>
      <c r="CDU2" s="8">
        <f>COUNT(CDV4:CDV400)</f>
        <v>0</v>
      </c>
      <c r="CDW2" s="8">
        <f>COUNT(CDX4:CDX400)</f>
        <v>0</v>
      </c>
      <c r="CDY2" s="8">
        <f>COUNT(CDZ4:CDZ400)</f>
        <v>0</v>
      </c>
      <c r="CEA2" s="8">
        <f>COUNT(CEB4:CEB400)</f>
        <v>0</v>
      </c>
      <c r="CEC2" s="8">
        <f>COUNT(CED4:CED400)</f>
        <v>0</v>
      </c>
      <c r="CEE2" s="8">
        <f>COUNT(CEF4:CEF400)</f>
        <v>0</v>
      </c>
      <c r="CEG2" s="8">
        <f>COUNT(CEH4:CEH400)</f>
        <v>0</v>
      </c>
      <c r="CEI2" s="8">
        <f>COUNT(CEJ4:CEJ400)</f>
        <v>0</v>
      </c>
      <c r="CEK2" s="8">
        <f>COUNT(CEL4:CEL400)</f>
        <v>0</v>
      </c>
      <c r="CEM2" s="8">
        <f>COUNT(CEN4:CEN400)</f>
        <v>0</v>
      </c>
      <c r="CEO2" s="8">
        <f>COUNT(CEP4:CEP400)</f>
        <v>0</v>
      </c>
      <c r="CEQ2" s="8">
        <f>COUNT(CER4:CER400)</f>
        <v>0</v>
      </c>
      <c r="CES2" s="8">
        <f>COUNT(CET4:CET400)</f>
        <v>0</v>
      </c>
      <c r="CEU2" s="8">
        <f>COUNT(CEV4:CEV400)</f>
        <v>0</v>
      </c>
      <c r="CEW2" s="8">
        <f>COUNT(CEX4:CEX400)</f>
        <v>0</v>
      </c>
      <c r="CEY2" s="8">
        <f>COUNT(CEZ4:CEZ400)</f>
        <v>0</v>
      </c>
      <c r="CFA2" s="8">
        <f>COUNT(CFB4:CFB400)</f>
        <v>0</v>
      </c>
      <c r="CFC2" s="8">
        <f>COUNT(CFD4:CFD400)</f>
        <v>0</v>
      </c>
      <c r="CFE2" s="8">
        <f>COUNT(CFF4:CFF400)</f>
        <v>0</v>
      </c>
      <c r="CFG2" s="8">
        <f>COUNT(CFH4:CFH400)</f>
        <v>0</v>
      </c>
      <c r="CFI2" s="8">
        <f>COUNT(CFJ4:CFJ400)</f>
        <v>0</v>
      </c>
      <c r="CFK2" s="8">
        <f>COUNT(CFL4:CFL400)</f>
        <v>0</v>
      </c>
      <c r="CFM2" s="8">
        <f>COUNT(CFN4:CFN400)</f>
        <v>0</v>
      </c>
      <c r="CFO2" s="8">
        <f>COUNT(CFP4:CFP400)</f>
        <v>0</v>
      </c>
      <c r="CFQ2" s="8">
        <f>COUNT(CFR4:CFR400)</f>
        <v>0</v>
      </c>
      <c r="CFS2" s="8">
        <f>COUNT(CFT4:CFT400)</f>
        <v>0</v>
      </c>
      <c r="CFU2" s="8">
        <f>COUNT(CFV4:CFV400)</f>
        <v>0</v>
      </c>
      <c r="CFW2" s="8">
        <f>COUNT(CFX4:CFX400)</f>
        <v>0</v>
      </c>
      <c r="CFY2" s="8">
        <f>COUNT(CFZ4:CFZ400)</f>
        <v>0</v>
      </c>
      <c r="CGA2" s="8">
        <f>COUNT(CGB4:CGB400)</f>
        <v>0</v>
      </c>
      <c r="CGC2" s="8">
        <f>COUNT(CGD4:CGD400)</f>
        <v>0</v>
      </c>
      <c r="CGE2" s="8">
        <f>COUNT(CGF4:CGF400)</f>
        <v>0</v>
      </c>
      <c r="CGG2" s="8">
        <f>COUNT(CGH4:CGH400)</f>
        <v>0</v>
      </c>
      <c r="CGI2" s="8">
        <f>COUNT(CGJ4:CGJ400)</f>
        <v>0</v>
      </c>
      <c r="CGK2" s="8">
        <f>COUNT(CGL4:CGL400)</f>
        <v>0</v>
      </c>
      <c r="CGM2" s="8">
        <f>COUNT(CGN4:CGN400)</f>
        <v>0</v>
      </c>
      <c r="CGO2" s="8">
        <f>COUNT(CGP4:CGP400)</f>
        <v>0</v>
      </c>
      <c r="CGQ2" s="8">
        <f>COUNT(CGR4:CGR400)</f>
        <v>0</v>
      </c>
      <c r="CGS2" s="8">
        <f>COUNT(CGT4:CGT400)</f>
        <v>0</v>
      </c>
      <c r="CGU2" s="8">
        <f>COUNT(CGV4:CGV400)</f>
        <v>0</v>
      </c>
      <c r="CGW2" s="8">
        <f>COUNT(CGX4:CGX400)</f>
        <v>0</v>
      </c>
      <c r="CGY2" s="8">
        <f>COUNT(CGZ4:CGZ400)</f>
        <v>0</v>
      </c>
      <c r="CHA2" s="8">
        <f>COUNT(CHB4:CHB400)</f>
        <v>0</v>
      </c>
      <c r="CHC2" s="8">
        <f>COUNT(CHD4:CHD400)</f>
        <v>0</v>
      </c>
      <c r="CHE2" s="8">
        <f>COUNT(CHF4:CHF400)</f>
        <v>0</v>
      </c>
      <c r="CHG2" s="8">
        <f>COUNT(CHH4:CHH400)</f>
        <v>0</v>
      </c>
      <c r="CHI2" s="8">
        <f>COUNT(CHJ4:CHJ400)</f>
        <v>0</v>
      </c>
      <c r="CHK2" s="8">
        <f>COUNT(CHL4:CHL400)</f>
        <v>0</v>
      </c>
      <c r="CHM2" s="8">
        <f>COUNT(CHN4:CHN400)</f>
        <v>0</v>
      </c>
      <c r="CHO2" s="8">
        <f>COUNT(CHP4:CHP400)</f>
        <v>0</v>
      </c>
      <c r="CHQ2" s="8">
        <f>COUNT(CHR4:CHR400)</f>
        <v>0</v>
      </c>
      <c r="CHS2" s="8">
        <f>COUNT(CHT4:CHT400)</f>
        <v>0</v>
      </c>
      <c r="CHU2" s="8">
        <f>COUNT(CHV4:CHV400)</f>
        <v>0</v>
      </c>
      <c r="CHW2" s="8">
        <f>COUNT(CHX4:CHX400)</f>
        <v>0</v>
      </c>
      <c r="CHY2" s="8">
        <f>COUNT(CHZ4:CHZ400)</f>
        <v>0</v>
      </c>
      <c r="CIA2" s="8">
        <f>COUNT(CIB4:CIB400)</f>
        <v>0</v>
      </c>
      <c r="CIC2" s="8">
        <f>COUNT(CID4:CID400)</f>
        <v>0</v>
      </c>
      <c r="CIE2" s="8">
        <f>COUNT(CIF4:CIF400)</f>
        <v>0</v>
      </c>
      <c r="CIG2" s="8">
        <f>COUNT(CIH4:CIH400)</f>
        <v>0</v>
      </c>
      <c r="CII2" s="8">
        <f>COUNT(CIJ4:CIJ400)</f>
        <v>0</v>
      </c>
      <c r="CIK2" s="8">
        <f>COUNT(CIL4:CIL400)</f>
        <v>0</v>
      </c>
      <c r="CIM2" s="8">
        <f>COUNT(CIN4:CIN400)</f>
        <v>0</v>
      </c>
      <c r="CIO2" s="8">
        <f>COUNT(CIP4:CIP400)</f>
        <v>0</v>
      </c>
      <c r="CIQ2" s="8">
        <f>COUNT(CIR4:CIR400)</f>
        <v>0</v>
      </c>
      <c r="CIS2" s="8">
        <f>COUNT(CIT4:CIT400)</f>
        <v>0</v>
      </c>
      <c r="CIU2" s="8">
        <f>COUNT(CIV4:CIV400)</f>
        <v>0</v>
      </c>
      <c r="CIW2" s="8">
        <f>COUNT(CIX4:CIX400)</f>
        <v>0</v>
      </c>
      <c r="CIY2" s="8">
        <f>COUNT(CIZ4:CIZ400)</f>
        <v>0</v>
      </c>
      <c r="CJA2" s="8">
        <f>COUNT(CJB4:CJB400)</f>
        <v>0</v>
      </c>
      <c r="CJC2" s="8">
        <f>COUNT(CJD4:CJD400)</f>
        <v>0</v>
      </c>
      <c r="CJE2" s="8">
        <f>COUNT(CJF4:CJF400)</f>
        <v>0</v>
      </c>
      <c r="CJG2" s="8">
        <f>COUNT(CJH4:CJH400)</f>
        <v>0</v>
      </c>
      <c r="CJI2" s="8">
        <f>COUNT(CJJ4:CJJ400)</f>
        <v>0</v>
      </c>
      <c r="CJK2" s="8">
        <f>COUNT(CJL4:CJL400)</f>
        <v>0</v>
      </c>
      <c r="CJM2" s="8">
        <f>COUNT(CJN4:CJN400)</f>
        <v>0</v>
      </c>
      <c r="CJO2" s="8">
        <f>COUNT(CJP4:CJP400)</f>
        <v>0</v>
      </c>
      <c r="CJQ2" s="8">
        <f>COUNT(CJR4:CJR400)</f>
        <v>0</v>
      </c>
      <c r="CJS2" s="8">
        <f>COUNT(CJT4:CJT400)</f>
        <v>0</v>
      </c>
      <c r="CJU2" s="8">
        <f>COUNT(CJV4:CJV400)</f>
        <v>0</v>
      </c>
      <c r="CJW2" s="8">
        <f>COUNT(CJX4:CJX400)</f>
        <v>0</v>
      </c>
      <c r="CJY2" s="8">
        <f>COUNT(CJZ4:CJZ400)</f>
        <v>0</v>
      </c>
      <c r="CKA2" s="8">
        <f>COUNT(CKB4:CKB400)</f>
        <v>0</v>
      </c>
      <c r="CKC2" s="8">
        <f>COUNT(CKD4:CKD400)</f>
        <v>0</v>
      </c>
      <c r="CKE2" s="8">
        <f>COUNT(CKF4:CKF400)</f>
        <v>0</v>
      </c>
      <c r="CKG2" s="8">
        <f>COUNT(CKH4:CKH400)</f>
        <v>0</v>
      </c>
      <c r="CKI2" s="8">
        <f>COUNT(CKJ4:CKJ400)</f>
        <v>0</v>
      </c>
      <c r="CKK2" s="8">
        <f>COUNT(CKL4:CKL400)</f>
        <v>0</v>
      </c>
      <c r="CKM2" s="8">
        <f>COUNT(CKN4:CKN400)</f>
        <v>0</v>
      </c>
      <c r="CKO2" s="8">
        <f>COUNT(CKP4:CKP400)</f>
        <v>0</v>
      </c>
      <c r="CKQ2" s="8">
        <f>COUNT(CKR4:CKR400)</f>
        <v>0</v>
      </c>
      <c r="CKS2" s="8">
        <f>COUNT(CKT4:CKT400)</f>
        <v>0</v>
      </c>
      <c r="CKU2" s="8">
        <f>COUNT(CKV4:CKV400)</f>
        <v>0</v>
      </c>
      <c r="CKW2" s="8">
        <f>COUNT(CKX4:CKX400)</f>
        <v>0</v>
      </c>
      <c r="CKY2" s="8">
        <f>COUNT(CKZ4:CKZ400)</f>
        <v>0</v>
      </c>
      <c r="CLA2" s="8">
        <f>COUNT(CLB4:CLB400)</f>
        <v>0</v>
      </c>
      <c r="CLC2" s="8">
        <f>COUNT(CLD4:CLD400)</f>
        <v>0</v>
      </c>
      <c r="CLE2" s="8">
        <f>COUNT(CLF4:CLF400)</f>
        <v>0</v>
      </c>
      <c r="CLG2" s="8">
        <f>COUNT(CLH4:CLH400)</f>
        <v>0</v>
      </c>
      <c r="CLI2" s="8">
        <f>COUNT(CLJ4:CLJ400)</f>
        <v>0</v>
      </c>
      <c r="CLK2" s="8">
        <f>COUNT(CLL4:CLL400)</f>
        <v>0</v>
      </c>
      <c r="CLM2" s="8">
        <f>COUNT(CLN4:CLN400)</f>
        <v>0</v>
      </c>
      <c r="CLO2" s="8">
        <f>COUNT(CLP4:CLP400)</f>
        <v>0</v>
      </c>
      <c r="CLQ2" s="8">
        <f>COUNT(CLR4:CLR400)</f>
        <v>0</v>
      </c>
      <c r="CLS2" s="8">
        <f>COUNT(CLT4:CLT400)</f>
        <v>0</v>
      </c>
      <c r="CLU2" s="8">
        <f>COUNT(CLV4:CLV400)</f>
        <v>0</v>
      </c>
      <c r="CLW2" s="8">
        <f>COUNT(CLX4:CLX400)</f>
        <v>0</v>
      </c>
      <c r="CLY2" s="8">
        <f>COUNT(CLZ4:CLZ400)</f>
        <v>0</v>
      </c>
      <c r="CMA2" s="8">
        <f>COUNT(CMB4:CMB400)</f>
        <v>0</v>
      </c>
      <c r="CMC2" s="8">
        <f>COUNT(CMD4:CMD400)</f>
        <v>0</v>
      </c>
      <c r="CME2" s="8">
        <f>COUNT(CMF4:CMF400)</f>
        <v>0</v>
      </c>
      <c r="CMG2" s="8">
        <f>COUNT(CMH4:CMH400)</f>
        <v>0</v>
      </c>
      <c r="CMI2" s="8">
        <f>COUNT(CMJ4:CMJ400)</f>
        <v>0</v>
      </c>
      <c r="CMK2" s="8">
        <f>COUNT(CML4:CML400)</f>
        <v>0</v>
      </c>
      <c r="CMM2" s="8">
        <f>COUNT(CMN4:CMN400)</f>
        <v>0</v>
      </c>
      <c r="CMO2" s="8">
        <f>COUNT(CMP4:CMP400)</f>
        <v>0</v>
      </c>
      <c r="CMQ2" s="8">
        <f>COUNT(CMR4:CMR400)</f>
        <v>0</v>
      </c>
      <c r="CMS2" s="8">
        <f>COUNT(CMT4:CMT400)</f>
        <v>0</v>
      </c>
      <c r="CMU2" s="8">
        <f>COUNT(CMV4:CMV400)</f>
        <v>0</v>
      </c>
      <c r="CMW2" s="8">
        <f>COUNT(CMX4:CMX400)</f>
        <v>0</v>
      </c>
      <c r="CMY2" s="8">
        <f>COUNT(CMZ4:CMZ400)</f>
        <v>0</v>
      </c>
      <c r="CNA2" s="8">
        <f>COUNT(CNB4:CNB400)</f>
        <v>0</v>
      </c>
      <c r="CNC2" s="8">
        <f>COUNT(CND4:CND400)</f>
        <v>0</v>
      </c>
      <c r="CNE2" s="8">
        <f>COUNT(CNF4:CNF400)</f>
        <v>0</v>
      </c>
      <c r="CNG2" s="8">
        <f>COUNT(CNH4:CNH400)</f>
        <v>0</v>
      </c>
      <c r="CNI2" s="8">
        <f>COUNT(CNJ4:CNJ400)</f>
        <v>0</v>
      </c>
      <c r="CNK2" s="8">
        <f>COUNT(CNL4:CNL400)</f>
        <v>0</v>
      </c>
      <c r="CNM2" s="8">
        <f>COUNT(CNN4:CNN400)</f>
        <v>0</v>
      </c>
      <c r="CNO2" s="8">
        <f>COUNT(CNP4:CNP400)</f>
        <v>0</v>
      </c>
      <c r="CNQ2" s="8">
        <f>COUNT(CNR4:CNR400)</f>
        <v>0</v>
      </c>
      <c r="CNS2" s="8">
        <f>COUNT(CNT4:CNT400)</f>
        <v>0</v>
      </c>
      <c r="CNU2" s="8">
        <f>COUNT(CNV4:CNV400)</f>
        <v>0</v>
      </c>
      <c r="CNW2" s="8">
        <f>COUNT(CNX4:CNX400)</f>
        <v>0</v>
      </c>
      <c r="CNY2" s="8">
        <f>COUNT(CNZ4:CNZ400)</f>
        <v>0</v>
      </c>
      <c r="COA2" s="8">
        <f>COUNT(COB4:COB400)</f>
        <v>0</v>
      </c>
      <c r="COC2" s="8">
        <f>COUNT(COD4:COD400)</f>
        <v>0</v>
      </c>
      <c r="COE2" s="8">
        <f>COUNT(COF4:COF400)</f>
        <v>0</v>
      </c>
      <c r="COG2" s="8">
        <f>COUNT(COH4:COH400)</f>
        <v>0</v>
      </c>
      <c r="COI2" s="8">
        <f>COUNT(COJ4:COJ400)</f>
        <v>0</v>
      </c>
      <c r="COK2" s="8">
        <f>COUNT(COL4:COL400)</f>
        <v>0</v>
      </c>
      <c r="COM2" s="8">
        <f>COUNT(CON4:CON400)</f>
        <v>0</v>
      </c>
      <c r="COO2" s="8">
        <f>COUNT(COP4:COP400)</f>
        <v>0</v>
      </c>
      <c r="COQ2" s="8">
        <f>COUNT(COR4:COR400)</f>
        <v>0</v>
      </c>
      <c r="COS2" s="8">
        <f>COUNT(COT4:COT400)</f>
        <v>0</v>
      </c>
      <c r="COU2" s="8">
        <f>COUNT(COV4:COV400)</f>
        <v>0</v>
      </c>
      <c r="COW2" s="8">
        <f>COUNT(COX4:COX400)</f>
        <v>0</v>
      </c>
      <c r="COY2" s="8">
        <f>COUNT(COZ4:COZ400)</f>
        <v>0</v>
      </c>
      <c r="CPA2" s="8">
        <f>COUNT(CPB4:CPB400)</f>
        <v>0</v>
      </c>
      <c r="CPC2" s="8">
        <f>COUNT(CPD4:CPD400)</f>
        <v>0</v>
      </c>
      <c r="CPE2" s="8">
        <f>COUNT(CPF4:CPF400)</f>
        <v>0</v>
      </c>
      <c r="CPG2" s="8">
        <f>COUNT(CPH4:CPH400)</f>
        <v>0</v>
      </c>
      <c r="CPI2" s="8">
        <f>COUNT(CPJ4:CPJ400)</f>
        <v>0</v>
      </c>
      <c r="CPK2" s="8">
        <f>COUNT(CPL4:CPL400)</f>
        <v>0</v>
      </c>
      <c r="CPM2" s="8">
        <f>COUNT(CPN4:CPN400)</f>
        <v>0</v>
      </c>
      <c r="CPO2" s="8">
        <f>COUNT(CPP4:CPP400)</f>
        <v>0</v>
      </c>
      <c r="CPQ2" s="8">
        <f>COUNT(CPR4:CPR400)</f>
        <v>0</v>
      </c>
      <c r="CPS2" s="8">
        <f>COUNT(CPT4:CPT400)</f>
        <v>0</v>
      </c>
      <c r="CPU2" s="8">
        <f>COUNT(CPV4:CPV400)</f>
        <v>0</v>
      </c>
      <c r="CPW2" s="8">
        <f>COUNT(CPX4:CPX400)</f>
        <v>0</v>
      </c>
      <c r="CPY2" s="8">
        <f>COUNT(CPZ4:CPZ400)</f>
        <v>0</v>
      </c>
      <c r="CQA2" s="8">
        <f>COUNT(CQB4:CQB400)</f>
        <v>0</v>
      </c>
      <c r="CQC2" s="8">
        <f>COUNT(CQD4:CQD400)</f>
        <v>0</v>
      </c>
      <c r="CQE2" s="8">
        <f>COUNT(CQF4:CQF400)</f>
        <v>0</v>
      </c>
      <c r="CQG2" s="8">
        <f>COUNT(CQH4:CQH400)</f>
        <v>0</v>
      </c>
      <c r="CQI2" s="8">
        <f>COUNT(CQJ4:CQJ400)</f>
        <v>0</v>
      </c>
      <c r="CQK2" s="8">
        <f>COUNT(CQL4:CQL400)</f>
        <v>0</v>
      </c>
      <c r="CQM2" s="8">
        <f>COUNT(CQN4:CQN400)</f>
        <v>0</v>
      </c>
      <c r="CQO2" s="8">
        <f>COUNT(CQP4:CQP400)</f>
        <v>0</v>
      </c>
      <c r="CQQ2" s="8">
        <f>COUNT(CQR4:CQR400)</f>
        <v>0</v>
      </c>
      <c r="CQS2" s="8">
        <f>COUNT(CQT4:CQT400)</f>
        <v>0</v>
      </c>
      <c r="CQU2" s="8">
        <f>COUNT(CQV4:CQV400)</f>
        <v>0</v>
      </c>
      <c r="CQW2" s="8">
        <f>COUNT(CQX4:CQX400)</f>
        <v>0</v>
      </c>
      <c r="CQY2" s="8">
        <f>COUNT(CQZ4:CQZ400)</f>
        <v>0</v>
      </c>
      <c r="CRA2" s="8">
        <f>COUNT(CRB4:CRB400)</f>
        <v>0</v>
      </c>
      <c r="CRC2" s="8">
        <f>COUNT(CRD4:CRD400)</f>
        <v>0</v>
      </c>
      <c r="CRE2" s="8">
        <f>COUNT(CRF4:CRF400)</f>
        <v>0</v>
      </c>
      <c r="CRG2" s="8">
        <f>COUNT(CRH4:CRH400)</f>
        <v>0</v>
      </c>
      <c r="CRI2" s="8">
        <f>COUNT(CRJ4:CRJ400)</f>
        <v>0</v>
      </c>
      <c r="CRK2" s="8">
        <f>COUNT(CRL4:CRL400)</f>
        <v>0</v>
      </c>
      <c r="CRM2" s="8">
        <f>COUNT(CRN4:CRN400)</f>
        <v>0</v>
      </c>
      <c r="CRO2" s="8">
        <f>COUNT(CRP4:CRP400)</f>
        <v>0</v>
      </c>
      <c r="CRQ2" s="8">
        <f>COUNT(CRR4:CRR400)</f>
        <v>0</v>
      </c>
      <c r="CRS2" s="8">
        <f>COUNT(CRT4:CRT400)</f>
        <v>0</v>
      </c>
      <c r="CRU2" s="8">
        <f>COUNT(CRV4:CRV400)</f>
        <v>0</v>
      </c>
      <c r="CRW2" s="8">
        <f>COUNT(CRX4:CRX400)</f>
        <v>0</v>
      </c>
      <c r="CRY2" s="8">
        <f>COUNT(CRZ4:CRZ400)</f>
        <v>0</v>
      </c>
      <c r="CSA2" s="8">
        <f>COUNT(CSB4:CSB400)</f>
        <v>0</v>
      </c>
      <c r="CSC2" s="8">
        <f>COUNT(CSD4:CSD400)</f>
        <v>0</v>
      </c>
      <c r="CSE2" s="8">
        <f>COUNT(CSF4:CSF400)</f>
        <v>0</v>
      </c>
      <c r="CSG2" s="8">
        <f>COUNT(CSH4:CSH400)</f>
        <v>0</v>
      </c>
      <c r="CSI2" s="8">
        <f>COUNT(CSJ4:CSJ400)</f>
        <v>0</v>
      </c>
      <c r="CSK2" s="8">
        <f>COUNT(CSL4:CSL400)</f>
        <v>0</v>
      </c>
      <c r="CSM2" s="8">
        <f>COUNT(CSN4:CSN400)</f>
        <v>0</v>
      </c>
      <c r="CSO2" s="8">
        <f>COUNT(CSP4:CSP400)</f>
        <v>0</v>
      </c>
      <c r="CSQ2" s="8">
        <f>COUNT(CSR4:CSR400)</f>
        <v>0</v>
      </c>
      <c r="CSS2" s="8">
        <f>COUNT(CST4:CST400)</f>
        <v>0</v>
      </c>
      <c r="CSU2" s="8">
        <f>COUNT(CSV4:CSV400)</f>
        <v>0</v>
      </c>
      <c r="CSW2" s="8">
        <f>COUNT(CSX4:CSX400)</f>
        <v>0</v>
      </c>
      <c r="CSY2" s="8">
        <f>COUNT(CSZ4:CSZ400)</f>
        <v>0</v>
      </c>
      <c r="CTA2" s="8">
        <f>COUNT(CTB4:CTB400)</f>
        <v>0</v>
      </c>
      <c r="CTC2" s="8">
        <f>COUNT(CTD4:CTD400)</f>
        <v>0</v>
      </c>
      <c r="CTE2" s="8">
        <f>COUNT(CTF4:CTF400)</f>
        <v>0</v>
      </c>
      <c r="CTG2" s="8">
        <f>COUNT(CTH4:CTH400)</f>
        <v>0</v>
      </c>
      <c r="CTI2" s="8">
        <f>COUNT(CTJ4:CTJ400)</f>
        <v>0</v>
      </c>
      <c r="CTK2" s="8">
        <f>COUNT(CTL4:CTL400)</f>
        <v>0</v>
      </c>
      <c r="CTM2" s="8">
        <f>COUNT(CTN4:CTN400)</f>
        <v>0</v>
      </c>
      <c r="CTO2" s="8">
        <f>COUNT(CTP4:CTP400)</f>
        <v>0</v>
      </c>
      <c r="CTQ2" s="8">
        <f>COUNT(CTR4:CTR400)</f>
        <v>0</v>
      </c>
      <c r="CTS2" s="8">
        <f>COUNT(CTT4:CTT400)</f>
        <v>0</v>
      </c>
      <c r="CTU2" s="8">
        <f>COUNT(CTV4:CTV400)</f>
        <v>0</v>
      </c>
      <c r="CTW2" s="8">
        <f>COUNT(CTX4:CTX400)</f>
        <v>0</v>
      </c>
      <c r="CTY2" s="8">
        <f>COUNT(CTZ4:CTZ400)</f>
        <v>0</v>
      </c>
      <c r="CUA2" s="8">
        <f>COUNT(CUB4:CUB400)</f>
        <v>0</v>
      </c>
      <c r="CUC2" s="8">
        <f>COUNT(CUD4:CUD400)</f>
        <v>0</v>
      </c>
      <c r="CUE2" s="8">
        <f>COUNT(CUF4:CUF400)</f>
        <v>0</v>
      </c>
      <c r="CUG2" s="8">
        <f>COUNT(CUH4:CUH400)</f>
        <v>0</v>
      </c>
      <c r="CUI2" s="8">
        <f>COUNT(CUJ4:CUJ400)</f>
        <v>0</v>
      </c>
      <c r="CUK2" s="8">
        <f>COUNT(CUL4:CUL400)</f>
        <v>0</v>
      </c>
      <c r="CUM2" s="8">
        <f>COUNT(CUN4:CUN400)</f>
        <v>0</v>
      </c>
      <c r="CUO2" s="8">
        <f>COUNT(CUP4:CUP400)</f>
        <v>0</v>
      </c>
      <c r="CUQ2" s="8">
        <f>COUNT(CUR4:CUR400)</f>
        <v>0</v>
      </c>
      <c r="CUS2" s="8">
        <f>COUNT(CUT4:CUT400)</f>
        <v>0</v>
      </c>
      <c r="CUU2" s="8">
        <f>COUNT(CUV4:CUV400)</f>
        <v>0</v>
      </c>
      <c r="CUW2" s="8">
        <f>COUNT(CUX4:CUX400)</f>
        <v>0</v>
      </c>
      <c r="CUY2" s="8">
        <f>COUNT(CUZ4:CUZ400)</f>
        <v>0</v>
      </c>
      <c r="CVA2" s="8">
        <f>COUNT(CVB4:CVB400)</f>
        <v>0</v>
      </c>
      <c r="CVC2" s="8">
        <f>COUNT(CVD4:CVD400)</f>
        <v>0</v>
      </c>
      <c r="CVE2" s="8">
        <f>COUNT(CVF4:CVF400)</f>
        <v>0</v>
      </c>
      <c r="CVG2" s="8">
        <f>COUNT(CVH4:CVH400)</f>
        <v>0</v>
      </c>
      <c r="CVI2" s="8">
        <f>COUNT(CVJ4:CVJ400)</f>
        <v>0</v>
      </c>
      <c r="CVK2" s="8">
        <f>COUNT(CVL4:CVL400)</f>
        <v>0</v>
      </c>
      <c r="CVM2" s="8">
        <f>COUNT(CVN4:CVN400)</f>
        <v>0</v>
      </c>
      <c r="CVO2" s="8">
        <f>COUNT(CVP4:CVP400)</f>
        <v>0</v>
      </c>
      <c r="CVQ2" s="8">
        <f>COUNT(CVR4:CVR400)</f>
        <v>0</v>
      </c>
      <c r="CVS2" s="8">
        <f>COUNT(CVT4:CVT400)</f>
        <v>0</v>
      </c>
      <c r="CVU2" s="8">
        <f>COUNT(CVV4:CVV400)</f>
        <v>0</v>
      </c>
      <c r="CVW2" s="8">
        <f>COUNT(CVX4:CVX400)</f>
        <v>0</v>
      </c>
      <c r="CVY2" s="8">
        <f>COUNT(CVZ4:CVZ400)</f>
        <v>0</v>
      </c>
      <c r="CWA2" s="8">
        <f>COUNT(CWB4:CWB400)</f>
        <v>0</v>
      </c>
      <c r="CWC2" s="8">
        <f>COUNT(CWD4:CWD400)</f>
        <v>0</v>
      </c>
      <c r="CWE2" s="8">
        <f>COUNT(CWF4:CWF400)</f>
        <v>0</v>
      </c>
      <c r="CWG2" s="8">
        <f>COUNT(CWH4:CWH400)</f>
        <v>0</v>
      </c>
      <c r="CWI2" s="8">
        <f>COUNT(CWJ4:CWJ400)</f>
        <v>0</v>
      </c>
      <c r="CWK2" s="8">
        <f>COUNT(CWL4:CWL400)</f>
        <v>0</v>
      </c>
      <c r="CWM2" s="8">
        <f>COUNT(CWN4:CWN400)</f>
        <v>0</v>
      </c>
      <c r="CWO2" s="8">
        <f>COUNT(CWP4:CWP400)</f>
        <v>0</v>
      </c>
      <c r="CWQ2" s="8">
        <f>COUNT(CWR4:CWR400)</f>
        <v>0</v>
      </c>
      <c r="CWS2" s="8">
        <f>COUNT(CWT4:CWT400)</f>
        <v>0</v>
      </c>
      <c r="CWU2" s="8">
        <f>COUNT(CWV4:CWV400)</f>
        <v>0</v>
      </c>
      <c r="CWW2" s="8">
        <f>COUNT(CWX4:CWX400)</f>
        <v>0</v>
      </c>
      <c r="CWY2" s="8">
        <f>COUNT(CWZ4:CWZ400)</f>
        <v>0</v>
      </c>
      <c r="CXA2" s="8">
        <f>COUNT(CXB4:CXB400)</f>
        <v>0</v>
      </c>
      <c r="CXC2" s="8">
        <f>COUNT(CXD4:CXD400)</f>
        <v>0</v>
      </c>
      <c r="CXE2" s="8">
        <f>COUNT(CXF4:CXF400)</f>
        <v>0</v>
      </c>
      <c r="CXG2" s="8">
        <f>COUNT(CXH4:CXH400)</f>
        <v>0</v>
      </c>
      <c r="CXI2" s="8">
        <f>COUNT(CXJ4:CXJ400)</f>
        <v>0</v>
      </c>
      <c r="CXK2" s="8">
        <f>COUNT(CXL4:CXL400)</f>
        <v>0</v>
      </c>
      <c r="CXM2" s="8">
        <f>COUNT(CXN4:CXN400)</f>
        <v>0</v>
      </c>
      <c r="CXO2" s="8">
        <f>COUNT(CXP4:CXP400)</f>
        <v>0</v>
      </c>
      <c r="CXQ2" s="8">
        <f>COUNT(CXR4:CXR400)</f>
        <v>0</v>
      </c>
      <c r="CXS2" s="8">
        <f>COUNT(CXT4:CXT400)</f>
        <v>0</v>
      </c>
      <c r="CXU2" s="8">
        <f>COUNT(CXV4:CXV400)</f>
        <v>0</v>
      </c>
      <c r="CXW2" s="8">
        <f>COUNT(CXX4:CXX400)</f>
        <v>0</v>
      </c>
      <c r="CXY2" s="8">
        <f>COUNT(CXZ4:CXZ400)</f>
        <v>0</v>
      </c>
      <c r="CYA2" s="8">
        <f>COUNT(CYB4:CYB400)</f>
        <v>0</v>
      </c>
      <c r="CYC2" s="8">
        <f>COUNT(CYD4:CYD400)</f>
        <v>0</v>
      </c>
      <c r="CYE2" s="8">
        <f>COUNT(CYF4:CYF400)</f>
        <v>0</v>
      </c>
      <c r="CYG2" s="8">
        <f>COUNT(CYH4:CYH400)</f>
        <v>0</v>
      </c>
      <c r="CYI2" s="8">
        <f>COUNT(CYJ4:CYJ400)</f>
        <v>0</v>
      </c>
      <c r="CYK2" s="8">
        <f>COUNT(CYL4:CYL400)</f>
        <v>0</v>
      </c>
      <c r="CYM2" s="8">
        <f>COUNT(CYN4:CYN400)</f>
        <v>0</v>
      </c>
      <c r="CYO2" s="8">
        <f>COUNT(CYP4:CYP400)</f>
        <v>0</v>
      </c>
      <c r="CYQ2" s="8">
        <f>COUNT(CYR4:CYR400)</f>
        <v>0</v>
      </c>
      <c r="CYS2" s="8">
        <f>COUNT(CYT4:CYT400)</f>
        <v>0</v>
      </c>
      <c r="CYU2" s="8">
        <f>COUNT(CYV4:CYV400)</f>
        <v>0</v>
      </c>
      <c r="CYW2" s="8">
        <f>COUNT(CYX4:CYX400)</f>
        <v>0</v>
      </c>
      <c r="CYY2" s="8">
        <f>COUNT(CYZ4:CYZ400)</f>
        <v>0</v>
      </c>
      <c r="CZA2" s="8">
        <f>COUNT(CZB4:CZB400)</f>
        <v>0</v>
      </c>
      <c r="CZC2" s="8">
        <f>COUNT(CZD4:CZD400)</f>
        <v>0</v>
      </c>
      <c r="CZE2" s="8">
        <f>COUNT(CZF4:CZF400)</f>
        <v>0</v>
      </c>
      <c r="CZG2" s="8">
        <f>COUNT(CZH4:CZH400)</f>
        <v>0</v>
      </c>
      <c r="CZI2" s="8">
        <f>COUNT(CZJ4:CZJ400)</f>
        <v>0</v>
      </c>
      <c r="CZK2" s="8">
        <f>COUNT(CZL4:CZL400)</f>
        <v>0</v>
      </c>
      <c r="CZM2" s="8">
        <f>COUNT(CZN4:CZN400)</f>
        <v>0</v>
      </c>
      <c r="CZO2" s="8">
        <f>COUNT(CZP4:CZP400)</f>
        <v>0</v>
      </c>
      <c r="CZQ2" s="8">
        <f>COUNT(CZR4:CZR400)</f>
        <v>0</v>
      </c>
      <c r="CZS2" s="8">
        <f>COUNT(CZT4:CZT400)</f>
        <v>0</v>
      </c>
      <c r="CZU2" s="8">
        <f>COUNT(CZV4:CZV400)</f>
        <v>0</v>
      </c>
      <c r="CZW2" s="8">
        <f>COUNT(CZX4:CZX400)</f>
        <v>0</v>
      </c>
      <c r="CZY2" s="8">
        <f>COUNT(CZZ4:CZZ400)</f>
        <v>0</v>
      </c>
      <c r="DAA2" s="8">
        <f>COUNT(DAB4:DAB400)</f>
        <v>0</v>
      </c>
      <c r="DAC2" s="8">
        <f>COUNT(DAD4:DAD400)</f>
        <v>0</v>
      </c>
      <c r="DAE2" s="8">
        <f>COUNT(DAF4:DAF400)</f>
        <v>0</v>
      </c>
      <c r="DAG2" s="8">
        <f>COUNT(DAH4:DAH400)</f>
        <v>0</v>
      </c>
      <c r="DAI2" s="8">
        <f>COUNT(DAJ4:DAJ400)</f>
        <v>0</v>
      </c>
      <c r="DAK2" s="8">
        <f>COUNT(DAL4:DAL400)</f>
        <v>0</v>
      </c>
      <c r="DAM2" s="8">
        <f>COUNT(DAN4:DAN400)</f>
        <v>0</v>
      </c>
      <c r="DAO2" s="8">
        <f>COUNT(DAP4:DAP400)</f>
        <v>0</v>
      </c>
      <c r="DAQ2" s="8">
        <f>COUNT(DAR4:DAR400)</f>
        <v>0</v>
      </c>
      <c r="DAS2" s="8">
        <f>COUNT(DAT4:DAT400)</f>
        <v>0</v>
      </c>
      <c r="DAU2" s="8">
        <f>COUNT(DAV4:DAV400)</f>
        <v>0</v>
      </c>
      <c r="DAW2" s="8">
        <f>COUNT(DAX4:DAX400)</f>
        <v>0</v>
      </c>
      <c r="DAY2" s="8">
        <f>COUNT(DAZ4:DAZ400)</f>
        <v>0</v>
      </c>
      <c r="DBA2" s="8">
        <f>COUNT(DBB4:DBB400)</f>
        <v>0</v>
      </c>
      <c r="DBC2" s="8">
        <f>COUNT(DBD4:DBD400)</f>
        <v>0</v>
      </c>
      <c r="DBE2" s="8">
        <f>COUNT(DBF4:DBF400)</f>
        <v>0</v>
      </c>
      <c r="DBG2" s="8">
        <f>COUNT(DBH4:DBH400)</f>
        <v>0</v>
      </c>
      <c r="DBI2" s="8">
        <f>COUNT(DBJ4:DBJ400)</f>
        <v>0</v>
      </c>
      <c r="DBK2" s="8">
        <f>COUNT(DBL4:DBL400)</f>
        <v>0</v>
      </c>
      <c r="DBM2" s="8">
        <f>COUNT(DBN4:DBN400)</f>
        <v>0</v>
      </c>
      <c r="DBO2" s="8">
        <f>COUNT(DBP4:DBP400)</f>
        <v>0</v>
      </c>
      <c r="DBQ2" s="8">
        <f>COUNT(DBR4:DBR400)</f>
        <v>0</v>
      </c>
      <c r="DBS2" s="8">
        <f>COUNT(DBT4:DBT400)</f>
        <v>0</v>
      </c>
      <c r="DBU2" s="8">
        <f>COUNT(DBV4:DBV400)</f>
        <v>0</v>
      </c>
      <c r="DBW2" s="8">
        <f>COUNT(DBX4:DBX400)</f>
        <v>0</v>
      </c>
      <c r="DBY2" s="8">
        <f>COUNT(DBZ4:DBZ400)</f>
        <v>0</v>
      </c>
      <c r="DCA2" s="8">
        <f>COUNT(DCB4:DCB400)</f>
        <v>0</v>
      </c>
      <c r="DCC2" s="8">
        <f>COUNT(DCD4:DCD400)</f>
        <v>0</v>
      </c>
      <c r="DCE2" s="8">
        <f>COUNT(DCF4:DCF400)</f>
        <v>0</v>
      </c>
      <c r="DCG2" s="8">
        <f>COUNT(DCH4:DCH400)</f>
        <v>0</v>
      </c>
      <c r="DCI2" s="8">
        <f>COUNT(DCJ4:DCJ400)</f>
        <v>0</v>
      </c>
      <c r="DCK2" s="8">
        <f>COUNT(DCL4:DCL400)</f>
        <v>0</v>
      </c>
      <c r="DCM2" s="8">
        <f>COUNT(DCN4:DCN400)</f>
        <v>0</v>
      </c>
      <c r="DCO2" s="8">
        <f>COUNT(DCP4:DCP400)</f>
        <v>0</v>
      </c>
      <c r="DCQ2" s="8">
        <f>COUNT(DCR4:DCR400)</f>
        <v>0</v>
      </c>
      <c r="DCS2" s="8">
        <f>COUNT(DCT4:DCT400)</f>
        <v>0</v>
      </c>
      <c r="DCU2" s="8">
        <f>COUNT(DCV4:DCV400)</f>
        <v>0</v>
      </c>
      <c r="DCW2" s="8">
        <f>COUNT(DCX4:DCX400)</f>
        <v>0</v>
      </c>
      <c r="DCY2" s="8">
        <f>COUNT(DCZ4:DCZ400)</f>
        <v>0</v>
      </c>
      <c r="DDA2" s="8">
        <f>COUNT(DDB4:DDB400)</f>
        <v>0</v>
      </c>
      <c r="DDC2" s="8">
        <f>COUNT(DDD4:DDD400)</f>
        <v>0</v>
      </c>
      <c r="DDE2" s="8">
        <f>COUNT(DDF4:DDF400)</f>
        <v>0</v>
      </c>
      <c r="DDG2" s="8">
        <f>COUNT(DDH4:DDH400)</f>
        <v>0</v>
      </c>
      <c r="DDI2" s="8">
        <f>COUNT(DDJ4:DDJ400)</f>
        <v>0</v>
      </c>
      <c r="DDK2" s="8">
        <f>COUNT(DDL4:DDL400)</f>
        <v>0</v>
      </c>
      <c r="DDM2" s="8">
        <f>COUNT(DDN4:DDN400)</f>
        <v>0</v>
      </c>
      <c r="DDO2" s="8">
        <f>COUNT(DDP4:DDP400)</f>
        <v>0</v>
      </c>
      <c r="DDQ2" s="8">
        <f>COUNT(DDR4:DDR400)</f>
        <v>0</v>
      </c>
      <c r="DDS2" s="8">
        <f>COUNT(DDT4:DDT400)</f>
        <v>0</v>
      </c>
      <c r="DDU2" s="8">
        <f>COUNT(DDV4:DDV400)</f>
        <v>0</v>
      </c>
      <c r="DDW2" s="8">
        <f>COUNT(DDX4:DDX400)</f>
        <v>0</v>
      </c>
      <c r="DDY2" s="8">
        <f>COUNT(DDZ4:DDZ400)</f>
        <v>0</v>
      </c>
      <c r="DEA2" s="8">
        <f>COUNT(DEB4:DEB400)</f>
        <v>0</v>
      </c>
      <c r="DEC2" s="8">
        <f>COUNT(DED4:DED400)</f>
        <v>0</v>
      </c>
      <c r="DEE2" s="8">
        <f>COUNT(DEF4:DEF400)</f>
        <v>0</v>
      </c>
      <c r="DEG2" s="8">
        <f>COUNT(DEH4:DEH400)</f>
        <v>0</v>
      </c>
      <c r="DEI2" s="8">
        <f>COUNT(DEJ4:DEJ400)</f>
        <v>0</v>
      </c>
      <c r="DEK2" s="8">
        <f>COUNT(DEL4:DEL400)</f>
        <v>0</v>
      </c>
      <c r="DEM2" s="8">
        <f>COUNT(DEN4:DEN400)</f>
        <v>0</v>
      </c>
      <c r="DEO2" s="8">
        <f>COUNT(DEP4:DEP400)</f>
        <v>0</v>
      </c>
      <c r="DEQ2" s="8">
        <f>COUNT(DER4:DER400)</f>
        <v>0</v>
      </c>
      <c r="DES2" s="8">
        <f>COUNT(DET4:DET400)</f>
        <v>0</v>
      </c>
      <c r="DEU2" s="8">
        <f>COUNT(DEV4:DEV400)</f>
        <v>0</v>
      </c>
      <c r="DEW2" s="8">
        <f>COUNT(DEX4:DEX400)</f>
        <v>0</v>
      </c>
      <c r="DEY2" s="8">
        <f>COUNT(DEZ4:DEZ400)</f>
        <v>0</v>
      </c>
      <c r="DFA2" s="8">
        <f>COUNT(DFB4:DFB400)</f>
        <v>0</v>
      </c>
      <c r="DFC2" s="8">
        <f>COUNT(DFD4:DFD400)</f>
        <v>0</v>
      </c>
      <c r="DFE2" s="8">
        <f>COUNT(DFF4:DFF400)</f>
        <v>0</v>
      </c>
      <c r="DFG2" s="8">
        <f>COUNT(DFH4:DFH400)</f>
        <v>0</v>
      </c>
      <c r="DFI2" s="8">
        <f>COUNT(DFJ4:DFJ400)</f>
        <v>0</v>
      </c>
      <c r="DFK2" s="8">
        <f>COUNT(DFL4:DFL400)</f>
        <v>0</v>
      </c>
      <c r="DFM2" s="8">
        <f>COUNT(DFN4:DFN400)</f>
        <v>0</v>
      </c>
      <c r="DFO2" s="8">
        <f>COUNT(DFP4:DFP400)</f>
        <v>0</v>
      </c>
      <c r="DFQ2" s="8">
        <f>COUNT(DFR4:DFR400)</f>
        <v>0</v>
      </c>
      <c r="DFS2" s="8">
        <f>COUNT(DFT4:DFT400)</f>
        <v>0</v>
      </c>
      <c r="DFU2" s="8">
        <f>COUNT(DFV4:DFV400)</f>
        <v>0</v>
      </c>
      <c r="DFW2" s="8">
        <f>COUNT(DFX4:DFX400)</f>
        <v>0</v>
      </c>
      <c r="DFY2" s="8">
        <f>COUNT(DFZ4:DFZ400)</f>
        <v>0</v>
      </c>
      <c r="DGA2" s="8">
        <f>COUNT(DGB4:DGB400)</f>
        <v>0</v>
      </c>
      <c r="DGC2" s="8">
        <f>COUNT(DGD4:DGD400)</f>
        <v>0</v>
      </c>
      <c r="DGE2" s="8">
        <f>COUNT(DGF4:DGF400)</f>
        <v>0</v>
      </c>
      <c r="DGG2" s="8">
        <f>COUNT(DGH4:DGH400)</f>
        <v>0</v>
      </c>
      <c r="DGI2" s="8">
        <f>COUNT(DGJ4:DGJ400)</f>
        <v>0</v>
      </c>
      <c r="DGK2" s="8">
        <f>COUNT(DGL4:DGL400)</f>
        <v>0</v>
      </c>
      <c r="DGM2" s="8">
        <f>COUNT(DGN4:DGN400)</f>
        <v>0</v>
      </c>
      <c r="DGO2" s="8">
        <f>COUNT(DGP4:DGP400)</f>
        <v>0</v>
      </c>
      <c r="DGQ2" s="8">
        <f>COUNT(DGR4:DGR400)</f>
        <v>0</v>
      </c>
      <c r="DGS2" s="8">
        <f>COUNT(DGT4:DGT400)</f>
        <v>0</v>
      </c>
      <c r="DGU2" s="8">
        <f>COUNT(DGV4:DGV400)</f>
        <v>0</v>
      </c>
      <c r="DGW2" s="8">
        <f>COUNT(DGX4:DGX400)</f>
        <v>0</v>
      </c>
      <c r="DGY2" s="8">
        <f>COUNT(DGZ4:DGZ400)</f>
        <v>0</v>
      </c>
      <c r="DHA2" s="8">
        <f>COUNT(DHB4:DHB400)</f>
        <v>0</v>
      </c>
      <c r="DHC2" s="8">
        <f>COUNT(DHD4:DHD400)</f>
        <v>0</v>
      </c>
      <c r="DHE2" s="8">
        <f>COUNT(DHF4:DHF400)</f>
        <v>0</v>
      </c>
      <c r="DHG2" s="8">
        <f>COUNT(DHH4:DHH400)</f>
        <v>0</v>
      </c>
      <c r="DHI2" s="8">
        <f>COUNT(DHJ4:DHJ400)</f>
        <v>0</v>
      </c>
      <c r="DHK2" s="8">
        <f>COUNT(DHL4:DHL400)</f>
        <v>0</v>
      </c>
      <c r="DHM2" s="8">
        <f>COUNT(DHN4:DHN400)</f>
        <v>0</v>
      </c>
      <c r="DHO2" s="8">
        <f>COUNT(DHP4:DHP400)</f>
        <v>0</v>
      </c>
      <c r="DHQ2" s="8">
        <f>COUNT(DHR4:DHR400)</f>
        <v>0</v>
      </c>
      <c r="DHS2" s="8">
        <f>COUNT(DHT4:DHT400)</f>
        <v>0</v>
      </c>
      <c r="DHU2" s="8">
        <f>COUNT(DHV4:DHV400)</f>
        <v>0</v>
      </c>
      <c r="DHW2" s="8">
        <f>COUNT(DHX4:DHX400)</f>
        <v>0</v>
      </c>
      <c r="DHY2" s="8">
        <f>COUNT(DHZ4:DHZ400)</f>
        <v>0</v>
      </c>
      <c r="DIA2" s="8">
        <f>COUNT(DIB4:DIB400)</f>
        <v>0</v>
      </c>
      <c r="DIC2" s="8">
        <f>COUNT(DID4:DID400)</f>
        <v>0</v>
      </c>
      <c r="DIE2" s="8">
        <f>COUNT(DIF4:DIF400)</f>
        <v>0</v>
      </c>
      <c r="DIG2" s="8">
        <f>COUNT(DIH4:DIH400)</f>
        <v>0</v>
      </c>
      <c r="DII2" s="8">
        <f>COUNT(DIJ4:DIJ400)</f>
        <v>0</v>
      </c>
      <c r="DIK2" s="8">
        <f>COUNT(DIL4:DIL400)</f>
        <v>0</v>
      </c>
      <c r="DIM2" s="8">
        <f>COUNT(DIN4:DIN400)</f>
        <v>0</v>
      </c>
      <c r="DIO2" s="8">
        <f>COUNT(DIP4:DIP400)</f>
        <v>0</v>
      </c>
      <c r="DIQ2" s="8">
        <f>COUNT(DIR4:DIR400)</f>
        <v>0</v>
      </c>
      <c r="DIS2" s="8">
        <f>COUNT(DIT4:DIT400)</f>
        <v>0</v>
      </c>
      <c r="DIU2" s="8">
        <f>COUNT(DIV4:DIV400)</f>
        <v>0</v>
      </c>
      <c r="DIW2" s="8">
        <f>COUNT(DIX4:DIX400)</f>
        <v>0</v>
      </c>
      <c r="DIY2" s="8">
        <f>COUNT(DIZ4:DIZ400)</f>
        <v>0</v>
      </c>
      <c r="DJA2" s="8">
        <f>COUNT(DJB4:DJB400)</f>
        <v>0</v>
      </c>
      <c r="DJC2" s="8">
        <f>COUNT(DJD4:DJD400)</f>
        <v>0</v>
      </c>
      <c r="DJE2" s="8">
        <f>COUNT(DJF4:DJF400)</f>
        <v>0</v>
      </c>
      <c r="DJG2" s="8">
        <f>COUNT(DJH4:DJH400)</f>
        <v>0</v>
      </c>
      <c r="DJI2" s="8">
        <f>COUNT(DJJ4:DJJ400)</f>
        <v>0</v>
      </c>
      <c r="DJK2" s="8">
        <f>COUNT(DJL4:DJL400)</f>
        <v>0</v>
      </c>
      <c r="DJM2" s="8">
        <f>COUNT(DJN4:DJN400)</f>
        <v>0</v>
      </c>
      <c r="DJO2" s="8">
        <f>COUNT(DJP4:DJP400)</f>
        <v>0</v>
      </c>
      <c r="DJQ2" s="8">
        <f>COUNT(DJR4:DJR400)</f>
        <v>0</v>
      </c>
      <c r="DJS2" s="8">
        <f>COUNT(DJT4:DJT400)</f>
        <v>0</v>
      </c>
      <c r="DJU2" s="8">
        <f>COUNT(DJV4:DJV400)</f>
        <v>0</v>
      </c>
      <c r="DJW2" s="8">
        <f>COUNT(DJX4:DJX400)</f>
        <v>0</v>
      </c>
      <c r="DJY2" s="8">
        <f>COUNT(DJZ4:DJZ400)</f>
        <v>0</v>
      </c>
      <c r="DKA2" s="8">
        <f>COUNT(DKB4:DKB400)</f>
        <v>0</v>
      </c>
      <c r="DKC2" s="8">
        <f>COUNT(DKD4:DKD400)</f>
        <v>0</v>
      </c>
      <c r="DKE2" s="8">
        <f>COUNT(DKF4:DKF400)</f>
        <v>0</v>
      </c>
      <c r="DKG2" s="8">
        <f>COUNT(DKH4:DKH400)</f>
        <v>0</v>
      </c>
      <c r="DKI2" s="8">
        <f>COUNT(DKJ4:DKJ400)</f>
        <v>0</v>
      </c>
      <c r="DKK2" s="8">
        <f>COUNT(DKL4:DKL400)</f>
        <v>0</v>
      </c>
      <c r="DKM2" s="8">
        <f>COUNT(DKN4:DKN400)</f>
        <v>0</v>
      </c>
      <c r="DKO2" s="8">
        <f>COUNT(DKP4:DKP400)</f>
        <v>0</v>
      </c>
      <c r="DKQ2" s="8">
        <f>COUNT(DKR4:DKR400)</f>
        <v>0</v>
      </c>
      <c r="DKS2" s="8">
        <f>COUNT(DKT4:DKT400)</f>
        <v>0</v>
      </c>
      <c r="DKU2" s="8">
        <f>COUNT(DKV4:DKV400)</f>
        <v>0</v>
      </c>
      <c r="DKW2" s="8">
        <f>COUNT(DKX4:DKX400)</f>
        <v>0</v>
      </c>
      <c r="DKY2" s="8">
        <f>COUNT(DKZ4:DKZ400)</f>
        <v>0</v>
      </c>
      <c r="DLA2" s="8">
        <f>COUNT(DLB4:DLB400)</f>
        <v>0</v>
      </c>
      <c r="DLC2" s="8">
        <f>COUNT(DLD4:DLD400)</f>
        <v>0</v>
      </c>
      <c r="DLE2" s="8">
        <f>COUNT(DLF4:DLF400)</f>
        <v>0</v>
      </c>
      <c r="DLG2" s="8">
        <f>COUNT(DLH4:DLH400)</f>
        <v>0</v>
      </c>
      <c r="DLI2" s="8">
        <f>COUNT(DLJ4:DLJ400)</f>
        <v>0</v>
      </c>
      <c r="DLK2" s="8">
        <f>COUNT(DLL4:DLL400)</f>
        <v>0</v>
      </c>
      <c r="DLM2" s="8">
        <f>COUNT(DLN4:DLN400)</f>
        <v>0</v>
      </c>
      <c r="DLO2" s="8">
        <f>COUNT(DLP4:DLP400)</f>
        <v>0</v>
      </c>
      <c r="DLQ2" s="8">
        <f>COUNT(DLR4:DLR400)</f>
        <v>0</v>
      </c>
      <c r="DLS2" s="8">
        <f>COUNT(DLT4:DLT400)</f>
        <v>0</v>
      </c>
      <c r="DLU2" s="8">
        <f>COUNT(DLV4:DLV400)</f>
        <v>0</v>
      </c>
      <c r="DLW2" s="8">
        <f>COUNT(DLX4:DLX400)</f>
        <v>0</v>
      </c>
      <c r="DLY2" s="8">
        <f>COUNT(DLZ4:DLZ400)</f>
        <v>0</v>
      </c>
      <c r="DMA2" s="8">
        <f>COUNT(DMB4:DMB400)</f>
        <v>0</v>
      </c>
      <c r="DMC2" s="8">
        <f>COUNT(DMD4:DMD400)</f>
        <v>0</v>
      </c>
      <c r="DME2" s="8">
        <f>COUNT(DMF4:DMF400)</f>
        <v>0</v>
      </c>
      <c r="DMG2" s="8">
        <f>COUNT(DMH4:DMH400)</f>
        <v>0</v>
      </c>
      <c r="DMI2" s="8">
        <f>COUNT(DMJ4:DMJ400)</f>
        <v>0</v>
      </c>
      <c r="DMK2" s="8">
        <f>COUNT(DML4:DML400)</f>
        <v>0</v>
      </c>
      <c r="DMM2" s="8">
        <f>COUNT(DMN4:DMN400)</f>
        <v>0</v>
      </c>
      <c r="DMO2" s="8">
        <f>COUNT(DMP4:DMP400)</f>
        <v>0</v>
      </c>
      <c r="DMQ2" s="8">
        <f>COUNT(DMR4:DMR400)</f>
        <v>0</v>
      </c>
      <c r="DMS2" s="8">
        <f>COUNT(DMT4:DMT400)</f>
        <v>0</v>
      </c>
      <c r="DMU2" s="8">
        <f>COUNT(DMV4:DMV400)</f>
        <v>0</v>
      </c>
      <c r="DMW2" s="8">
        <f>COUNT(DMX4:DMX400)</f>
        <v>0</v>
      </c>
      <c r="DMY2" s="8">
        <f>COUNT(DMZ4:DMZ400)</f>
        <v>0</v>
      </c>
      <c r="DNA2" s="8">
        <f>COUNT(DNB4:DNB400)</f>
        <v>0</v>
      </c>
      <c r="DNC2" s="8">
        <f>COUNT(DND4:DND400)</f>
        <v>0</v>
      </c>
      <c r="DNE2" s="8">
        <f>COUNT(DNF4:DNF400)</f>
        <v>0</v>
      </c>
      <c r="DNG2" s="8">
        <f>COUNT(DNH4:DNH400)</f>
        <v>0</v>
      </c>
      <c r="DNI2" s="8">
        <f>COUNT(DNJ4:DNJ400)</f>
        <v>0</v>
      </c>
      <c r="DNK2" s="8">
        <f>COUNT(DNL4:DNL400)</f>
        <v>0</v>
      </c>
      <c r="DNM2" s="8">
        <f>COUNT(DNN4:DNN400)</f>
        <v>0</v>
      </c>
      <c r="DNO2" s="8">
        <f>COUNT(DNP4:DNP400)</f>
        <v>0</v>
      </c>
      <c r="DNQ2" s="8">
        <f>COUNT(DNR4:DNR400)</f>
        <v>0</v>
      </c>
      <c r="DNS2" s="8">
        <f>COUNT(DNT4:DNT400)</f>
        <v>0</v>
      </c>
      <c r="DNU2" s="8">
        <f>COUNT(DNV4:DNV400)</f>
        <v>0</v>
      </c>
      <c r="DNW2" s="8">
        <f>COUNT(DNX4:DNX400)</f>
        <v>0</v>
      </c>
      <c r="DNY2" s="8">
        <f>COUNT(DNZ4:DNZ400)</f>
        <v>0</v>
      </c>
      <c r="DOA2" s="8">
        <f>COUNT(DOB4:DOB400)</f>
        <v>0</v>
      </c>
      <c r="DOC2" s="8">
        <f>COUNT(DOD4:DOD400)</f>
        <v>0</v>
      </c>
      <c r="DOE2" s="8">
        <f>COUNT(DOF4:DOF400)</f>
        <v>0</v>
      </c>
      <c r="DOG2" s="8">
        <f>COUNT(DOH4:DOH400)</f>
        <v>0</v>
      </c>
      <c r="DOI2" s="8">
        <f>COUNT(DOJ4:DOJ400)</f>
        <v>0</v>
      </c>
      <c r="DOK2" s="8">
        <f>COUNT(DOL4:DOL400)</f>
        <v>0</v>
      </c>
      <c r="DOM2" s="8">
        <f>COUNT(DON4:DON400)</f>
        <v>0</v>
      </c>
      <c r="DOO2" s="8">
        <f>COUNT(DOP4:DOP400)</f>
        <v>0</v>
      </c>
      <c r="DOQ2" s="8">
        <f>COUNT(DOR4:DOR400)</f>
        <v>0</v>
      </c>
      <c r="DOS2" s="8">
        <f>COUNT(DOT4:DOT400)</f>
        <v>0</v>
      </c>
      <c r="DOU2" s="8">
        <f>COUNT(DOV4:DOV400)</f>
        <v>0</v>
      </c>
      <c r="DOW2" s="8">
        <f>COUNT(DOX4:DOX400)</f>
        <v>0</v>
      </c>
      <c r="DOY2" s="8">
        <f>COUNT(DOZ4:DOZ400)</f>
        <v>0</v>
      </c>
      <c r="DPA2" s="8">
        <f>COUNT(DPB4:DPB400)</f>
        <v>0</v>
      </c>
      <c r="DPC2" s="8">
        <f>COUNT(DPD4:DPD400)</f>
        <v>0</v>
      </c>
      <c r="DPE2" s="8">
        <f>COUNT(DPF4:DPF400)</f>
        <v>0</v>
      </c>
      <c r="DPG2" s="8">
        <f>COUNT(DPH4:DPH400)</f>
        <v>0</v>
      </c>
      <c r="DPI2" s="8">
        <f>COUNT(DPJ4:DPJ400)</f>
        <v>0</v>
      </c>
      <c r="DPK2" s="8">
        <f>COUNT(DPL4:DPL400)</f>
        <v>0</v>
      </c>
      <c r="DPM2" s="8">
        <f>COUNT(DPN4:DPN400)</f>
        <v>0</v>
      </c>
      <c r="DPO2" s="8">
        <f>COUNT(DPP4:DPP400)</f>
        <v>0</v>
      </c>
      <c r="DPQ2" s="8">
        <f>COUNT(DPR4:DPR400)</f>
        <v>0</v>
      </c>
      <c r="DPS2" s="8">
        <f>COUNT(DPT4:DPT400)</f>
        <v>0</v>
      </c>
      <c r="DPU2" s="8">
        <f>COUNT(DPV4:DPV400)</f>
        <v>0</v>
      </c>
      <c r="DPW2" s="8">
        <f>COUNT(DPX4:DPX400)</f>
        <v>0</v>
      </c>
      <c r="DPY2" s="8">
        <f>COUNT(DPZ4:DPZ400)</f>
        <v>0</v>
      </c>
      <c r="DQA2" s="8">
        <f>COUNT(DQB4:DQB400)</f>
        <v>0</v>
      </c>
      <c r="DQC2" s="8">
        <f>COUNT(DQD4:DQD400)</f>
        <v>0</v>
      </c>
      <c r="DQE2" s="8">
        <f>COUNT(DQF4:DQF400)</f>
        <v>0</v>
      </c>
      <c r="DQG2" s="8">
        <f>COUNT(DQH4:DQH400)</f>
        <v>0</v>
      </c>
      <c r="DQI2" s="8">
        <f>COUNT(DQJ4:DQJ400)</f>
        <v>0</v>
      </c>
      <c r="DQK2" s="8">
        <f>COUNT(DQL4:DQL400)</f>
        <v>0</v>
      </c>
      <c r="DQM2" s="8">
        <f>COUNT(DQN4:DQN400)</f>
        <v>0</v>
      </c>
      <c r="DQO2" s="8">
        <f>COUNT(DQP4:DQP400)</f>
        <v>0</v>
      </c>
      <c r="DQQ2" s="8">
        <f>COUNT(DQR4:DQR400)</f>
        <v>0</v>
      </c>
      <c r="DQS2" s="8">
        <f>COUNT(DQT4:DQT400)</f>
        <v>0</v>
      </c>
      <c r="DQU2" s="8">
        <f>COUNT(DQV4:DQV400)</f>
        <v>0</v>
      </c>
      <c r="DQW2" s="8">
        <f>COUNT(DQX4:DQX400)</f>
        <v>0</v>
      </c>
      <c r="DQY2" s="8">
        <f>COUNT(DQZ4:DQZ400)</f>
        <v>0</v>
      </c>
      <c r="DRA2" s="8">
        <f>COUNT(DRB4:DRB400)</f>
        <v>0</v>
      </c>
      <c r="DRC2" s="8">
        <f>COUNT(DRD4:DRD400)</f>
        <v>0</v>
      </c>
      <c r="DRE2" s="8">
        <f>COUNT(DRF4:DRF400)</f>
        <v>0</v>
      </c>
      <c r="DRG2" s="8">
        <f>COUNT(DRH4:DRH400)</f>
        <v>0</v>
      </c>
      <c r="DRI2" s="8">
        <f>COUNT(DRJ4:DRJ400)</f>
        <v>0</v>
      </c>
      <c r="DRK2" s="8">
        <f>COUNT(DRL4:DRL400)</f>
        <v>0</v>
      </c>
      <c r="DRM2" s="8">
        <f>COUNT(DRN4:DRN400)</f>
        <v>0</v>
      </c>
      <c r="DRO2" s="8">
        <f>COUNT(DRP4:DRP400)</f>
        <v>0</v>
      </c>
      <c r="DRQ2" s="8">
        <f>COUNT(DRR4:DRR400)</f>
        <v>0</v>
      </c>
      <c r="DRS2" s="8">
        <f>COUNT(DRT4:DRT400)</f>
        <v>0</v>
      </c>
      <c r="DRU2" s="8">
        <f>COUNT(DRV4:DRV400)</f>
        <v>0</v>
      </c>
      <c r="DRW2" s="8">
        <f>COUNT(DRX4:DRX400)</f>
        <v>0</v>
      </c>
      <c r="DRY2" s="8">
        <f>COUNT(DRZ4:DRZ400)</f>
        <v>0</v>
      </c>
      <c r="DSA2" s="8">
        <f>COUNT(DSB4:DSB400)</f>
        <v>0</v>
      </c>
      <c r="DSC2" s="8">
        <f>COUNT(DSD4:DSD400)</f>
        <v>0</v>
      </c>
      <c r="DSE2" s="8">
        <f>COUNT(DSF4:DSF400)</f>
        <v>0</v>
      </c>
      <c r="DSG2" s="8">
        <f>COUNT(DSH4:DSH400)</f>
        <v>0</v>
      </c>
      <c r="DSI2" s="8">
        <f>COUNT(DSJ4:DSJ400)</f>
        <v>0</v>
      </c>
      <c r="DSK2" s="8">
        <f>COUNT(DSL4:DSL400)</f>
        <v>0</v>
      </c>
      <c r="DSM2" s="8">
        <f>COUNT(DSN4:DSN400)</f>
        <v>0</v>
      </c>
      <c r="DSO2" s="8">
        <f>COUNT(DSP4:DSP400)</f>
        <v>0</v>
      </c>
      <c r="DSQ2" s="8">
        <f>COUNT(DSR4:DSR400)</f>
        <v>0</v>
      </c>
      <c r="DSS2" s="8">
        <f>COUNT(DST4:DST400)</f>
        <v>0</v>
      </c>
      <c r="DSU2" s="8">
        <f>COUNT(DSV4:DSV400)</f>
        <v>0</v>
      </c>
      <c r="DSW2" s="8">
        <f>COUNT(DSX4:DSX400)</f>
        <v>0</v>
      </c>
      <c r="DSY2" s="8">
        <f>COUNT(DSZ4:DSZ400)</f>
        <v>0</v>
      </c>
      <c r="DTA2" s="8">
        <f>COUNT(DTB4:DTB400)</f>
        <v>0</v>
      </c>
      <c r="DTC2" s="8">
        <f>COUNT(DTD4:DTD400)</f>
        <v>0</v>
      </c>
      <c r="DTE2" s="8">
        <f>COUNT(DTF4:DTF400)</f>
        <v>0</v>
      </c>
      <c r="DTG2" s="8">
        <f>COUNT(DTH4:DTH400)</f>
        <v>0</v>
      </c>
      <c r="DTI2" s="8">
        <f>COUNT(DTJ4:DTJ400)</f>
        <v>0</v>
      </c>
      <c r="DTK2" s="8">
        <f>COUNT(DTL4:DTL400)</f>
        <v>0</v>
      </c>
      <c r="DTM2" s="8">
        <f>COUNT(DTN4:DTN400)</f>
        <v>0</v>
      </c>
      <c r="DTO2" s="8">
        <f>COUNT(DTP4:DTP400)</f>
        <v>0</v>
      </c>
      <c r="DTQ2" s="8">
        <f>COUNT(DTR4:DTR400)</f>
        <v>0</v>
      </c>
      <c r="DTS2" s="8">
        <f>COUNT(DTT4:DTT400)</f>
        <v>0</v>
      </c>
      <c r="DTU2" s="8">
        <f>COUNT(DTV4:DTV400)</f>
        <v>0</v>
      </c>
      <c r="DTW2" s="8">
        <f>COUNT(DTX4:DTX400)</f>
        <v>0</v>
      </c>
      <c r="DTY2" s="8">
        <f>COUNT(DTZ4:DTZ400)</f>
        <v>0</v>
      </c>
      <c r="DUA2" s="8">
        <f>COUNT(DUB4:DUB400)</f>
        <v>0</v>
      </c>
      <c r="DUC2" s="8">
        <f>COUNT(DUD4:DUD400)</f>
        <v>0</v>
      </c>
      <c r="DUE2" s="8">
        <f>COUNT(DUF4:DUF400)</f>
        <v>0</v>
      </c>
      <c r="DUG2" s="8">
        <f>COUNT(DUH4:DUH400)</f>
        <v>0</v>
      </c>
      <c r="DUI2" s="8">
        <f>COUNT(DUJ4:DUJ400)</f>
        <v>0</v>
      </c>
      <c r="DUK2" s="8">
        <f>COUNT(DUL4:DUL400)</f>
        <v>0</v>
      </c>
      <c r="DUM2" s="8">
        <f>COUNT(DUN4:DUN400)</f>
        <v>0</v>
      </c>
      <c r="DUO2" s="8">
        <f>COUNT(DUP4:DUP400)</f>
        <v>0</v>
      </c>
      <c r="DUQ2" s="8">
        <f>COUNT(DUR4:DUR400)</f>
        <v>0</v>
      </c>
      <c r="DUS2" s="8">
        <f>COUNT(DUT4:DUT400)</f>
        <v>0</v>
      </c>
      <c r="DUU2" s="8">
        <f>COUNT(DUV4:DUV400)</f>
        <v>0</v>
      </c>
      <c r="DUW2" s="8">
        <f>COUNT(DUX4:DUX400)</f>
        <v>0</v>
      </c>
      <c r="DUY2" s="8">
        <f>COUNT(DUZ4:DUZ400)</f>
        <v>0</v>
      </c>
      <c r="DVA2" s="8">
        <f>COUNT(DVB4:DVB400)</f>
        <v>0</v>
      </c>
      <c r="DVC2" s="8">
        <f>COUNT(DVD4:DVD400)</f>
        <v>0</v>
      </c>
      <c r="DVE2" s="8">
        <f>COUNT(DVF4:DVF400)</f>
        <v>0</v>
      </c>
      <c r="DVG2" s="8">
        <f>COUNT(DVH4:DVH400)</f>
        <v>0</v>
      </c>
      <c r="DVI2" s="8">
        <f>COUNT(DVJ4:DVJ400)</f>
        <v>0</v>
      </c>
      <c r="DVK2" s="8">
        <f>COUNT(DVL4:DVL400)</f>
        <v>0</v>
      </c>
      <c r="DVM2" s="8">
        <f>COUNT(DVN4:DVN400)</f>
        <v>0</v>
      </c>
      <c r="DVO2" s="8">
        <f>COUNT(DVP4:DVP400)</f>
        <v>0</v>
      </c>
      <c r="DVQ2" s="8">
        <f>COUNT(DVR4:DVR400)</f>
        <v>0</v>
      </c>
      <c r="DVS2" s="8">
        <f>COUNT(DVT4:DVT400)</f>
        <v>0</v>
      </c>
      <c r="DVU2" s="8">
        <f>COUNT(DVV4:DVV400)</f>
        <v>0</v>
      </c>
      <c r="DVW2" s="8">
        <f>COUNT(DVX4:DVX400)</f>
        <v>0</v>
      </c>
      <c r="DVY2" s="8">
        <f>COUNT(DVZ4:DVZ400)</f>
        <v>0</v>
      </c>
      <c r="DWA2" s="8">
        <f>COUNT(DWB4:DWB400)</f>
        <v>0</v>
      </c>
      <c r="DWC2" s="8">
        <f>COUNT(DWD4:DWD400)</f>
        <v>0</v>
      </c>
      <c r="DWE2" s="8">
        <f>COUNT(DWF4:DWF400)</f>
        <v>0</v>
      </c>
      <c r="DWG2" s="8">
        <f>COUNT(DWH4:DWH400)</f>
        <v>0</v>
      </c>
      <c r="DWI2" s="8">
        <f>COUNT(DWJ4:DWJ400)</f>
        <v>0</v>
      </c>
      <c r="DWK2" s="8">
        <f>COUNT(DWL4:DWL400)</f>
        <v>0</v>
      </c>
      <c r="DWM2" s="8">
        <f>COUNT(DWN4:DWN400)</f>
        <v>0</v>
      </c>
      <c r="DWO2" s="8">
        <f>COUNT(DWP4:DWP400)</f>
        <v>0</v>
      </c>
      <c r="DWQ2" s="8">
        <f>COUNT(DWR4:DWR400)</f>
        <v>0</v>
      </c>
      <c r="DWS2" s="8">
        <f>COUNT(DWT4:DWT400)</f>
        <v>0</v>
      </c>
      <c r="DWU2" s="8">
        <f>COUNT(DWV4:DWV400)</f>
        <v>0</v>
      </c>
      <c r="DWW2" s="8">
        <f>COUNT(DWX4:DWX400)</f>
        <v>0</v>
      </c>
      <c r="DWY2" s="8">
        <f>COUNT(DWZ4:DWZ400)</f>
        <v>0</v>
      </c>
      <c r="DXA2" s="8">
        <f>COUNT(DXB4:DXB400)</f>
        <v>0</v>
      </c>
      <c r="DXC2" s="8">
        <f>COUNT(DXD4:DXD400)</f>
        <v>0</v>
      </c>
      <c r="DXE2" s="8">
        <f>COUNT(DXF4:DXF400)</f>
        <v>0</v>
      </c>
      <c r="DXG2" s="8">
        <f>COUNT(DXH4:DXH400)</f>
        <v>0</v>
      </c>
      <c r="DXI2" s="8">
        <f>COUNT(DXJ4:DXJ400)</f>
        <v>0</v>
      </c>
      <c r="DXK2" s="8">
        <f>COUNT(DXL4:DXL400)</f>
        <v>0</v>
      </c>
      <c r="DXM2" s="8">
        <f>COUNT(DXN4:DXN400)</f>
        <v>0</v>
      </c>
      <c r="DXO2" s="8">
        <f>COUNT(DXP4:DXP400)</f>
        <v>0</v>
      </c>
      <c r="DXQ2" s="8">
        <f>COUNT(DXR4:DXR400)</f>
        <v>0</v>
      </c>
      <c r="DXS2" s="8">
        <f>COUNT(DXT4:DXT400)</f>
        <v>0</v>
      </c>
      <c r="DXU2" s="8">
        <f>COUNT(DXV4:DXV400)</f>
        <v>0</v>
      </c>
      <c r="DXW2" s="8">
        <f>COUNT(DXX4:DXX400)</f>
        <v>0</v>
      </c>
      <c r="DXY2" s="8">
        <f>COUNT(DXZ4:DXZ400)</f>
        <v>0</v>
      </c>
      <c r="DYA2" s="8">
        <f>COUNT(DYB4:DYB400)</f>
        <v>0</v>
      </c>
      <c r="DYC2" s="8">
        <f>COUNT(DYD4:DYD400)</f>
        <v>0</v>
      </c>
      <c r="DYE2" s="8">
        <f>COUNT(DYF4:DYF400)</f>
        <v>0</v>
      </c>
      <c r="DYG2" s="8">
        <f>COUNT(DYH4:DYH400)</f>
        <v>0</v>
      </c>
      <c r="DYI2" s="8">
        <f>COUNT(DYJ4:DYJ400)</f>
        <v>0</v>
      </c>
      <c r="DYK2" s="8">
        <f>COUNT(DYL4:DYL400)</f>
        <v>0</v>
      </c>
      <c r="DYM2" s="8">
        <f>COUNT(DYN4:DYN400)</f>
        <v>0</v>
      </c>
      <c r="DYO2" s="8">
        <f>COUNT(DYP4:DYP400)</f>
        <v>0</v>
      </c>
      <c r="DYQ2" s="8">
        <f>COUNT(DYR4:DYR400)</f>
        <v>0</v>
      </c>
      <c r="DYS2" s="8">
        <f>COUNT(DYT4:DYT400)</f>
        <v>0</v>
      </c>
      <c r="DYU2" s="8">
        <f>COUNT(DYV4:DYV400)</f>
        <v>0</v>
      </c>
      <c r="DYW2" s="8">
        <f>COUNT(DYX4:DYX400)</f>
        <v>0</v>
      </c>
      <c r="DYY2" s="8">
        <f>COUNT(DYZ4:DYZ400)</f>
        <v>0</v>
      </c>
      <c r="DZA2" s="8">
        <f>COUNT(DZB4:DZB400)</f>
        <v>0</v>
      </c>
      <c r="DZC2" s="8">
        <f>COUNT(DZD4:DZD400)</f>
        <v>0</v>
      </c>
      <c r="DZE2" s="8">
        <f>COUNT(DZF4:DZF400)</f>
        <v>0</v>
      </c>
      <c r="DZG2" s="8">
        <f>COUNT(DZH4:DZH400)</f>
        <v>0</v>
      </c>
      <c r="DZI2" s="8">
        <f>COUNT(DZJ4:DZJ400)</f>
        <v>0</v>
      </c>
      <c r="DZK2" s="8">
        <f>COUNT(DZL4:DZL400)</f>
        <v>0</v>
      </c>
      <c r="DZM2" s="8">
        <f>COUNT(DZN4:DZN400)</f>
        <v>0</v>
      </c>
      <c r="DZO2" s="8">
        <f>COUNT(DZP4:DZP400)</f>
        <v>0</v>
      </c>
      <c r="DZQ2" s="8">
        <f>COUNT(DZR4:DZR400)</f>
        <v>0</v>
      </c>
      <c r="DZS2" s="8">
        <f>COUNT(DZT4:DZT400)</f>
        <v>0</v>
      </c>
      <c r="DZU2" s="8">
        <f>COUNT(DZV4:DZV400)</f>
        <v>0</v>
      </c>
      <c r="DZW2" s="8">
        <f>COUNT(DZX4:DZX400)</f>
        <v>0</v>
      </c>
      <c r="DZY2" s="8">
        <f>COUNT(DZZ4:DZZ400)</f>
        <v>0</v>
      </c>
      <c r="EAA2" s="8">
        <f>COUNT(EAB4:EAB400)</f>
        <v>0</v>
      </c>
      <c r="EAC2" s="8">
        <f>COUNT(EAD4:EAD400)</f>
        <v>0</v>
      </c>
      <c r="EAE2" s="8">
        <f>COUNT(EAF4:EAF400)</f>
        <v>0</v>
      </c>
      <c r="EAG2" s="8">
        <f>COUNT(EAH4:EAH400)</f>
        <v>0</v>
      </c>
      <c r="EAI2" s="8">
        <f>COUNT(EAJ4:EAJ400)</f>
        <v>0</v>
      </c>
      <c r="EAK2" s="8">
        <f>COUNT(EAL4:EAL400)</f>
        <v>0</v>
      </c>
      <c r="EAM2" s="8">
        <f>COUNT(EAN4:EAN400)</f>
        <v>0</v>
      </c>
      <c r="EAO2" s="8">
        <f>COUNT(EAP4:EAP400)</f>
        <v>0</v>
      </c>
      <c r="EAQ2" s="8">
        <f>COUNT(EAR4:EAR400)</f>
        <v>0</v>
      </c>
      <c r="EAS2" s="8">
        <f>COUNT(EAT4:EAT400)</f>
        <v>0</v>
      </c>
      <c r="EAU2" s="8">
        <f>COUNT(EAV4:EAV400)</f>
        <v>0</v>
      </c>
      <c r="EAW2" s="8">
        <f>COUNT(EAX4:EAX400)</f>
        <v>0</v>
      </c>
      <c r="EAY2" s="8">
        <f>COUNT(EAZ4:EAZ400)</f>
        <v>0</v>
      </c>
      <c r="EBA2" s="8">
        <f>COUNT(EBB4:EBB400)</f>
        <v>0</v>
      </c>
      <c r="EBC2" s="8">
        <f>COUNT(EBD4:EBD400)</f>
        <v>0</v>
      </c>
      <c r="EBE2" s="8">
        <f>COUNT(EBF4:EBF400)</f>
        <v>0</v>
      </c>
      <c r="EBG2" s="8">
        <f>COUNT(EBH4:EBH400)</f>
        <v>0</v>
      </c>
      <c r="EBI2" s="8">
        <f>COUNT(EBJ4:EBJ400)</f>
        <v>0</v>
      </c>
      <c r="EBK2" s="8">
        <f>COUNT(EBL4:EBL400)</f>
        <v>0</v>
      </c>
      <c r="EBM2" s="8">
        <f>COUNT(EBN4:EBN400)</f>
        <v>0</v>
      </c>
      <c r="EBO2" s="8">
        <f>COUNT(EBP4:EBP400)</f>
        <v>0</v>
      </c>
      <c r="EBQ2" s="8">
        <f>COUNT(EBR4:EBR400)</f>
        <v>0</v>
      </c>
      <c r="EBS2" s="8">
        <f>COUNT(EBT4:EBT400)</f>
        <v>0</v>
      </c>
      <c r="EBU2" s="8">
        <f>COUNT(EBV4:EBV400)</f>
        <v>0</v>
      </c>
      <c r="EBW2" s="8">
        <f>COUNT(EBX4:EBX400)</f>
        <v>0</v>
      </c>
      <c r="EBY2" s="8">
        <f>COUNT(EBZ4:EBZ400)</f>
        <v>0</v>
      </c>
      <c r="ECA2" s="8">
        <f>COUNT(ECB4:ECB400)</f>
        <v>0</v>
      </c>
      <c r="ECC2" s="8">
        <f>COUNT(ECD4:ECD400)</f>
        <v>0</v>
      </c>
      <c r="ECE2" s="8">
        <f>COUNT(ECF4:ECF400)</f>
        <v>0</v>
      </c>
      <c r="ECG2" s="8">
        <f>COUNT(ECH4:ECH400)</f>
        <v>0</v>
      </c>
      <c r="ECI2" s="8">
        <f>COUNT(ECJ4:ECJ400)</f>
        <v>0</v>
      </c>
      <c r="ECK2" s="8">
        <f>COUNT(ECL4:ECL400)</f>
        <v>0</v>
      </c>
      <c r="ECM2" s="8">
        <f>COUNT(ECN4:ECN400)</f>
        <v>0</v>
      </c>
      <c r="ECO2" s="8">
        <f>COUNT(ECP4:ECP400)</f>
        <v>0</v>
      </c>
      <c r="ECQ2" s="8">
        <f>COUNT(ECR4:ECR400)</f>
        <v>0</v>
      </c>
      <c r="ECS2" s="8">
        <f>COUNT(ECT4:ECT400)</f>
        <v>0</v>
      </c>
      <c r="ECU2" s="8">
        <f>COUNT(ECV4:ECV400)</f>
        <v>0</v>
      </c>
      <c r="ECW2" s="8">
        <f>COUNT(ECX4:ECX400)</f>
        <v>0</v>
      </c>
      <c r="ECY2" s="8">
        <f>COUNT(ECZ4:ECZ400)</f>
        <v>0</v>
      </c>
      <c r="EDA2" s="8">
        <f>COUNT(EDB4:EDB400)</f>
        <v>0</v>
      </c>
      <c r="EDC2" s="8">
        <f>COUNT(EDD4:EDD400)</f>
        <v>0</v>
      </c>
      <c r="EDE2" s="8">
        <f>COUNT(EDF4:EDF400)</f>
        <v>0</v>
      </c>
      <c r="EDG2" s="8">
        <f>COUNT(EDH4:EDH400)</f>
        <v>0</v>
      </c>
      <c r="EDI2" s="8">
        <f>COUNT(EDJ4:EDJ400)</f>
        <v>0</v>
      </c>
      <c r="EDK2" s="8">
        <f>COUNT(EDL4:EDL400)</f>
        <v>0</v>
      </c>
      <c r="EDM2" s="8">
        <f>COUNT(EDN4:EDN400)</f>
        <v>0</v>
      </c>
      <c r="EDO2" s="8">
        <f>COUNT(EDP4:EDP400)</f>
        <v>0</v>
      </c>
      <c r="EDQ2" s="8">
        <f>COUNT(EDR4:EDR400)</f>
        <v>0</v>
      </c>
      <c r="EDS2" s="8">
        <f>COUNT(EDT4:EDT400)</f>
        <v>0</v>
      </c>
      <c r="EDU2" s="8">
        <f>COUNT(EDV4:EDV400)</f>
        <v>0</v>
      </c>
      <c r="EDW2" s="8">
        <f>COUNT(EDX4:EDX400)</f>
        <v>0</v>
      </c>
      <c r="EDY2" s="8">
        <f>COUNT(EDZ4:EDZ400)</f>
        <v>0</v>
      </c>
      <c r="EEA2" s="8">
        <f>COUNT(EEB4:EEB400)</f>
        <v>0</v>
      </c>
      <c r="EEC2" s="8">
        <f>COUNT(EED4:EED400)</f>
        <v>0</v>
      </c>
      <c r="EEE2" s="8">
        <f>COUNT(EEF4:EEF400)</f>
        <v>0</v>
      </c>
      <c r="EEG2" s="8">
        <f>COUNT(EEH4:EEH400)</f>
        <v>0</v>
      </c>
      <c r="EEI2" s="8">
        <f>COUNT(EEJ4:EEJ400)</f>
        <v>0</v>
      </c>
      <c r="EEK2" s="8">
        <f>COUNT(EEL4:EEL400)</f>
        <v>0</v>
      </c>
      <c r="EEM2" s="8">
        <f>COUNT(EEN4:EEN400)</f>
        <v>0</v>
      </c>
      <c r="EEO2" s="8">
        <f>COUNT(EEP4:EEP400)</f>
        <v>0</v>
      </c>
      <c r="EEQ2" s="8">
        <f>COUNT(EER4:EER400)</f>
        <v>0</v>
      </c>
      <c r="EES2" s="8">
        <f>COUNT(EET4:EET400)</f>
        <v>0</v>
      </c>
      <c r="EEU2" s="8">
        <f>COUNT(EEV4:EEV400)</f>
        <v>0</v>
      </c>
      <c r="EEW2" s="8">
        <f>COUNT(EEX4:EEX400)</f>
        <v>0</v>
      </c>
      <c r="EEY2" s="8">
        <f>COUNT(EEZ4:EEZ400)</f>
        <v>0</v>
      </c>
      <c r="EFA2" s="8">
        <f>COUNT(EFB4:EFB400)</f>
        <v>0</v>
      </c>
      <c r="EFC2" s="8">
        <f>COUNT(EFD4:EFD400)</f>
        <v>0</v>
      </c>
      <c r="EFE2" s="8">
        <f>COUNT(EFF4:EFF400)</f>
        <v>0</v>
      </c>
      <c r="EFG2" s="8">
        <f>COUNT(EFH4:EFH400)</f>
        <v>0</v>
      </c>
      <c r="EFI2" s="8">
        <f>COUNT(EFJ4:EFJ400)</f>
        <v>0</v>
      </c>
      <c r="EFK2" s="8">
        <f>COUNT(EFL4:EFL400)</f>
        <v>0</v>
      </c>
      <c r="EFM2" s="8">
        <f>COUNT(EFN4:EFN400)</f>
        <v>0</v>
      </c>
      <c r="EFO2" s="8">
        <f>COUNT(EFP4:EFP400)</f>
        <v>0</v>
      </c>
      <c r="EFQ2" s="8">
        <f>COUNT(EFR4:EFR400)</f>
        <v>0</v>
      </c>
      <c r="EFS2" s="8">
        <f>COUNT(EFT4:EFT400)</f>
        <v>0</v>
      </c>
      <c r="EFU2" s="8">
        <f>COUNT(EFV4:EFV400)</f>
        <v>0</v>
      </c>
      <c r="EFW2" s="8">
        <f>COUNT(EFX4:EFX400)</f>
        <v>0</v>
      </c>
      <c r="EFY2" s="8">
        <f>COUNT(EFZ4:EFZ400)</f>
        <v>0</v>
      </c>
      <c r="EGA2" s="8">
        <f>COUNT(EGB4:EGB400)</f>
        <v>0</v>
      </c>
      <c r="EGC2" s="8">
        <f>COUNT(EGD4:EGD400)</f>
        <v>0</v>
      </c>
      <c r="EGE2" s="8">
        <f>COUNT(EGF4:EGF400)</f>
        <v>0</v>
      </c>
      <c r="EGG2" s="8">
        <f>COUNT(EGH4:EGH400)</f>
        <v>0</v>
      </c>
      <c r="EGI2" s="8">
        <f>COUNT(EGJ4:EGJ400)</f>
        <v>0</v>
      </c>
      <c r="EGK2" s="8">
        <f>COUNT(EGL4:EGL400)</f>
        <v>0</v>
      </c>
      <c r="EGM2" s="8">
        <f>COUNT(EGN4:EGN400)</f>
        <v>0</v>
      </c>
      <c r="EGO2" s="8">
        <f>COUNT(EGP4:EGP400)</f>
        <v>0</v>
      </c>
      <c r="EGQ2" s="8">
        <f>COUNT(EGR4:EGR400)</f>
        <v>0</v>
      </c>
      <c r="EGS2" s="8">
        <f>COUNT(EGT4:EGT400)</f>
        <v>0</v>
      </c>
      <c r="EGU2" s="8">
        <f>COUNT(EGV4:EGV400)</f>
        <v>0</v>
      </c>
      <c r="EGW2" s="8">
        <f>COUNT(EGX4:EGX400)</f>
        <v>0</v>
      </c>
      <c r="EGY2" s="8">
        <f>COUNT(EGZ4:EGZ400)</f>
        <v>0</v>
      </c>
      <c r="EHA2" s="8">
        <f>COUNT(EHB4:EHB400)</f>
        <v>0</v>
      </c>
      <c r="EHC2" s="8">
        <f>COUNT(EHD4:EHD400)</f>
        <v>0</v>
      </c>
      <c r="EHE2" s="8">
        <f>COUNT(EHF4:EHF400)</f>
        <v>0</v>
      </c>
      <c r="EHG2" s="8">
        <f>COUNT(EHH4:EHH400)</f>
        <v>0</v>
      </c>
      <c r="EHI2" s="8">
        <f>COUNT(EHJ4:EHJ400)</f>
        <v>0</v>
      </c>
      <c r="EHK2" s="8">
        <f>COUNT(EHL4:EHL400)</f>
        <v>0</v>
      </c>
      <c r="EHM2" s="8">
        <f>COUNT(EHN4:EHN400)</f>
        <v>0</v>
      </c>
      <c r="EHO2" s="8">
        <f>COUNT(EHP4:EHP400)</f>
        <v>0</v>
      </c>
      <c r="EHQ2" s="8">
        <f>COUNT(EHR4:EHR400)</f>
        <v>0</v>
      </c>
      <c r="EHS2" s="8">
        <f>COUNT(EHT4:EHT400)</f>
        <v>0</v>
      </c>
      <c r="EHU2" s="8">
        <f>COUNT(EHV4:EHV400)</f>
        <v>0</v>
      </c>
      <c r="EHW2" s="8">
        <f>COUNT(EHX4:EHX400)</f>
        <v>0</v>
      </c>
      <c r="EHY2" s="8">
        <f>COUNT(EHZ4:EHZ400)</f>
        <v>0</v>
      </c>
      <c r="EIA2" s="8">
        <f>COUNT(EIB4:EIB400)</f>
        <v>0</v>
      </c>
      <c r="EIC2" s="8">
        <f>COUNT(EID4:EID400)</f>
        <v>0</v>
      </c>
      <c r="EIE2" s="8">
        <f>COUNT(EIF4:EIF400)</f>
        <v>0</v>
      </c>
      <c r="EIG2" s="8">
        <f>COUNT(EIH4:EIH400)</f>
        <v>0</v>
      </c>
      <c r="EII2" s="8">
        <f>COUNT(EIJ4:EIJ400)</f>
        <v>0</v>
      </c>
      <c r="EIK2" s="8">
        <f>COUNT(EIL4:EIL400)</f>
        <v>0</v>
      </c>
      <c r="EIM2" s="8">
        <f>COUNT(EIN4:EIN400)</f>
        <v>0</v>
      </c>
      <c r="EIO2" s="8">
        <f>COUNT(EIP4:EIP400)</f>
        <v>0</v>
      </c>
      <c r="EIQ2" s="8">
        <f>COUNT(EIR4:EIR400)</f>
        <v>0</v>
      </c>
      <c r="EIS2" s="8">
        <f>COUNT(EIT4:EIT400)</f>
        <v>0</v>
      </c>
      <c r="EIU2" s="8">
        <f>COUNT(EIV4:EIV400)</f>
        <v>0</v>
      </c>
      <c r="EIW2" s="8">
        <f>COUNT(EIX4:EIX400)</f>
        <v>0</v>
      </c>
      <c r="EIY2" s="8">
        <f>COUNT(EIZ4:EIZ400)</f>
        <v>0</v>
      </c>
      <c r="EJA2" s="8">
        <f>COUNT(EJB4:EJB400)</f>
        <v>0</v>
      </c>
      <c r="EJC2" s="8">
        <f>COUNT(EJD4:EJD400)</f>
        <v>0</v>
      </c>
      <c r="EJE2" s="8">
        <f>COUNT(EJF4:EJF400)</f>
        <v>0</v>
      </c>
      <c r="EJG2" s="8">
        <f>COUNT(EJH4:EJH400)</f>
        <v>0</v>
      </c>
      <c r="EJI2" s="8">
        <f>COUNT(EJJ4:EJJ400)</f>
        <v>0</v>
      </c>
      <c r="EJK2" s="8">
        <f>COUNT(EJL4:EJL400)</f>
        <v>0</v>
      </c>
      <c r="EJM2" s="8">
        <f>COUNT(EJN4:EJN400)</f>
        <v>0</v>
      </c>
      <c r="EJO2" s="8">
        <f>COUNT(EJP4:EJP400)</f>
        <v>0</v>
      </c>
      <c r="EJQ2" s="8">
        <f>COUNT(EJR4:EJR400)</f>
        <v>0</v>
      </c>
      <c r="EJS2" s="8">
        <f>COUNT(EJT4:EJT400)</f>
        <v>0</v>
      </c>
      <c r="EJU2" s="8">
        <f>COUNT(EJV4:EJV400)</f>
        <v>0</v>
      </c>
      <c r="EJW2" s="8">
        <f>COUNT(EJX4:EJX400)</f>
        <v>0</v>
      </c>
      <c r="EJY2" s="8">
        <f>COUNT(EJZ4:EJZ400)</f>
        <v>0</v>
      </c>
      <c r="EKA2" s="8">
        <f>COUNT(EKB4:EKB400)</f>
        <v>0</v>
      </c>
      <c r="EKC2" s="8">
        <f>COUNT(EKD4:EKD400)</f>
        <v>0</v>
      </c>
      <c r="EKE2" s="8">
        <f>COUNT(EKF4:EKF400)</f>
        <v>0</v>
      </c>
      <c r="EKG2" s="8">
        <f>COUNT(EKH4:EKH400)</f>
        <v>0</v>
      </c>
      <c r="EKI2" s="8">
        <f>COUNT(EKJ4:EKJ400)</f>
        <v>0</v>
      </c>
      <c r="EKK2" s="8">
        <f>COUNT(EKL4:EKL400)</f>
        <v>0</v>
      </c>
      <c r="EKM2" s="8">
        <f>COUNT(EKN4:EKN400)</f>
        <v>0</v>
      </c>
      <c r="EKO2" s="8">
        <f>COUNT(EKP4:EKP400)</f>
        <v>0</v>
      </c>
      <c r="EKQ2" s="8">
        <f>COUNT(EKR4:EKR400)</f>
        <v>0</v>
      </c>
      <c r="EKS2" s="8">
        <f>COUNT(EKT4:EKT400)</f>
        <v>0</v>
      </c>
      <c r="EKU2" s="8">
        <f>COUNT(EKV4:EKV400)</f>
        <v>0</v>
      </c>
      <c r="EKW2" s="8">
        <f>COUNT(EKX4:EKX400)</f>
        <v>0</v>
      </c>
      <c r="EKY2" s="8">
        <f>COUNT(EKZ4:EKZ400)</f>
        <v>0</v>
      </c>
      <c r="ELA2" s="8">
        <f>COUNT(ELB4:ELB400)</f>
        <v>0</v>
      </c>
      <c r="ELC2" s="8">
        <f>COUNT(ELD4:ELD400)</f>
        <v>0</v>
      </c>
      <c r="ELE2" s="8">
        <f>COUNT(ELF4:ELF400)</f>
        <v>0</v>
      </c>
      <c r="ELG2" s="8">
        <f>COUNT(ELH4:ELH400)</f>
        <v>0</v>
      </c>
      <c r="ELI2" s="8">
        <f>COUNT(ELJ4:ELJ400)</f>
        <v>0</v>
      </c>
      <c r="ELK2" s="8">
        <f>COUNT(ELL4:ELL400)</f>
        <v>0</v>
      </c>
      <c r="ELM2" s="8">
        <f>COUNT(ELN4:ELN400)</f>
        <v>0</v>
      </c>
      <c r="ELO2" s="8">
        <f>COUNT(ELP4:ELP400)</f>
        <v>0</v>
      </c>
      <c r="ELQ2" s="8">
        <f>COUNT(ELR4:ELR400)</f>
        <v>0</v>
      </c>
      <c r="ELS2" s="8">
        <f>COUNT(ELT4:ELT400)</f>
        <v>0</v>
      </c>
      <c r="ELU2" s="8">
        <f>COUNT(ELV4:ELV400)</f>
        <v>0</v>
      </c>
      <c r="ELW2" s="8">
        <f>COUNT(ELX4:ELX400)</f>
        <v>0</v>
      </c>
      <c r="ELY2" s="8">
        <f>COUNT(ELZ4:ELZ400)</f>
        <v>0</v>
      </c>
      <c r="EMA2" s="8">
        <f>COUNT(EMB4:EMB400)</f>
        <v>0</v>
      </c>
      <c r="EMC2" s="8">
        <f>COUNT(EMD4:EMD400)</f>
        <v>0</v>
      </c>
      <c r="EME2" s="8">
        <f>COUNT(EMF4:EMF400)</f>
        <v>0</v>
      </c>
      <c r="EMG2" s="8">
        <f>COUNT(EMH4:EMH400)</f>
        <v>0</v>
      </c>
      <c r="EMI2" s="8">
        <f>COUNT(EMJ4:EMJ400)</f>
        <v>0</v>
      </c>
      <c r="EMK2" s="8">
        <f>COUNT(EML4:EML400)</f>
        <v>0</v>
      </c>
      <c r="EMM2" s="8">
        <f>COUNT(EMN4:EMN400)</f>
        <v>0</v>
      </c>
      <c r="EMO2" s="8">
        <f>COUNT(EMP4:EMP400)</f>
        <v>0</v>
      </c>
      <c r="EMQ2" s="8">
        <f>COUNT(EMR4:EMR400)</f>
        <v>0</v>
      </c>
      <c r="EMS2" s="8">
        <f>COUNT(EMT4:EMT400)</f>
        <v>0</v>
      </c>
      <c r="EMU2" s="8">
        <f>COUNT(EMV4:EMV400)</f>
        <v>0</v>
      </c>
      <c r="EMW2" s="8">
        <f>COUNT(EMX4:EMX400)</f>
        <v>0</v>
      </c>
      <c r="EMY2" s="8">
        <f>COUNT(EMZ4:EMZ400)</f>
        <v>0</v>
      </c>
      <c r="ENA2" s="8">
        <f>COUNT(ENB4:ENB400)</f>
        <v>0</v>
      </c>
      <c r="ENC2" s="8">
        <f>COUNT(END4:END400)</f>
        <v>0</v>
      </c>
      <c r="ENE2" s="8">
        <f>COUNT(ENF4:ENF400)</f>
        <v>0</v>
      </c>
      <c r="ENG2" s="8">
        <f>COUNT(ENH4:ENH400)</f>
        <v>0</v>
      </c>
      <c r="ENI2" s="8">
        <f>COUNT(ENJ4:ENJ400)</f>
        <v>0</v>
      </c>
      <c r="ENK2" s="8">
        <f>COUNT(ENL4:ENL400)</f>
        <v>0</v>
      </c>
      <c r="ENM2" s="8">
        <f>COUNT(ENN4:ENN400)</f>
        <v>0</v>
      </c>
      <c r="ENO2" s="8">
        <f>COUNT(ENP4:ENP400)</f>
        <v>0</v>
      </c>
      <c r="ENQ2" s="8">
        <f>COUNT(ENR4:ENR400)</f>
        <v>0</v>
      </c>
      <c r="ENS2" s="8">
        <f>COUNT(ENT4:ENT400)</f>
        <v>0</v>
      </c>
      <c r="ENU2" s="8">
        <f>COUNT(ENV4:ENV400)</f>
        <v>0</v>
      </c>
      <c r="ENW2" s="8">
        <f>COUNT(ENX4:ENX400)</f>
        <v>0</v>
      </c>
      <c r="ENY2" s="8">
        <f>COUNT(ENZ4:ENZ400)</f>
        <v>0</v>
      </c>
      <c r="EOA2" s="8">
        <f>COUNT(EOB4:EOB400)</f>
        <v>0</v>
      </c>
      <c r="EOC2" s="8">
        <f>COUNT(EOD4:EOD400)</f>
        <v>0</v>
      </c>
      <c r="EOE2" s="8">
        <f>COUNT(EOF4:EOF400)</f>
        <v>0</v>
      </c>
      <c r="EOG2" s="8">
        <f>COUNT(EOH4:EOH400)</f>
        <v>0</v>
      </c>
      <c r="EOI2" s="8">
        <f>COUNT(EOJ4:EOJ400)</f>
        <v>0</v>
      </c>
      <c r="EOK2" s="8">
        <f>COUNT(EOL4:EOL400)</f>
        <v>0</v>
      </c>
      <c r="EOM2" s="8">
        <f>COUNT(EON4:EON400)</f>
        <v>0</v>
      </c>
      <c r="EOO2" s="8">
        <f>COUNT(EOP4:EOP400)</f>
        <v>0</v>
      </c>
      <c r="EOQ2" s="8">
        <f>COUNT(EOR4:EOR400)</f>
        <v>0</v>
      </c>
      <c r="EOS2" s="8">
        <f>COUNT(EOT4:EOT400)</f>
        <v>0</v>
      </c>
      <c r="EOU2" s="8">
        <f>COUNT(EOV4:EOV400)</f>
        <v>0</v>
      </c>
      <c r="EOW2" s="8">
        <f>COUNT(EOX4:EOX400)</f>
        <v>0</v>
      </c>
      <c r="EOY2" s="8">
        <f>COUNT(EOZ4:EOZ400)</f>
        <v>0</v>
      </c>
      <c r="EPA2" s="8">
        <f>COUNT(EPB4:EPB400)</f>
        <v>0</v>
      </c>
      <c r="EPC2" s="8">
        <f>COUNT(EPD4:EPD400)</f>
        <v>0</v>
      </c>
      <c r="EPE2" s="8">
        <f>COUNT(EPF4:EPF400)</f>
        <v>0</v>
      </c>
      <c r="EPG2" s="8">
        <f>COUNT(EPH4:EPH400)</f>
        <v>0</v>
      </c>
      <c r="EPI2" s="8">
        <f>COUNT(EPJ4:EPJ400)</f>
        <v>0</v>
      </c>
      <c r="EPK2" s="8">
        <f>COUNT(EPL4:EPL400)</f>
        <v>0</v>
      </c>
      <c r="EPM2" s="8">
        <f>COUNT(EPN4:EPN400)</f>
        <v>0</v>
      </c>
      <c r="EPO2" s="8">
        <f>COUNT(EPP4:EPP400)</f>
        <v>0</v>
      </c>
      <c r="EPQ2" s="8">
        <f>COUNT(EPR4:EPR400)</f>
        <v>0</v>
      </c>
      <c r="EPS2" s="8">
        <f>COUNT(EPT4:EPT400)</f>
        <v>0</v>
      </c>
      <c r="EPU2" s="8">
        <f>COUNT(EPV4:EPV400)</f>
        <v>0</v>
      </c>
      <c r="EPW2" s="8">
        <f>COUNT(EPX4:EPX400)</f>
        <v>0</v>
      </c>
      <c r="EPY2" s="8">
        <f>COUNT(EPZ4:EPZ400)</f>
        <v>0</v>
      </c>
      <c r="EQA2" s="8">
        <f>COUNT(EQB4:EQB400)</f>
        <v>0</v>
      </c>
      <c r="EQC2" s="8">
        <f>COUNT(EQD4:EQD400)</f>
        <v>0</v>
      </c>
      <c r="EQE2" s="8">
        <f>COUNT(EQF4:EQF400)</f>
        <v>0</v>
      </c>
      <c r="EQG2" s="8">
        <f>COUNT(EQH4:EQH400)</f>
        <v>0</v>
      </c>
      <c r="EQI2" s="8">
        <f>COUNT(EQJ4:EQJ400)</f>
        <v>0</v>
      </c>
      <c r="EQK2" s="8">
        <f>COUNT(EQL4:EQL400)</f>
        <v>0</v>
      </c>
      <c r="EQM2" s="8">
        <f>COUNT(EQN4:EQN400)</f>
        <v>0</v>
      </c>
      <c r="EQO2" s="8">
        <f>COUNT(EQP4:EQP400)</f>
        <v>0</v>
      </c>
      <c r="EQQ2" s="8">
        <f>COUNT(EQR4:EQR400)</f>
        <v>0</v>
      </c>
      <c r="EQS2" s="8">
        <f>COUNT(EQT4:EQT400)</f>
        <v>0</v>
      </c>
      <c r="EQU2" s="8">
        <f>COUNT(EQV4:EQV400)</f>
        <v>0</v>
      </c>
      <c r="EQW2" s="8">
        <f>COUNT(EQX4:EQX400)</f>
        <v>0</v>
      </c>
      <c r="EQY2" s="8">
        <f>COUNT(EQZ4:EQZ400)</f>
        <v>0</v>
      </c>
      <c r="ERA2" s="8">
        <f>COUNT(ERB4:ERB400)</f>
        <v>0</v>
      </c>
      <c r="ERC2" s="8">
        <f>COUNT(ERD4:ERD400)</f>
        <v>0</v>
      </c>
      <c r="ERE2" s="8">
        <f>COUNT(ERF4:ERF400)</f>
        <v>0</v>
      </c>
      <c r="ERG2" s="8">
        <f>COUNT(ERH4:ERH400)</f>
        <v>0</v>
      </c>
      <c r="ERI2" s="8">
        <f>COUNT(ERJ4:ERJ400)</f>
        <v>0</v>
      </c>
      <c r="ERK2" s="8">
        <f>COUNT(ERL4:ERL400)</f>
        <v>0</v>
      </c>
      <c r="ERM2" s="8">
        <f>COUNT(ERN4:ERN400)</f>
        <v>0</v>
      </c>
      <c r="ERO2" s="8">
        <f>COUNT(ERP4:ERP400)</f>
        <v>0</v>
      </c>
      <c r="ERQ2" s="8">
        <f>COUNT(ERR4:ERR400)</f>
        <v>0</v>
      </c>
      <c r="ERS2" s="8">
        <f>COUNT(ERT4:ERT400)</f>
        <v>0</v>
      </c>
      <c r="ERU2" s="8">
        <f>COUNT(ERV4:ERV400)</f>
        <v>0</v>
      </c>
      <c r="ERW2" s="8">
        <f>COUNT(ERX4:ERX400)</f>
        <v>0</v>
      </c>
      <c r="ERY2" s="8">
        <f>COUNT(ERZ4:ERZ400)</f>
        <v>0</v>
      </c>
      <c r="ESA2" s="8">
        <f>COUNT(ESB4:ESB400)</f>
        <v>0</v>
      </c>
      <c r="ESC2" s="8">
        <f>COUNT(ESD4:ESD400)</f>
        <v>0</v>
      </c>
      <c r="ESE2" s="8">
        <f>COUNT(ESF4:ESF400)</f>
        <v>0</v>
      </c>
      <c r="ESG2" s="8">
        <f>COUNT(ESH4:ESH400)</f>
        <v>0</v>
      </c>
      <c r="ESI2" s="8">
        <f>COUNT(ESJ4:ESJ400)</f>
        <v>0</v>
      </c>
      <c r="ESK2" s="8">
        <f>COUNT(ESL4:ESL400)</f>
        <v>0</v>
      </c>
      <c r="ESM2" s="8">
        <f>COUNT(ESN4:ESN400)</f>
        <v>0</v>
      </c>
      <c r="ESO2" s="8">
        <f>COUNT(ESP4:ESP400)</f>
        <v>0</v>
      </c>
      <c r="ESQ2" s="8">
        <f>COUNT(ESR4:ESR400)</f>
        <v>0</v>
      </c>
      <c r="ESS2" s="8">
        <f>COUNT(EST4:EST400)</f>
        <v>0</v>
      </c>
      <c r="ESU2" s="8">
        <f>COUNT(ESV4:ESV400)</f>
        <v>0</v>
      </c>
      <c r="ESW2" s="8">
        <f>COUNT(ESX4:ESX400)</f>
        <v>0</v>
      </c>
      <c r="ESY2" s="8">
        <f>COUNT(ESZ4:ESZ400)</f>
        <v>0</v>
      </c>
      <c r="ETA2" s="8">
        <f>COUNT(ETB4:ETB400)</f>
        <v>0</v>
      </c>
      <c r="ETC2" s="8">
        <f>COUNT(ETD4:ETD400)</f>
        <v>0</v>
      </c>
      <c r="ETE2" s="8">
        <f>COUNT(ETF4:ETF400)</f>
        <v>0</v>
      </c>
      <c r="ETG2" s="8">
        <f>COUNT(ETH4:ETH400)</f>
        <v>0</v>
      </c>
      <c r="ETI2" s="8">
        <f>COUNT(ETJ4:ETJ400)</f>
        <v>0</v>
      </c>
      <c r="ETK2" s="8">
        <f>COUNT(ETL4:ETL400)</f>
        <v>0</v>
      </c>
      <c r="ETM2" s="8">
        <f>COUNT(ETN4:ETN400)</f>
        <v>0</v>
      </c>
      <c r="ETO2" s="8">
        <f>COUNT(ETP4:ETP400)</f>
        <v>0</v>
      </c>
      <c r="ETQ2" s="8">
        <f>COUNT(ETR4:ETR400)</f>
        <v>0</v>
      </c>
      <c r="ETS2" s="8">
        <f>COUNT(ETT4:ETT400)</f>
        <v>0</v>
      </c>
      <c r="ETU2" s="8">
        <f>COUNT(ETV4:ETV400)</f>
        <v>0</v>
      </c>
      <c r="ETW2" s="8">
        <f>COUNT(ETX4:ETX400)</f>
        <v>0</v>
      </c>
      <c r="ETY2" s="8">
        <f>COUNT(ETZ4:ETZ400)</f>
        <v>0</v>
      </c>
      <c r="EUA2" s="8">
        <f>COUNT(EUB4:EUB400)</f>
        <v>0</v>
      </c>
      <c r="EUC2" s="8">
        <f>COUNT(EUD4:EUD400)</f>
        <v>0</v>
      </c>
      <c r="EUE2" s="8">
        <f>COUNT(EUF4:EUF400)</f>
        <v>0</v>
      </c>
      <c r="EUG2" s="8">
        <f>COUNT(EUH4:EUH400)</f>
        <v>0</v>
      </c>
      <c r="EUI2" s="8">
        <f>COUNT(EUJ4:EUJ400)</f>
        <v>0</v>
      </c>
      <c r="EUK2" s="8">
        <f>COUNT(EUL4:EUL400)</f>
        <v>0</v>
      </c>
      <c r="EUM2" s="8">
        <f>COUNT(EUN4:EUN400)</f>
        <v>0</v>
      </c>
      <c r="EUO2" s="8">
        <f>COUNT(EUP4:EUP400)</f>
        <v>0</v>
      </c>
      <c r="EUQ2" s="8">
        <f>COUNT(EUR4:EUR400)</f>
        <v>0</v>
      </c>
      <c r="EUS2" s="8">
        <f>COUNT(EUT4:EUT400)</f>
        <v>0</v>
      </c>
      <c r="EUU2" s="8">
        <f>COUNT(EUV4:EUV400)</f>
        <v>0</v>
      </c>
      <c r="EUW2" s="8">
        <f>COUNT(EUX4:EUX400)</f>
        <v>0</v>
      </c>
      <c r="EUY2" s="8">
        <f>COUNT(EUZ4:EUZ400)</f>
        <v>0</v>
      </c>
      <c r="EVA2" s="8">
        <f>COUNT(EVB4:EVB400)</f>
        <v>0</v>
      </c>
      <c r="EVC2" s="8">
        <f>COUNT(EVD4:EVD400)</f>
        <v>0</v>
      </c>
      <c r="EVE2" s="8">
        <f>COUNT(EVF4:EVF400)</f>
        <v>0</v>
      </c>
      <c r="EVG2" s="8">
        <f>COUNT(EVH4:EVH400)</f>
        <v>0</v>
      </c>
      <c r="EVI2" s="8">
        <f>COUNT(EVJ4:EVJ400)</f>
        <v>0</v>
      </c>
      <c r="EVK2" s="8">
        <f>COUNT(EVL4:EVL400)</f>
        <v>0</v>
      </c>
      <c r="EVM2" s="8">
        <f>COUNT(EVN4:EVN400)</f>
        <v>0</v>
      </c>
      <c r="EVO2" s="8">
        <f>COUNT(EVP4:EVP400)</f>
        <v>0</v>
      </c>
      <c r="EVQ2" s="8">
        <f>COUNT(EVR4:EVR400)</f>
        <v>0</v>
      </c>
      <c r="EVS2" s="8">
        <f>COUNT(EVT4:EVT400)</f>
        <v>0</v>
      </c>
      <c r="EVU2" s="8">
        <f>COUNT(EVV4:EVV400)</f>
        <v>0</v>
      </c>
      <c r="EVW2" s="8">
        <f>COUNT(EVX4:EVX400)</f>
        <v>0</v>
      </c>
      <c r="EVY2" s="8">
        <f>COUNT(EVZ4:EVZ400)</f>
        <v>0</v>
      </c>
      <c r="EWA2" s="8">
        <f>COUNT(EWB4:EWB400)</f>
        <v>0</v>
      </c>
      <c r="EWC2" s="8">
        <f>COUNT(EWD4:EWD400)</f>
        <v>0</v>
      </c>
      <c r="EWE2" s="8">
        <f>COUNT(EWF4:EWF400)</f>
        <v>0</v>
      </c>
      <c r="EWG2" s="8">
        <f>COUNT(EWH4:EWH400)</f>
        <v>0</v>
      </c>
      <c r="EWI2" s="8">
        <f>COUNT(EWJ4:EWJ400)</f>
        <v>0</v>
      </c>
      <c r="EWK2" s="8">
        <f>COUNT(EWL4:EWL400)</f>
        <v>0</v>
      </c>
      <c r="EWM2" s="8">
        <f>COUNT(EWN4:EWN400)</f>
        <v>0</v>
      </c>
      <c r="EWO2" s="8">
        <f>COUNT(EWP4:EWP400)</f>
        <v>0</v>
      </c>
      <c r="EWQ2" s="8">
        <f>COUNT(EWR4:EWR400)</f>
        <v>0</v>
      </c>
      <c r="EWS2" s="8">
        <f>COUNT(EWT4:EWT400)</f>
        <v>0</v>
      </c>
      <c r="EWU2" s="8">
        <f>COUNT(EWV4:EWV400)</f>
        <v>0</v>
      </c>
    </row>
    <row r="3" spans="1:4000">
      <c r="A3" s="10" t="s">
        <v>67</v>
      </c>
      <c r="B3" s="10" t="s">
        <v>68</v>
      </c>
      <c r="C3" s="10" t="s">
        <v>67</v>
      </c>
      <c r="D3" s="10" t="s">
        <v>68</v>
      </c>
      <c r="E3" s="10" t="s">
        <v>67</v>
      </c>
      <c r="F3" s="10" t="s">
        <v>68</v>
      </c>
      <c r="G3" s="10" t="s">
        <v>67</v>
      </c>
      <c r="H3" s="10" t="s">
        <v>68</v>
      </c>
      <c r="I3" s="10" t="s">
        <v>67</v>
      </c>
      <c r="J3" s="10" t="s">
        <v>68</v>
      </c>
      <c r="K3" s="10" t="s">
        <v>67</v>
      </c>
      <c r="L3" s="10" t="s">
        <v>68</v>
      </c>
      <c r="M3" s="10" t="s">
        <v>67</v>
      </c>
      <c r="N3" s="10" t="s">
        <v>68</v>
      </c>
      <c r="O3" s="10" t="s">
        <v>67</v>
      </c>
      <c r="P3" s="10" t="s">
        <v>68</v>
      </c>
      <c r="Q3" s="10" t="s">
        <v>67</v>
      </c>
      <c r="R3" s="10" t="s">
        <v>68</v>
      </c>
      <c r="S3" s="10" t="s">
        <v>67</v>
      </c>
      <c r="T3" s="10" t="s">
        <v>68</v>
      </c>
      <c r="U3" s="10" t="s">
        <v>67</v>
      </c>
      <c r="V3" s="10" t="s">
        <v>68</v>
      </c>
      <c r="W3" s="10" t="s">
        <v>67</v>
      </c>
      <c r="X3" s="10" t="s">
        <v>68</v>
      </c>
      <c r="Y3" s="10" t="s">
        <v>67</v>
      </c>
      <c r="Z3" s="10" t="s">
        <v>68</v>
      </c>
      <c r="AA3" s="10" t="s">
        <v>67</v>
      </c>
      <c r="AB3" s="10" t="s">
        <v>68</v>
      </c>
      <c r="AC3" s="10" t="s">
        <v>67</v>
      </c>
      <c r="AD3" s="10" t="s">
        <v>68</v>
      </c>
      <c r="AE3" s="10" t="s">
        <v>67</v>
      </c>
      <c r="AF3" s="10" t="s">
        <v>68</v>
      </c>
      <c r="AG3" s="10" t="s">
        <v>67</v>
      </c>
      <c r="AH3" s="10" t="s">
        <v>68</v>
      </c>
      <c r="AI3" s="10" t="s">
        <v>67</v>
      </c>
      <c r="AJ3" s="10" t="s">
        <v>68</v>
      </c>
      <c r="AK3" s="10" t="s">
        <v>67</v>
      </c>
      <c r="AL3" s="10" t="s">
        <v>68</v>
      </c>
      <c r="AM3" s="10" t="s">
        <v>67</v>
      </c>
      <c r="AN3" s="10" t="s">
        <v>68</v>
      </c>
      <c r="AO3" s="10" t="s">
        <v>67</v>
      </c>
      <c r="AP3" s="10" t="s">
        <v>68</v>
      </c>
      <c r="AQ3" s="10" t="s">
        <v>67</v>
      </c>
      <c r="AR3" s="10" t="s">
        <v>68</v>
      </c>
      <c r="AS3" s="10" t="s">
        <v>67</v>
      </c>
      <c r="AT3" s="10" t="s">
        <v>68</v>
      </c>
      <c r="AU3" s="10" t="s">
        <v>67</v>
      </c>
      <c r="AV3" s="10" t="s">
        <v>68</v>
      </c>
      <c r="AW3" s="10" t="s">
        <v>67</v>
      </c>
      <c r="AX3" s="10" t="s">
        <v>68</v>
      </c>
      <c r="AY3" s="10" t="s">
        <v>67</v>
      </c>
      <c r="AZ3" s="10" t="s">
        <v>68</v>
      </c>
      <c r="BA3" s="10" t="s">
        <v>67</v>
      </c>
      <c r="BB3" s="10" t="s">
        <v>68</v>
      </c>
      <c r="BC3" s="10" t="s">
        <v>67</v>
      </c>
      <c r="BD3" s="10" t="s">
        <v>68</v>
      </c>
      <c r="BE3" s="10" t="s">
        <v>67</v>
      </c>
      <c r="BF3" s="10" t="s">
        <v>68</v>
      </c>
      <c r="BG3" s="10" t="s">
        <v>67</v>
      </c>
      <c r="BH3" s="10" t="s">
        <v>68</v>
      </c>
      <c r="BI3" s="10" t="s">
        <v>67</v>
      </c>
      <c r="BJ3" s="10" t="s">
        <v>68</v>
      </c>
      <c r="BK3" s="10" t="s">
        <v>67</v>
      </c>
      <c r="BL3" s="10" t="s">
        <v>68</v>
      </c>
      <c r="BM3" s="10" t="s">
        <v>67</v>
      </c>
      <c r="BN3" s="10" t="s">
        <v>68</v>
      </c>
      <c r="BO3" s="10" t="s">
        <v>67</v>
      </c>
      <c r="BP3" s="10" t="s">
        <v>68</v>
      </c>
      <c r="BQ3" s="10" t="s">
        <v>67</v>
      </c>
      <c r="BR3" s="10" t="s">
        <v>68</v>
      </c>
      <c r="BS3" s="10" t="s">
        <v>67</v>
      </c>
      <c r="BT3" s="10" t="s">
        <v>68</v>
      </c>
      <c r="BU3" s="10" t="s">
        <v>67</v>
      </c>
      <c r="BV3" s="10" t="s">
        <v>68</v>
      </c>
      <c r="BW3" s="10" t="s">
        <v>67</v>
      </c>
      <c r="BX3" s="10" t="s">
        <v>68</v>
      </c>
      <c r="BY3" s="10" t="s">
        <v>67</v>
      </c>
      <c r="BZ3" s="10" t="s">
        <v>68</v>
      </c>
      <c r="CA3" s="10" t="s">
        <v>67</v>
      </c>
      <c r="CB3" s="10" t="s">
        <v>68</v>
      </c>
      <c r="CC3" s="10" t="s">
        <v>67</v>
      </c>
      <c r="CD3" s="10" t="s">
        <v>68</v>
      </c>
      <c r="CE3" s="10" t="s">
        <v>67</v>
      </c>
      <c r="CF3" s="10" t="s">
        <v>68</v>
      </c>
      <c r="CG3" s="10" t="s">
        <v>67</v>
      </c>
      <c r="CH3" s="10" t="s">
        <v>68</v>
      </c>
      <c r="CI3" s="10" t="s">
        <v>67</v>
      </c>
      <c r="CJ3" s="10" t="s">
        <v>68</v>
      </c>
      <c r="CK3" s="10" t="s">
        <v>67</v>
      </c>
      <c r="CL3" s="10" t="s">
        <v>68</v>
      </c>
      <c r="CM3" s="10" t="s">
        <v>67</v>
      </c>
      <c r="CN3" s="10" t="s">
        <v>68</v>
      </c>
      <c r="CO3" s="10" t="s">
        <v>67</v>
      </c>
      <c r="CP3" s="10" t="s">
        <v>68</v>
      </c>
      <c r="CQ3" s="10" t="s">
        <v>67</v>
      </c>
      <c r="CR3" s="10" t="s">
        <v>68</v>
      </c>
      <c r="CS3" s="10" t="s">
        <v>67</v>
      </c>
      <c r="CT3" s="10" t="s">
        <v>68</v>
      </c>
      <c r="CU3" s="10" t="s">
        <v>67</v>
      </c>
      <c r="CV3" s="10" t="s">
        <v>68</v>
      </c>
      <c r="CW3" s="10" t="s">
        <v>67</v>
      </c>
      <c r="CX3" s="10" t="s">
        <v>68</v>
      </c>
      <c r="CY3" s="10" t="s">
        <v>67</v>
      </c>
      <c r="CZ3" s="10" t="s">
        <v>68</v>
      </c>
      <c r="DA3" s="10" t="s">
        <v>67</v>
      </c>
      <c r="DB3" s="10" t="s">
        <v>68</v>
      </c>
      <c r="DC3" s="10" t="s">
        <v>67</v>
      </c>
      <c r="DD3" s="10" t="s">
        <v>68</v>
      </c>
      <c r="DE3" s="10" t="s">
        <v>67</v>
      </c>
      <c r="DF3" s="10" t="s">
        <v>68</v>
      </c>
      <c r="DG3" s="10" t="s">
        <v>67</v>
      </c>
      <c r="DH3" s="10" t="s">
        <v>68</v>
      </c>
      <c r="DI3" s="10" t="s">
        <v>67</v>
      </c>
      <c r="DJ3" s="10" t="s">
        <v>68</v>
      </c>
      <c r="DK3" s="10" t="s">
        <v>67</v>
      </c>
      <c r="DL3" s="10" t="s">
        <v>68</v>
      </c>
      <c r="DM3" s="10" t="s">
        <v>67</v>
      </c>
      <c r="DN3" s="10" t="s">
        <v>68</v>
      </c>
      <c r="DO3" s="10" t="s">
        <v>67</v>
      </c>
      <c r="DP3" s="10" t="s">
        <v>68</v>
      </c>
      <c r="DQ3" s="10" t="s">
        <v>67</v>
      </c>
      <c r="DR3" s="10" t="s">
        <v>68</v>
      </c>
      <c r="DS3" s="10" t="s">
        <v>67</v>
      </c>
      <c r="DT3" s="10" t="s">
        <v>68</v>
      </c>
      <c r="DU3" s="10" t="s">
        <v>67</v>
      </c>
      <c r="DV3" s="10" t="s">
        <v>68</v>
      </c>
      <c r="DW3" s="10" t="s">
        <v>67</v>
      </c>
      <c r="DX3" s="10" t="s">
        <v>68</v>
      </c>
      <c r="DY3" s="10" t="s">
        <v>67</v>
      </c>
      <c r="DZ3" s="10" t="s">
        <v>68</v>
      </c>
      <c r="EA3" s="10" t="s">
        <v>67</v>
      </c>
      <c r="EB3" s="10" t="s">
        <v>68</v>
      </c>
      <c r="EC3" s="10" t="s">
        <v>67</v>
      </c>
      <c r="ED3" s="10" t="s">
        <v>68</v>
      </c>
      <c r="EE3" s="10" t="s">
        <v>67</v>
      </c>
      <c r="EF3" s="10" t="s">
        <v>68</v>
      </c>
      <c r="EG3" s="10" t="s">
        <v>67</v>
      </c>
      <c r="EH3" s="10" t="s">
        <v>68</v>
      </c>
      <c r="EI3" s="10" t="s">
        <v>67</v>
      </c>
      <c r="EJ3" s="10" t="s">
        <v>68</v>
      </c>
      <c r="EK3" s="10" t="s">
        <v>67</v>
      </c>
      <c r="EL3" s="10" t="s">
        <v>68</v>
      </c>
      <c r="EM3" s="10" t="s">
        <v>67</v>
      </c>
      <c r="EN3" s="10" t="s">
        <v>68</v>
      </c>
      <c r="EO3" s="10" t="s">
        <v>67</v>
      </c>
      <c r="EP3" s="10" t="s">
        <v>68</v>
      </c>
      <c r="EQ3" s="10" t="s">
        <v>67</v>
      </c>
      <c r="ER3" s="10" t="s">
        <v>68</v>
      </c>
      <c r="ES3" s="10" t="s">
        <v>67</v>
      </c>
      <c r="ET3" s="10" t="s">
        <v>68</v>
      </c>
      <c r="EU3" s="10" t="s">
        <v>67</v>
      </c>
      <c r="EV3" s="10" t="s">
        <v>68</v>
      </c>
      <c r="EW3" s="10" t="s">
        <v>67</v>
      </c>
      <c r="EX3" s="10" t="s">
        <v>68</v>
      </c>
      <c r="EY3" s="10" t="s">
        <v>67</v>
      </c>
      <c r="EZ3" s="10" t="s">
        <v>68</v>
      </c>
      <c r="FA3" s="10" t="s">
        <v>67</v>
      </c>
      <c r="FB3" s="10" t="s">
        <v>68</v>
      </c>
      <c r="FC3" s="10" t="s">
        <v>67</v>
      </c>
      <c r="FD3" s="10" t="s">
        <v>68</v>
      </c>
      <c r="FE3" s="10" t="s">
        <v>67</v>
      </c>
      <c r="FF3" s="10" t="s">
        <v>68</v>
      </c>
      <c r="FG3" s="10" t="s">
        <v>67</v>
      </c>
      <c r="FH3" s="10" t="s">
        <v>68</v>
      </c>
      <c r="FI3" s="10" t="s">
        <v>67</v>
      </c>
      <c r="FJ3" s="10" t="s">
        <v>68</v>
      </c>
      <c r="FK3" s="10" t="s">
        <v>67</v>
      </c>
      <c r="FL3" s="10" t="s">
        <v>68</v>
      </c>
      <c r="FM3" s="10" t="s">
        <v>67</v>
      </c>
      <c r="FN3" s="10" t="s">
        <v>68</v>
      </c>
      <c r="FO3" s="10" t="s">
        <v>67</v>
      </c>
      <c r="FP3" s="10" t="s">
        <v>68</v>
      </c>
      <c r="FQ3" s="10" t="s">
        <v>67</v>
      </c>
      <c r="FR3" s="10" t="s">
        <v>68</v>
      </c>
      <c r="FS3" s="10" t="s">
        <v>67</v>
      </c>
      <c r="FT3" s="10" t="s">
        <v>68</v>
      </c>
      <c r="FU3" s="10" t="s">
        <v>67</v>
      </c>
      <c r="FV3" s="10" t="s">
        <v>68</v>
      </c>
      <c r="FW3" s="10" t="s">
        <v>67</v>
      </c>
      <c r="FX3" s="10" t="s">
        <v>68</v>
      </c>
      <c r="FY3" s="10" t="s">
        <v>67</v>
      </c>
      <c r="FZ3" s="10" t="s">
        <v>68</v>
      </c>
      <c r="GA3" s="10" t="s">
        <v>67</v>
      </c>
      <c r="GB3" s="10" t="s">
        <v>68</v>
      </c>
      <c r="GC3" s="10" t="s">
        <v>67</v>
      </c>
      <c r="GD3" s="10" t="s">
        <v>68</v>
      </c>
      <c r="GE3" s="10" t="s">
        <v>67</v>
      </c>
      <c r="GF3" s="10" t="s">
        <v>68</v>
      </c>
      <c r="GG3" s="10" t="s">
        <v>67</v>
      </c>
      <c r="GH3" s="10" t="s">
        <v>68</v>
      </c>
      <c r="GI3" s="10" t="s">
        <v>67</v>
      </c>
      <c r="GJ3" s="10" t="s">
        <v>68</v>
      </c>
      <c r="GK3" s="10" t="s">
        <v>67</v>
      </c>
      <c r="GL3" s="10" t="s">
        <v>68</v>
      </c>
      <c r="GM3" s="10" t="s">
        <v>67</v>
      </c>
      <c r="GN3" s="10" t="s">
        <v>68</v>
      </c>
      <c r="GO3" s="10" t="s">
        <v>67</v>
      </c>
      <c r="GP3" s="10" t="s">
        <v>68</v>
      </c>
      <c r="GQ3" s="10" t="s">
        <v>67</v>
      </c>
      <c r="GR3" s="10" t="s">
        <v>68</v>
      </c>
      <c r="GS3" s="10" t="s">
        <v>67</v>
      </c>
      <c r="GT3" s="10" t="s">
        <v>68</v>
      </c>
      <c r="GU3" s="10" t="s">
        <v>67</v>
      </c>
      <c r="GV3" s="10" t="s">
        <v>68</v>
      </c>
      <c r="GW3" s="10" t="s">
        <v>67</v>
      </c>
      <c r="GX3" s="10" t="s">
        <v>68</v>
      </c>
      <c r="GY3" s="10" t="s">
        <v>67</v>
      </c>
      <c r="GZ3" s="10" t="s">
        <v>68</v>
      </c>
      <c r="HA3" s="10" t="s">
        <v>67</v>
      </c>
      <c r="HB3" s="10" t="s">
        <v>68</v>
      </c>
      <c r="HC3" s="10" t="s">
        <v>67</v>
      </c>
      <c r="HD3" s="10" t="s">
        <v>68</v>
      </c>
      <c r="HE3" s="10" t="s">
        <v>67</v>
      </c>
      <c r="HF3" s="10" t="s">
        <v>68</v>
      </c>
      <c r="HG3" s="10" t="s">
        <v>67</v>
      </c>
      <c r="HH3" s="10" t="s">
        <v>68</v>
      </c>
      <c r="HI3" s="10" t="s">
        <v>67</v>
      </c>
      <c r="HJ3" s="10" t="s">
        <v>68</v>
      </c>
      <c r="HK3" s="10" t="s">
        <v>67</v>
      </c>
      <c r="HL3" s="10" t="s">
        <v>68</v>
      </c>
      <c r="HM3" s="10" t="s">
        <v>67</v>
      </c>
      <c r="HN3" s="10" t="s">
        <v>68</v>
      </c>
      <c r="HO3" s="10" t="s">
        <v>67</v>
      </c>
      <c r="HP3" s="10" t="s">
        <v>68</v>
      </c>
      <c r="HQ3" s="10" t="s">
        <v>67</v>
      </c>
      <c r="HR3" s="10" t="s">
        <v>68</v>
      </c>
      <c r="HS3" s="10" t="s">
        <v>67</v>
      </c>
      <c r="HT3" s="10" t="s">
        <v>68</v>
      </c>
      <c r="HU3" s="10" t="s">
        <v>67</v>
      </c>
      <c r="HV3" s="10" t="s">
        <v>68</v>
      </c>
      <c r="HW3" s="10" t="s">
        <v>67</v>
      </c>
      <c r="HX3" s="10" t="s">
        <v>68</v>
      </c>
      <c r="HY3" s="10" t="s">
        <v>67</v>
      </c>
      <c r="HZ3" s="10" t="s">
        <v>68</v>
      </c>
      <c r="IA3" s="10" t="s">
        <v>67</v>
      </c>
      <c r="IB3" s="10" t="s">
        <v>68</v>
      </c>
      <c r="IC3" s="10" t="s">
        <v>67</v>
      </c>
      <c r="ID3" s="10" t="s">
        <v>68</v>
      </c>
      <c r="IE3" s="10" t="s">
        <v>67</v>
      </c>
      <c r="IF3" s="10" t="s">
        <v>68</v>
      </c>
      <c r="IG3" s="10" t="s">
        <v>67</v>
      </c>
      <c r="IH3" s="10" t="s">
        <v>68</v>
      </c>
      <c r="II3" s="10" t="s">
        <v>67</v>
      </c>
      <c r="IJ3" s="10" t="s">
        <v>68</v>
      </c>
      <c r="IK3" s="10" t="s">
        <v>67</v>
      </c>
      <c r="IL3" s="10" t="s">
        <v>68</v>
      </c>
      <c r="IM3" s="10" t="s">
        <v>67</v>
      </c>
      <c r="IN3" s="10" t="s">
        <v>68</v>
      </c>
      <c r="IO3" s="10" t="s">
        <v>67</v>
      </c>
      <c r="IP3" s="10" t="s">
        <v>68</v>
      </c>
      <c r="IQ3" s="10" t="s">
        <v>67</v>
      </c>
      <c r="IR3" s="10" t="s">
        <v>68</v>
      </c>
      <c r="IS3" s="10" t="s">
        <v>67</v>
      </c>
      <c r="IT3" s="10" t="s">
        <v>68</v>
      </c>
      <c r="IU3" s="10" t="s">
        <v>67</v>
      </c>
      <c r="IV3" s="10" t="s">
        <v>68</v>
      </c>
      <c r="IW3" s="10" t="s">
        <v>67</v>
      </c>
      <c r="IX3" s="10" t="s">
        <v>68</v>
      </c>
      <c r="IY3" s="10" t="s">
        <v>67</v>
      </c>
      <c r="IZ3" s="10" t="s">
        <v>68</v>
      </c>
      <c r="JA3" s="10" t="s">
        <v>67</v>
      </c>
      <c r="JB3" s="10" t="s">
        <v>68</v>
      </c>
      <c r="JC3" s="10" t="s">
        <v>67</v>
      </c>
      <c r="JD3" s="10" t="s">
        <v>68</v>
      </c>
      <c r="JE3" s="10" t="s">
        <v>67</v>
      </c>
      <c r="JF3" s="10" t="s">
        <v>68</v>
      </c>
      <c r="JG3" s="10" t="s">
        <v>67</v>
      </c>
      <c r="JH3" s="10" t="s">
        <v>68</v>
      </c>
      <c r="JI3" s="10" t="s">
        <v>67</v>
      </c>
      <c r="JJ3" s="10" t="s">
        <v>68</v>
      </c>
      <c r="JK3" s="10" t="s">
        <v>67</v>
      </c>
      <c r="JL3" s="10" t="s">
        <v>68</v>
      </c>
      <c r="JM3" s="10" t="s">
        <v>67</v>
      </c>
      <c r="JN3" s="10" t="s">
        <v>68</v>
      </c>
      <c r="JO3" s="10" t="s">
        <v>67</v>
      </c>
      <c r="JP3" s="10" t="s">
        <v>68</v>
      </c>
      <c r="JQ3" s="10" t="s">
        <v>67</v>
      </c>
      <c r="JR3" s="10" t="s">
        <v>68</v>
      </c>
      <c r="JS3" s="10" t="s">
        <v>67</v>
      </c>
      <c r="JT3" s="10" t="s">
        <v>68</v>
      </c>
      <c r="JU3" s="10" t="s">
        <v>67</v>
      </c>
      <c r="JV3" s="10" t="s">
        <v>68</v>
      </c>
      <c r="JW3" s="10" t="s">
        <v>67</v>
      </c>
      <c r="JX3" s="10" t="s">
        <v>68</v>
      </c>
      <c r="JY3" s="10" t="s">
        <v>67</v>
      </c>
      <c r="JZ3" s="10" t="s">
        <v>68</v>
      </c>
      <c r="KA3" s="10" t="s">
        <v>67</v>
      </c>
      <c r="KB3" s="10" t="s">
        <v>68</v>
      </c>
      <c r="KC3" s="10" t="s">
        <v>67</v>
      </c>
      <c r="KD3" s="10" t="s">
        <v>68</v>
      </c>
      <c r="KE3" s="10" t="s">
        <v>67</v>
      </c>
      <c r="KF3" s="10" t="s">
        <v>68</v>
      </c>
      <c r="KG3" s="10" t="s">
        <v>67</v>
      </c>
      <c r="KH3" s="10" t="s">
        <v>68</v>
      </c>
      <c r="KI3" s="10" t="s">
        <v>67</v>
      </c>
      <c r="KJ3" s="10" t="s">
        <v>68</v>
      </c>
      <c r="KK3" s="10" t="s">
        <v>67</v>
      </c>
      <c r="KL3" s="10" t="s">
        <v>68</v>
      </c>
      <c r="KM3" s="10" t="s">
        <v>67</v>
      </c>
      <c r="KN3" s="10" t="s">
        <v>68</v>
      </c>
      <c r="KO3" s="10" t="s">
        <v>67</v>
      </c>
      <c r="KP3" s="10" t="s">
        <v>68</v>
      </c>
      <c r="KQ3" s="10" t="s">
        <v>67</v>
      </c>
      <c r="KR3" s="10" t="s">
        <v>68</v>
      </c>
      <c r="KS3" s="10" t="s">
        <v>67</v>
      </c>
      <c r="KT3" s="10" t="s">
        <v>68</v>
      </c>
      <c r="KU3" s="10" t="s">
        <v>67</v>
      </c>
      <c r="KV3" s="10" t="s">
        <v>68</v>
      </c>
      <c r="KW3" s="10" t="s">
        <v>67</v>
      </c>
      <c r="KX3" s="10" t="s">
        <v>68</v>
      </c>
      <c r="KY3" s="10" t="s">
        <v>67</v>
      </c>
      <c r="KZ3" s="10" t="s">
        <v>68</v>
      </c>
      <c r="LA3" s="10" t="s">
        <v>67</v>
      </c>
      <c r="LB3" s="10" t="s">
        <v>68</v>
      </c>
      <c r="LC3" s="10" t="s">
        <v>67</v>
      </c>
      <c r="LD3" s="10" t="s">
        <v>68</v>
      </c>
      <c r="LE3" s="10" t="s">
        <v>67</v>
      </c>
      <c r="LF3" s="10" t="s">
        <v>68</v>
      </c>
      <c r="LG3" s="10" t="s">
        <v>67</v>
      </c>
      <c r="LH3" s="10" t="s">
        <v>68</v>
      </c>
      <c r="LI3" s="10" t="s">
        <v>67</v>
      </c>
      <c r="LJ3" s="10" t="s">
        <v>68</v>
      </c>
      <c r="LK3" s="10" t="s">
        <v>67</v>
      </c>
      <c r="LL3" s="10" t="s">
        <v>68</v>
      </c>
      <c r="LM3" s="10" t="s">
        <v>67</v>
      </c>
      <c r="LN3" s="10" t="s">
        <v>68</v>
      </c>
      <c r="LO3" s="10" t="s">
        <v>67</v>
      </c>
      <c r="LP3" s="10" t="s">
        <v>68</v>
      </c>
      <c r="LQ3" s="10" t="s">
        <v>67</v>
      </c>
      <c r="LR3" s="10" t="s">
        <v>68</v>
      </c>
      <c r="LS3" s="10" t="s">
        <v>67</v>
      </c>
      <c r="LT3" s="10" t="s">
        <v>68</v>
      </c>
      <c r="LU3" s="10" t="s">
        <v>67</v>
      </c>
      <c r="LV3" s="10" t="s">
        <v>68</v>
      </c>
      <c r="LW3" s="10" t="s">
        <v>67</v>
      </c>
      <c r="LX3" s="10" t="s">
        <v>68</v>
      </c>
      <c r="LY3" s="10" t="s">
        <v>67</v>
      </c>
      <c r="LZ3" s="10" t="s">
        <v>68</v>
      </c>
      <c r="MA3" s="10" t="s">
        <v>67</v>
      </c>
      <c r="MB3" s="10" t="s">
        <v>68</v>
      </c>
      <c r="MC3" s="10" t="s">
        <v>67</v>
      </c>
      <c r="MD3" s="10" t="s">
        <v>68</v>
      </c>
      <c r="ME3" s="10" t="s">
        <v>67</v>
      </c>
      <c r="MF3" s="10" t="s">
        <v>68</v>
      </c>
      <c r="MG3" s="10" t="s">
        <v>67</v>
      </c>
      <c r="MH3" s="10" t="s">
        <v>68</v>
      </c>
      <c r="MI3" s="10" t="s">
        <v>67</v>
      </c>
      <c r="MJ3" s="10" t="s">
        <v>68</v>
      </c>
      <c r="MK3" s="10" t="s">
        <v>67</v>
      </c>
      <c r="ML3" s="10" t="s">
        <v>68</v>
      </c>
      <c r="MM3" s="10" t="s">
        <v>67</v>
      </c>
      <c r="MN3" s="10" t="s">
        <v>68</v>
      </c>
      <c r="MO3" s="10" t="s">
        <v>67</v>
      </c>
      <c r="MP3" s="10" t="s">
        <v>68</v>
      </c>
      <c r="MQ3" s="10" t="s">
        <v>67</v>
      </c>
      <c r="MR3" s="10" t="s">
        <v>68</v>
      </c>
      <c r="MS3" s="10" t="s">
        <v>67</v>
      </c>
      <c r="MT3" s="10" t="s">
        <v>68</v>
      </c>
      <c r="MU3" s="10" t="s">
        <v>67</v>
      </c>
      <c r="MV3" s="10" t="s">
        <v>68</v>
      </c>
      <c r="MW3" s="10" t="s">
        <v>67</v>
      </c>
      <c r="MX3" s="10" t="s">
        <v>68</v>
      </c>
      <c r="MY3" s="10" t="s">
        <v>67</v>
      </c>
      <c r="MZ3" s="10" t="s">
        <v>68</v>
      </c>
      <c r="NA3" s="10" t="s">
        <v>67</v>
      </c>
      <c r="NB3" s="10" t="s">
        <v>68</v>
      </c>
      <c r="NC3" s="10" t="s">
        <v>67</v>
      </c>
      <c r="ND3" s="10" t="s">
        <v>68</v>
      </c>
      <c r="NE3" s="10" t="s">
        <v>67</v>
      </c>
      <c r="NF3" s="10" t="s">
        <v>68</v>
      </c>
      <c r="NG3" s="10" t="s">
        <v>67</v>
      </c>
      <c r="NH3" s="10" t="s">
        <v>68</v>
      </c>
      <c r="NI3" s="10" t="s">
        <v>67</v>
      </c>
      <c r="NJ3" s="10" t="s">
        <v>68</v>
      </c>
      <c r="NK3" s="10" t="s">
        <v>67</v>
      </c>
      <c r="NL3" s="10" t="s">
        <v>68</v>
      </c>
      <c r="NM3" s="10" t="s">
        <v>67</v>
      </c>
      <c r="NN3" s="10" t="s">
        <v>68</v>
      </c>
      <c r="NO3" s="10" t="s">
        <v>67</v>
      </c>
      <c r="NP3" s="10" t="s">
        <v>68</v>
      </c>
      <c r="NQ3" s="10" t="s">
        <v>67</v>
      </c>
      <c r="NR3" s="10" t="s">
        <v>68</v>
      </c>
      <c r="NS3" s="10" t="s">
        <v>67</v>
      </c>
      <c r="NT3" s="10" t="s">
        <v>68</v>
      </c>
      <c r="NU3" s="10" t="s">
        <v>67</v>
      </c>
      <c r="NV3" s="10" t="s">
        <v>68</v>
      </c>
      <c r="NW3" s="10" t="s">
        <v>67</v>
      </c>
      <c r="NX3" s="10" t="s">
        <v>68</v>
      </c>
      <c r="NY3" s="10" t="s">
        <v>67</v>
      </c>
      <c r="NZ3" s="10" t="s">
        <v>68</v>
      </c>
      <c r="OA3" s="10" t="s">
        <v>67</v>
      </c>
      <c r="OB3" s="10" t="s">
        <v>68</v>
      </c>
      <c r="OC3" s="10" t="s">
        <v>67</v>
      </c>
      <c r="OD3" s="10" t="s">
        <v>68</v>
      </c>
      <c r="OE3" s="10" t="s">
        <v>67</v>
      </c>
      <c r="OF3" s="10" t="s">
        <v>68</v>
      </c>
      <c r="OG3" s="10" t="s">
        <v>67</v>
      </c>
      <c r="OH3" s="10" t="s">
        <v>68</v>
      </c>
      <c r="OI3" s="10" t="s">
        <v>67</v>
      </c>
      <c r="OJ3" s="10" t="s">
        <v>68</v>
      </c>
      <c r="OK3" s="10" t="s">
        <v>67</v>
      </c>
      <c r="OL3" s="10" t="s">
        <v>68</v>
      </c>
      <c r="OM3" s="10" t="s">
        <v>67</v>
      </c>
      <c r="ON3" s="10" t="s">
        <v>68</v>
      </c>
      <c r="OO3" s="10" t="s">
        <v>67</v>
      </c>
      <c r="OP3" s="10" t="s">
        <v>68</v>
      </c>
      <c r="OQ3" s="10" t="s">
        <v>67</v>
      </c>
      <c r="OR3" s="10" t="s">
        <v>68</v>
      </c>
      <c r="OS3" s="10" t="s">
        <v>67</v>
      </c>
      <c r="OT3" s="10" t="s">
        <v>68</v>
      </c>
      <c r="OU3" s="10" t="s">
        <v>67</v>
      </c>
      <c r="OV3" s="10" t="s">
        <v>68</v>
      </c>
      <c r="OW3" s="10" t="s">
        <v>67</v>
      </c>
      <c r="OX3" s="10" t="s">
        <v>68</v>
      </c>
      <c r="OY3" s="10" t="s">
        <v>67</v>
      </c>
      <c r="OZ3" s="10" t="s">
        <v>68</v>
      </c>
      <c r="PA3" s="10" t="s">
        <v>67</v>
      </c>
      <c r="PB3" s="10" t="s">
        <v>68</v>
      </c>
      <c r="PC3" s="10" t="s">
        <v>67</v>
      </c>
      <c r="PD3" s="10" t="s">
        <v>68</v>
      </c>
      <c r="PE3" s="10" t="s">
        <v>67</v>
      </c>
      <c r="PF3" s="10" t="s">
        <v>68</v>
      </c>
      <c r="PG3" s="10" t="s">
        <v>67</v>
      </c>
      <c r="PH3" s="10" t="s">
        <v>68</v>
      </c>
      <c r="PI3" s="10" t="s">
        <v>67</v>
      </c>
      <c r="PJ3" s="10" t="s">
        <v>68</v>
      </c>
      <c r="PK3" s="10" t="s">
        <v>67</v>
      </c>
      <c r="PL3" s="10" t="s">
        <v>68</v>
      </c>
      <c r="PM3" s="10" t="s">
        <v>67</v>
      </c>
      <c r="PN3" s="10" t="s">
        <v>68</v>
      </c>
      <c r="PO3" s="10" t="s">
        <v>67</v>
      </c>
      <c r="PP3" s="10" t="s">
        <v>68</v>
      </c>
      <c r="PQ3" s="10" t="s">
        <v>67</v>
      </c>
      <c r="PR3" s="10" t="s">
        <v>68</v>
      </c>
      <c r="PS3" s="10" t="s">
        <v>67</v>
      </c>
      <c r="PT3" s="10" t="s">
        <v>68</v>
      </c>
      <c r="PU3" s="10" t="s">
        <v>67</v>
      </c>
      <c r="PV3" s="10" t="s">
        <v>68</v>
      </c>
      <c r="PW3" s="10" t="s">
        <v>67</v>
      </c>
      <c r="PX3" s="10" t="s">
        <v>68</v>
      </c>
      <c r="PY3" s="10" t="s">
        <v>67</v>
      </c>
      <c r="PZ3" s="10" t="s">
        <v>68</v>
      </c>
      <c r="QA3" s="10" t="s">
        <v>67</v>
      </c>
      <c r="QB3" s="10" t="s">
        <v>68</v>
      </c>
      <c r="QC3" s="10" t="s">
        <v>67</v>
      </c>
      <c r="QD3" s="10" t="s">
        <v>68</v>
      </c>
      <c r="QE3" s="10" t="s">
        <v>67</v>
      </c>
      <c r="QF3" s="10" t="s">
        <v>68</v>
      </c>
      <c r="QG3" s="10" t="s">
        <v>67</v>
      </c>
      <c r="QH3" s="10" t="s">
        <v>68</v>
      </c>
      <c r="QI3" s="10" t="s">
        <v>67</v>
      </c>
      <c r="QJ3" s="10" t="s">
        <v>68</v>
      </c>
      <c r="QK3" s="10" t="s">
        <v>67</v>
      </c>
      <c r="QL3" s="10" t="s">
        <v>68</v>
      </c>
      <c r="QM3" s="10" t="s">
        <v>67</v>
      </c>
      <c r="QN3" s="10" t="s">
        <v>68</v>
      </c>
      <c r="QO3" s="10" t="s">
        <v>67</v>
      </c>
      <c r="QP3" s="10" t="s">
        <v>68</v>
      </c>
      <c r="QQ3" s="10" t="s">
        <v>67</v>
      </c>
      <c r="QR3" s="10" t="s">
        <v>68</v>
      </c>
      <c r="QS3" s="10" t="s">
        <v>67</v>
      </c>
      <c r="QT3" s="10" t="s">
        <v>68</v>
      </c>
      <c r="QU3" s="10" t="s">
        <v>67</v>
      </c>
      <c r="QV3" s="10" t="s">
        <v>68</v>
      </c>
      <c r="QW3" s="10" t="s">
        <v>67</v>
      </c>
      <c r="QX3" s="10" t="s">
        <v>68</v>
      </c>
      <c r="QY3" s="10" t="s">
        <v>67</v>
      </c>
      <c r="QZ3" s="10" t="s">
        <v>68</v>
      </c>
      <c r="RA3" s="10" t="s">
        <v>67</v>
      </c>
      <c r="RB3" s="10" t="s">
        <v>68</v>
      </c>
      <c r="RC3" s="10" t="s">
        <v>67</v>
      </c>
      <c r="RD3" s="10" t="s">
        <v>68</v>
      </c>
      <c r="RE3" s="10" t="s">
        <v>67</v>
      </c>
      <c r="RF3" s="10" t="s">
        <v>68</v>
      </c>
      <c r="RG3" s="10" t="s">
        <v>67</v>
      </c>
      <c r="RH3" s="10" t="s">
        <v>68</v>
      </c>
      <c r="RI3" s="10" t="s">
        <v>67</v>
      </c>
      <c r="RJ3" s="10" t="s">
        <v>68</v>
      </c>
      <c r="RK3" s="10" t="s">
        <v>67</v>
      </c>
      <c r="RL3" s="10" t="s">
        <v>68</v>
      </c>
      <c r="RM3" s="10" t="s">
        <v>67</v>
      </c>
      <c r="RN3" s="10" t="s">
        <v>68</v>
      </c>
      <c r="RO3" s="10" t="s">
        <v>67</v>
      </c>
      <c r="RP3" s="10" t="s">
        <v>68</v>
      </c>
      <c r="RQ3" s="10" t="s">
        <v>67</v>
      </c>
      <c r="RR3" s="10" t="s">
        <v>68</v>
      </c>
      <c r="RS3" s="10" t="s">
        <v>67</v>
      </c>
      <c r="RT3" s="10" t="s">
        <v>68</v>
      </c>
      <c r="RU3" s="10" t="s">
        <v>67</v>
      </c>
      <c r="RV3" s="10" t="s">
        <v>68</v>
      </c>
      <c r="RW3" s="10" t="s">
        <v>67</v>
      </c>
      <c r="RX3" s="10" t="s">
        <v>68</v>
      </c>
      <c r="RY3" s="10" t="s">
        <v>67</v>
      </c>
      <c r="RZ3" s="10" t="s">
        <v>68</v>
      </c>
      <c r="SA3" s="10" t="s">
        <v>67</v>
      </c>
      <c r="SB3" s="10" t="s">
        <v>68</v>
      </c>
      <c r="SC3" s="10" t="s">
        <v>67</v>
      </c>
      <c r="SD3" s="10" t="s">
        <v>68</v>
      </c>
      <c r="SE3" s="10" t="s">
        <v>67</v>
      </c>
      <c r="SF3" s="10" t="s">
        <v>68</v>
      </c>
      <c r="SG3" s="10" t="s">
        <v>67</v>
      </c>
      <c r="SH3" s="10" t="s">
        <v>68</v>
      </c>
      <c r="SI3" s="10" t="s">
        <v>67</v>
      </c>
      <c r="SJ3" s="10" t="s">
        <v>68</v>
      </c>
      <c r="SK3" s="10" t="s">
        <v>67</v>
      </c>
      <c r="SL3" s="10" t="s">
        <v>68</v>
      </c>
      <c r="SM3" s="10" t="s">
        <v>67</v>
      </c>
      <c r="SN3" s="10" t="s">
        <v>68</v>
      </c>
      <c r="SO3" s="10" t="s">
        <v>67</v>
      </c>
      <c r="SP3" s="10" t="s">
        <v>68</v>
      </c>
      <c r="SQ3" s="10" t="s">
        <v>67</v>
      </c>
      <c r="SR3" s="10" t="s">
        <v>68</v>
      </c>
      <c r="SS3" s="10" t="s">
        <v>67</v>
      </c>
      <c r="ST3" s="10" t="s">
        <v>68</v>
      </c>
      <c r="SU3" s="10" t="s">
        <v>67</v>
      </c>
      <c r="SV3" s="10" t="s">
        <v>68</v>
      </c>
      <c r="SW3" s="10" t="s">
        <v>67</v>
      </c>
      <c r="SX3" s="10" t="s">
        <v>68</v>
      </c>
      <c r="SY3" s="10" t="s">
        <v>67</v>
      </c>
      <c r="SZ3" s="10" t="s">
        <v>68</v>
      </c>
      <c r="TA3" s="10" t="s">
        <v>67</v>
      </c>
      <c r="TB3" s="10" t="s">
        <v>68</v>
      </c>
      <c r="TC3" s="10" t="s">
        <v>67</v>
      </c>
      <c r="TD3" s="10" t="s">
        <v>68</v>
      </c>
      <c r="TE3" s="10" t="s">
        <v>67</v>
      </c>
      <c r="TF3" s="10" t="s">
        <v>68</v>
      </c>
      <c r="TG3" s="10" t="s">
        <v>67</v>
      </c>
      <c r="TH3" s="10" t="s">
        <v>68</v>
      </c>
      <c r="TI3" s="10" t="s">
        <v>67</v>
      </c>
      <c r="TJ3" s="10" t="s">
        <v>68</v>
      </c>
      <c r="TK3" s="10" t="s">
        <v>67</v>
      </c>
      <c r="TL3" s="10" t="s">
        <v>68</v>
      </c>
      <c r="TM3" s="10" t="s">
        <v>67</v>
      </c>
      <c r="TN3" s="10" t="s">
        <v>68</v>
      </c>
      <c r="TO3" s="10" t="s">
        <v>67</v>
      </c>
      <c r="TP3" s="10" t="s">
        <v>68</v>
      </c>
      <c r="TQ3" s="10" t="s">
        <v>67</v>
      </c>
      <c r="TR3" s="10" t="s">
        <v>68</v>
      </c>
      <c r="TS3" s="10" t="s">
        <v>67</v>
      </c>
      <c r="TT3" s="10" t="s">
        <v>68</v>
      </c>
      <c r="TU3" s="10" t="s">
        <v>67</v>
      </c>
      <c r="TV3" s="10" t="s">
        <v>68</v>
      </c>
      <c r="TW3" s="10" t="s">
        <v>67</v>
      </c>
      <c r="TX3" s="10" t="s">
        <v>68</v>
      </c>
      <c r="TY3" s="10" t="s">
        <v>67</v>
      </c>
      <c r="TZ3" s="10" t="s">
        <v>68</v>
      </c>
      <c r="UA3" s="10" t="s">
        <v>67</v>
      </c>
      <c r="UB3" s="10" t="s">
        <v>68</v>
      </c>
      <c r="UC3" s="10" t="s">
        <v>67</v>
      </c>
      <c r="UD3" s="10" t="s">
        <v>68</v>
      </c>
      <c r="UE3" s="10" t="s">
        <v>67</v>
      </c>
      <c r="UF3" s="10" t="s">
        <v>68</v>
      </c>
      <c r="UG3" s="10" t="s">
        <v>67</v>
      </c>
      <c r="UH3" s="10" t="s">
        <v>68</v>
      </c>
      <c r="UI3" s="10" t="s">
        <v>67</v>
      </c>
      <c r="UJ3" s="10" t="s">
        <v>68</v>
      </c>
      <c r="UK3" s="10" t="s">
        <v>67</v>
      </c>
      <c r="UL3" s="10" t="s">
        <v>68</v>
      </c>
      <c r="UM3" s="10" t="s">
        <v>67</v>
      </c>
      <c r="UN3" s="10" t="s">
        <v>68</v>
      </c>
      <c r="UO3" s="10" t="s">
        <v>67</v>
      </c>
      <c r="UP3" s="10" t="s">
        <v>68</v>
      </c>
      <c r="UQ3" s="10" t="s">
        <v>67</v>
      </c>
      <c r="UR3" s="10" t="s">
        <v>68</v>
      </c>
      <c r="US3" s="10" t="s">
        <v>67</v>
      </c>
      <c r="UT3" s="10" t="s">
        <v>68</v>
      </c>
      <c r="UU3" s="10" t="s">
        <v>67</v>
      </c>
      <c r="UV3" s="10" t="s">
        <v>68</v>
      </c>
      <c r="UW3" s="10" t="s">
        <v>67</v>
      </c>
      <c r="UX3" s="10" t="s">
        <v>68</v>
      </c>
      <c r="UY3" s="10" t="s">
        <v>67</v>
      </c>
      <c r="UZ3" s="10" t="s">
        <v>68</v>
      </c>
      <c r="VA3" s="10" t="s">
        <v>67</v>
      </c>
      <c r="VB3" s="10" t="s">
        <v>68</v>
      </c>
      <c r="VC3" s="10" t="s">
        <v>67</v>
      </c>
      <c r="VD3" s="10" t="s">
        <v>68</v>
      </c>
      <c r="VE3" s="10" t="s">
        <v>67</v>
      </c>
      <c r="VF3" s="10" t="s">
        <v>68</v>
      </c>
      <c r="VG3" s="10" t="s">
        <v>67</v>
      </c>
      <c r="VH3" s="10" t="s">
        <v>68</v>
      </c>
      <c r="VI3" s="10" t="s">
        <v>67</v>
      </c>
      <c r="VJ3" s="10" t="s">
        <v>68</v>
      </c>
      <c r="VK3" s="10" t="s">
        <v>67</v>
      </c>
      <c r="VL3" s="10" t="s">
        <v>68</v>
      </c>
      <c r="VM3" s="10" t="s">
        <v>67</v>
      </c>
      <c r="VN3" s="10" t="s">
        <v>68</v>
      </c>
      <c r="VO3" s="10" t="s">
        <v>67</v>
      </c>
      <c r="VP3" s="10" t="s">
        <v>68</v>
      </c>
      <c r="VQ3" s="10" t="s">
        <v>67</v>
      </c>
      <c r="VR3" s="10" t="s">
        <v>68</v>
      </c>
      <c r="VS3" s="10" t="s">
        <v>67</v>
      </c>
      <c r="VT3" s="10" t="s">
        <v>68</v>
      </c>
      <c r="VU3" s="10" t="s">
        <v>67</v>
      </c>
      <c r="VV3" s="10" t="s">
        <v>68</v>
      </c>
      <c r="VW3" s="10" t="s">
        <v>67</v>
      </c>
      <c r="VX3" s="10" t="s">
        <v>68</v>
      </c>
      <c r="VY3" s="10" t="s">
        <v>67</v>
      </c>
      <c r="VZ3" s="10" t="s">
        <v>68</v>
      </c>
      <c r="WA3" s="10" t="s">
        <v>67</v>
      </c>
      <c r="WB3" s="10" t="s">
        <v>68</v>
      </c>
      <c r="WC3" s="10" t="s">
        <v>67</v>
      </c>
      <c r="WD3" s="10" t="s">
        <v>68</v>
      </c>
      <c r="WE3" s="10" t="s">
        <v>67</v>
      </c>
      <c r="WF3" s="10" t="s">
        <v>68</v>
      </c>
      <c r="WG3" s="10" t="s">
        <v>67</v>
      </c>
      <c r="WH3" s="10" t="s">
        <v>68</v>
      </c>
      <c r="WI3" s="10" t="s">
        <v>67</v>
      </c>
      <c r="WJ3" s="10" t="s">
        <v>68</v>
      </c>
      <c r="WK3" s="10" t="s">
        <v>67</v>
      </c>
      <c r="WL3" s="10" t="s">
        <v>68</v>
      </c>
      <c r="WM3" s="10" t="s">
        <v>67</v>
      </c>
      <c r="WN3" s="10" t="s">
        <v>68</v>
      </c>
      <c r="WO3" s="10" t="s">
        <v>67</v>
      </c>
      <c r="WP3" s="10" t="s">
        <v>68</v>
      </c>
      <c r="WQ3" s="10" t="s">
        <v>67</v>
      </c>
      <c r="WR3" s="10" t="s">
        <v>68</v>
      </c>
      <c r="WS3" s="10" t="s">
        <v>67</v>
      </c>
      <c r="WT3" s="10" t="s">
        <v>68</v>
      </c>
      <c r="WU3" s="10" t="s">
        <v>67</v>
      </c>
      <c r="WV3" s="10" t="s">
        <v>68</v>
      </c>
      <c r="WW3" s="10" t="s">
        <v>67</v>
      </c>
      <c r="WX3" s="10" t="s">
        <v>68</v>
      </c>
      <c r="WY3" s="10" t="s">
        <v>67</v>
      </c>
      <c r="WZ3" s="10" t="s">
        <v>68</v>
      </c>
      <c r="XA3" s="10" t="s">
        <v>67</v>
      </c>
      <c r="XB3" s="10" t="s">
        <v>68</v>
      </c>
      <c r="XC3" s="10" t="s">
        <v>67</v>
      </c>
      <c r="XD3" s="10" t="s">
        <v>68</v>
      </c>
      <c r="XE3" s="10" t="s">
        <v>67</v>
      </c>
      <c r="XF3" s="10" t="s">
        <v>68</v>
      </c>
      <c r="XG3" s="10" t="s">
        <v>67</v>
      </c>
      <c r="XH3" s="10" t="s">
        <v>68</v>
      </c>
      <c r="XI3" s="10" t="s">
        <v>67</v>
      </c>
      <c r="XJ3" s="10" t="s">
        <v>68</v>
      </c>
      <c r="XK3" s="10" t="s">
        <v>67</v>
      </c>
      <c r="XL3" s="10" t="s">
        <v>68</v>
      </c>
      <c r="XM3" s="10" t="s">
        <v>67</v>
      </c>
      <c r="XN3" s="10" t="s">
        <v>68</v>
      </c>
      <c r="XO3" s="10" t="s">
        <v>67</v>
      </c>
      <c r="XP3" s="10" t="s">
        <v>68</v>
      </c>
      <c r="XQ3" s="10" t="s">
        <v>67</v>
      </c>
      <c r="XR3" s="10" t="s">
        <v>68</v>
      </c>
      <c r="XS3" s="10" t="s">
        <v>67</v>
      </c>
      <c r="XT3" s="10" t="s">
        <v>68</v>
      </c>
      <c r="XU3" s="10" t="s">
        <v>67</v>
      </c>
      <c r="XV3" s="10" t="s">
        <v>68</v>
      </c>
      <c r="XW3" s="10" t="s">
        <v>67</v>
      </c>
      <c r="XX3" s="10" t="s">
        <v>68</v>
      </c>
      <c r="XY3" s="10" t="s">
        <v>67</v>
      </c>
      <c r="XZ3" s="10" t="s">
        <v>68</v>
      </c>
      <c r="YA3" s="10" t="s">
        <v>67</v>
      </c>
      <c r="YB3" s="10" t="s">
        <v>68</v>
      </c>
      <c r="YC3" s="10" t="s">
        <v>67</v>
      </c>
      <c r="YD3" s="10" t="s">
        <v>68</v>
      </c>
      <c r="YE3" s="10" t="s">
        <v>67</v>
      </c>
      <c r="YF3" s="10" t="s">
        <v>68</v>
      </c>
      <c r="YG3" s="10" t="s">
        <v>67</v>
      </c>
      <c r="YH3" s="10" t="s">
        <v>68</v>
      </c>
      <c r="YI3" s="10" t="s">
        <v>67</v>
      </c>
      <c r="YJ3" s="10" t="s">
        <v>68</v>
      </c>
      <c r="YK3" s="10" t="s">
        <v>67</v>
      </c>
      <c r="YL3" s="10" t="s">
        <v>68</v>
      </c>
      <c r="YM3" s="10" t="s">
        <v>67</v>
      </c>
      <c r="YN3" s="10" t="s">
        <v>68</v>
      </c>
      <c r="YO3" s="10" t="s">
        <v>67</v>
      </c>
      <c r="YP3" s="10" t="s">
        <v>68</v>
      </c>
      <c r="YQ3" s="10" t="s">
        <v>67</v>
      </c>
      <c r="YR3" s="10" t="s">
        <v>68</v>
      </c>
      <c r="YS3" s="10" t="s">
        <v>67</v>
      </c>
      <c r="YT3" s="10" t="s">
        <v>68</v>
      </c>
      <c r="YU3" s="10" t="s">
        <v>67</v>
      </c>
      <c r="YV3" s="10" t="s">
        <v>68</v>
      </c>
      <c r="YW3" s="10" t="s">
        <v>67</v>
      </c>
      <c r="YX3" s="10" t="s">
        <v>68</v>
      </c>
      <c r="YY3" s="10" t="s">
        <v>67</v>
      </c>
      <c r="YZ3" s="10" t="s">
        <v>68</v>
      </c>
      <c r="ZA3" s="10" t="s">
        <v>67</v>
      </c>
      <c r="ZB3" s="10" t="s">
        <v>68</v>
      </c>
      <c r="ZC3" s="10" t="s">
        <v>67</v>
      </c>
      <c r="ZD3" s="10" t="s">
        <v>68</v>
      </c>
      <c r="ZE3" s="10" t="s">
        <v>67</v>
      </c>
      <c r="ZF3" s="10" t="s">
        <v>68</v>
      </c>
      <c r="ZG3" s="10" t="s">
        <v>67</v>
      </c>
      <c r="ZH3" s="10" t="s">
        <v>68</v>
      </c>
      <c r="ZI3" s="10" t="s">
        <v>67</v>
      </c>
      <c r="ZJ3" s="10" t="s">
        <v>68</v>
      </c>
      <c r="ZK3" s="10" t="s">
        <v>67</v>
      </c>
      <c r="ZL3" s="10" t="s">
        <v>68</v>
      </c>
      <c r="ZM3" s="10" t="s">
        <v>67</v>
      </c>
      <c r="ZN3" s="10" t="s">
        <v>68</v>
      </c>
      <c r="ZO3" s="10" t="s">
        <v>67</v>
      </c>
      <c r="ZP3" s="10" t="s">
        <v>68</v>
      </c>
      <c r="ZQ3" s="10" t="s">
        <v>67</v>
      </c>
      <c r="ZR3" s="10" t="s">
        <v>68</v>
      </c>
      <c r="ZS3" s="10" t="s">
        <v>67</v>
      </c>
      <c r="ZT3" s="10" t="s">
        <v>68</v>
      </c>
      <c r="ZU3" s="10" t="s">
        <v>67</v>
      </c>
      <c r="ZV3" s="10" t="s">
        <v>68</v>
      </c>
      <c r="ZW3" s="10" t="s">
        <v>67</v>
      </c>
      <c r="ZX3" s="10" t="s">
        <v>68</v>
      </c>
      <c r="ZY3" s="10" t="s">
        <v>67</v>
      </c>
      <c r="ZZ3" s="10" t="s">
        <v>68</v>
      </c>
      <c r="AAA3" s="10" t="s">
        <v>67</v>
      </c>
      <c r="AAB3" s="10" t="s">
        <v>68</v>
      </c>
      <c r="AAC3" s="10" t="s">
        <v>67</v>
      </c>
      <c r="AAD3" s="10" t="s">
        <v>68</v>
      </c>
      <c r="AAE3" s="10" t="s">
        <v>67</v>
      </c>
      <c r="AAF3" s="10" t="s">
        <v>68</v>
      </c>
      <c r="AAG3" s="10" t="s">
        <v>67</v>
      </c>
      <c r="AAH3" s="10" t="s">
        <v>68</v>
      </c>
      <c r="AAI3" s="10" t="s">
        <v>67</v>
      </c>
      <c r="AAJ3" s="10" t="s">
        <v>68</v>
      </c>
      <c r="AAK3" s="10" t="s">
        <v>67</v>
      </c>
      <c r="AAL3" s="10" t="s">
        <v>68</v>
      </c>
      <c r="AAM3" s="10" t="s">
        <v>67</v>
      </c>
      <c r="AAN3" s="10" t="s">
        <v>68</v>
      </c>
      <c r="AAO3" s="10" t="s">
        <v>67</v>
      </c>
      <c r="AAP3" s="10" t="s">
        <v>68</v>
      </c>
      <c r="AAQ3" s="10" t="s">
        <v>67</v>
      </c>
      <c r="AAR3" s="10" t="s">
        <v>68</v>
      </c>
      <c r="AAS3" s="10" t="s">
        <v>67</v>
      </c>
      <c r="AAT3" s="10" t="s">
        <v>68</v>
      </c>
      <c r="AAU3" s="10" t="s">
        <v>67</v>
      </c>
      <c r="AAV3" s="10" t="s">
        <v>68</v>
      </c>
      <c r="AAW3" s="10" t="s">
        <v>67</v>
      </c>
      <c r="AAX3" s="10" t="s">
        <v>68</v>
      </c>
      <c r="AAY3" s="10" t="s">
        <v>67</v>
      </c>
      <c r="AAZ3" s="10" t="s">
        <v>68</v>
      </c>
      <c r="ABA3" s="10" t="s">
        <v>67</v>
      </c>
      <c r="ABB3" s="10" t="s">
        <v>68</v>
      </c>
      <c r="ABC3" s="10" t="s">
        <v>67</v>
      </c>
      <c r="ABD3" s="10" t="s">
        <v>68</v>
      </c>
      <c r="ABE3" s="10" t="s">
        <v>67</v>
      </c>
      <c r="ABF3" s="10" t="s">
        <v>68</v>
      </c>
      <c r="ABG3" s="10" t="s">
        <v>67</v>
      </c>
      <c r="ABH3" s="10" t="s">
        <v>68</v>
      </c>
      <c r="ABI3" s="10" t="s">
        <v>67</v>
      </c>
      <c r="ABJ3" s="10" t="s">
        <v>68</v>
      </c>
      <c r="ABK3" s="10" t="s">
        <v>67</v>
      </c>
      <c r="ABL3" s="10" t="s">
        <v>68</v>
      </c>
      <c r="ABM3" s="10" t="s">
        <v>67</v>
      </c>
      <c r="ABN3" s="10" t="s">
        <v>68</v>
      </c>
      <c r="ABO3" s="10" t="s">
        <v>67</v>
      </c>
      <c r="ABP3" s="10" t="s">
        <v>68</v>
      </c>
      <c r="ABQ3" s="10" t="s">
        <v>67</v>
      </c>
      <c r="ABR3" s="10" t="s">
        <v>68</v>
      </c>
      <c r="ABS3" s="10" t="s">
        <v>67</v>
      </c>
      <c r="ABT3" s="10" t="s">
        <v>68</v>
      </c>
      <c r="ABU3" s="10" t="s">
        <v>67</v>
      </c>
      <c r="ABV3" s="10" t="s">
        <v>68</v>
      </c>
      <c r="ABW3" s="10" t="s">
        <v>67</v>
      </c>
      <c r="ABX3" s="10" t="s">
        <v>68</v>
      </c>
      <c r="ABY3" s="10" t="s">
        <v>67</v>
      </c>
      <c r="ABZ3" s="10" t="s">
        <v>68</v>
      </c>
      <c r="ACA3" s="10" t="s">
        <v>67</v>
      </c>
      <c r="ACB3" s="10" t="s">
        <v>68</v>
      </c>
      <c r="ACC3" s="10" t="s">
        <v>67</v>
      </c>
      <c r="ACD3" s="10" t="s">
        <v>68</v>
      </c>
      <c r="ACE3" s="10" t="s">
        <v>67</v>
      </c>
      <c r="ACF3" s="10" t="s">
        <v>68</v>
      </c>
      <c r="ACG3" s="10" t="s">
        <v>67</v>
      </c>
      <c r="ACH3" s="10" t="s">
        <v>68</v>
      </c>
      <c r="ACI3" s="10" t="s">
        <v>67</v>
      </c>
      <c r="ACJ3" s="10" t="s">
        <v>68</v>
      </c>
      <c r="ACK3" s="10" t="s">
        <v>67</v>
      </c>
      <c r="ACL3" s="10" t="s">
        <v>68</v>
      </c>
      <c r="ACM3" s="10" t="s">
        <v>67</v>
      </c>
      <c r="ACN3" s="10" t="s">
        <v>68</v>
      </c>
      <c r="ACO3" s="10" t="s">
        <v>67</v>
      </c>
      <c r="ACP3" s="10" t="s">
        <v>68</v>
      </c>
      <c r="ACQ3" s="10" t="s">
        <v>67</v>
      </c>
      <c r="ACR3" s="10" t="s">
        <v>68</v>
      </c>
      <c r="ACS3" s="10" t="s">
        <v>67</v>
      </c>
      <c r="ACT3" s="10" t="s">
        <v>68</v>
      </c>
      <c r="ACU3" s="10" t="s">
        <v>67</v>
      </c>
      <c r="ACV3" s="10" t="s">
        <v>68</v>
      </c>
      <c r="ACW3" s="10" t="s">
        <v>67</v>
      </c>
      <c r="ACX3" s="10" t="s">
        <v>68</v>
      </c>
      <c r="ACY3" s="10" t="s">
        <v>67</v>
      </c>
      <c r="ACZ3" s="10" t="s">
        <v>68</v>
      </c>
      <c r="ADA3" s="10" t="s">
        <v>67</v>
      </c>
      <c r="ADB3" s="10" t="s">
        <v>68</v>
      </c>
      <c r="ADC3" s="10" t="s">
        <v>67</v>
      </c>
      <c r="ADD3" s="10" t="s">
        <v>68</v>
      </c>
      <c r="ADE3" s="10" t="s">
        <v>67</v>
      </c>
      <c r="ADF3" s="10" t="s">
        <v>68</v>
      </c>
      <c r="ADG3" s="10" t="s">
        <v>67</v>
      </c>
      <c r="ADH3" s="10" t="s">
        <v>68</v>
      </c>
      <c r="ADI3" s="10" t="s">
        <v>67</v>
      </c>
      <c r="ADJ3" s="10" t="s">
        <v>68</v>
      </c>
      <c r="ADK3" s="10" t="s">
        <v>67</v>
      </c>
      <c r="ADL3" s="10" t="s">
        <v>68</v>
      </c>
      <c r="ADM3" s="10" t="s">
        <v>67</v>
      </c>
      <c r="ADN3" s="10" t="s">
        <v>68</v>
      </c>
      <c r="ADO3" s="10" t="s">
        <v>67</v>
      </c>
      <c r="ADP3" s="10" t="s">
        <v>68</v>
      </c>
      <c r="ADQ3" s="10" t="s">
        <v>67</v>
      </c>
      <c r="ADR3" s="10" t="s">
        <v>68</v>
      </c>
      <c r="ADS3" s="10" t="s">
        <v>67</v>
      </c>
      <c r="ADT3" s="10" t="s">
        <v>68</v>
      </c>
      <c r="ADU3" s="10" t="s">
        <v>67</v>
      </c>
      <c r="ADV3" s="10" t="s">
        <v>68</v>
      </c>
      <c r="ADW3" s="10" t="s">
        <v>67</v>
      </c>
      <c r="ADX3" s="10" t="s">
        <v>68</v>
      </c>
      <c r="ADY3" s="10" t="s">
        <v>67</v>
      </c>
      <c r="ADZ3" s="10" t="s">
        <v>68</v>
      </c>
      <c r="AEA3" s="10" t="s">
        <v>67</v>
      </c>
      <c r="AEB3" s="10" t="s">
        <v>68</v>
      </c>
      <c r="AEC3" s="10" t="s">
        <v>67</v>
      </c>
      <c r="AED3" s="10" t="s">
        <v>68</v>
      </c>
      <c r="AEE3" s="10" t="s">
        <v>67</v>
      </c>
      <c r="AEF3" s="10" t="s">
        <v>68</v>
      </c>
      <c r="AEG3" s="10" t="s">
        <v>67</v>
      </c>
      <c r="AEH3" s="10" t="s">
        <v>68</v>
      </c>
      <c r="AEI3" s="10" t="s">
        <v>67</v>
      </c>
      <c r="AEJ3" s="10" t="s">
        <v>68</v>
      </c>
      <c r="AEK3" s="10" t="s">
        <v>67</v>
      </c>
      <c r="AEL3" s="10" t="s">
        <v>68</v>
      </c>
      <c r="AEM3" s="10" t="s">
        <v>67</v>
      </c>
      <c r="AEN3" s="10" t="s">
        <v>68</v>
      </c>
      <c r="AEO3" s="10" t="s">
        <v>67</v>
      </c>
      <c r="AEP3" s="10" t="s">
        <v>68</v>
      </c>
      <c r="AEQ3" s="10" t="s">
        <v>67</v>
      </c>
      <c r="AER3" s="10" t="s">
        <v>68</v>
      </c>
      <c r="AES3" s="10" t="s">
        <v>67</v>
      </c>
      <c r="AET3" s="10" t="s">
        <v>68</v>
      </c>
      <c r="AEU3" s="10" t="s">
        <v>67</v>
      </c>
      <c r="AEV3" s="10" t="s">
        <v>68</v>
      </c>
      <c r="AEW3" s="10" t="s">
        <v>67</v>
      </c>
      <c r="AEX3" s="10" t="s">
        <v>68</v>
      </c>
      <c r="AEY3" s="10" t="s">
        <v>67</v>
      </c>
      <c r="AEZ3" s="10" t="s">
        <v>68</v>
      </c>
      <c r="AFA3" s="10" t="s">
        <v>67</v>
      </c>
      <c r="AFB3" s="10" t="s">
        <v>68</v>
      </c>
      <c r="AFC3" s="10" t="s">
        <v>67</v>
      </c>
      <c r="AFD3" s="10" t="s">
        <v>68</v>
      </c>
      <c r="AFE3" s="10" t="s">
        <v>67</v>
      </c>
      <c r="AFF3" s="10" t="s">
        <v>68</v>
      </c>
      <c r="AFG3" s="10" t="s">
        <v>67</v>
      </c>
      <c r="AFH3" s="10" t="s">
        <v>68</v>
      </c>
      <c r="AFI3" s="10" t="s">
        <v>67</v>
      </c>
      <c r="AFJ3" s="10" t="s">
        <v>68</v>
      </c>
      <c r="AFK3" s="10" t="s">
        <v>67</v>
      </c>
      <c r="AFL3" s="10" t="s">
        <v>68</v>
      </c>
      <c r="AFM3" s="10" t="s">
        <v>67</v>
      </c>
      <c r="AFN3" s="10" t="s">
        <v>68</v>
      </c>
      <c r="AFO3" s="10" t="s">
        <v>67</v>
      </c>
      <c r="AFP3" s="10" t="s">
        <v>68</v>
      </c>
      <c r="AFQ3" s="10" t="s">
        <v>67</v>
      </c>
      <c r="AFR3" s="10" t="s">
        <v>68</v>
      </c>
      <c r="AFS3" s="10" t="s">
        <v>67</v>
      </c>
      <c r="AFT3" s="10" t="s">
        <v>68</v>
      </c>
      <c r="AFU3" s="10" t="s">
        <v>67</v>
      </c>
      <c r="AFV3" s="10" t="s">
        <v>68</v>
      </c>
      <c r="AFW3" s="10" t="s">
        <v>67</v>
      </c>
      <c r="AFX3" s="10" t="s">
        <v>68</v>
      </c>
      <c r="AFY3" s="10" t="s">
        <v>67</v>
      </c>
      <c r="AFZ3" s="10" t="s">
        <v>68</v>
      </c>
      <c r="AGA3" s="10" t="s">
        <v>67</v>
      </c>
      <c r="AGB3" s="10" t="s">
        <v>68</v>
      </c>
      <c r="AGC3" s="10" t="s">
        <v>67</v>
      </c>
      <c r="AGD3" s="10" t="s">
        <v>68</v>
      </c>
      <c r="AGE3" s="10" t="s">
        <v>67</v>
      </c>
      <c r="AGF3" s="10" t="s">
        <v>68</v>
      </c>
      <c r="AGG3" s="10" t="s">
        <v>67</v>
      </c>
      <c r="AGH3" s="10" t="s">
        <v>68</v>
      </c>
      <c r="AGI3" s="10" t="s">
        <v>67</v>
      </c>
      <c r="AGJ3" s="10" t="s">
        <v>68</v>
      </c>
      <c r="AGK3" s="10" t="s">
        <v>67</v>
      </c>
      <c r="AGL3" s="10" t="s">
        <v>68</v>
      </c>
      <c r="AGM3" s="10" t="s">
        <v>67</v>
      </c>
      <c r="AGN3" s="10" t="s">
        <v>68</v>
      </c>
      <c r="AGO3" s="10" t="s">
        <v>67</v>
      </c>
      <c r="AGP3" s="10" t="s">
        <v>68</v>
      </c>
      <c r="AGQ3" s="10" t="s">
        <v>67</v>
      </c>
      <c r="AGR3" s="10" t="s">
        <v>68</v>
      </c>
      <c r="AGS3" s="10" t="s">
        <v>67</v>
      </c>
      <c r="AGT3" s="10" t="s">
        <v>68</v>
      </c>
      <c r="AGU3" s="10" t="s">
        <v>67</v>
      </c>
      <c r="AGV3" s="10" t="s">
        <v>68</v>
      </c>
      <c r="AGW3" s="10" t="s">
        <v>67</v>
      </c>
      <c r="AGX3" s="10" t="s">
        <v>68</v>
      </c>
      <c r="AGY3" s="10" t="s">
        <v>67</v>
      </c>
      <c r="AGZ3" s="10" t="s">
        <v>68</v>
      </c>
      <c r="AHA3" s="10" t="s">
        <v>67</v>
      </c>
      <c r="AHB3" s="10" t="s">
        <v>68</v>
      </c>
      <c r="AHC3" s="10" t="s">
        <v>67</v>
      </c>
      <c r="AHD3" s="10" t="s">
        <v>68</v>
      </c>
      <c r="AHE3" s="10" t="s">
        <v>67</v>
      </c>
      <c r="AHF3" s="10" t="s">
        <v>68</v>
      </c>
      <c r="AHG3" s="10" t="s">
        <v>67</v>
      </c>
      <c r="AHH3" s="10" t="s">
        <v>68</v>
      </c>
      <c r="AHI3" s="10" t="s">
        <v>67</v>
      </c>
      <c r="AHJ3" s="10" t="s">
        <v>68</v>
      </c>
      <c r="AHK3" s="10" t="s">
        <v>67</v>
      </c>
      <c r="AHL3" s="10" t="s">
        <v>68</v>
      </c>
      <c r="AHM3" s="10" t="s">
        <v>67</v>
      </c>
      <c r="AHN3" s="10" t="s">
        <v>68</v>
      </c>
      <c r="AHO3" s="10" t="s">
        <v>67</v>
      </c>
      <c r="AHP3" s="10" t="s">
        <v>68</v>
      </c>
      <c r="AHQ3" s="10" t="s">
        <v>67</v>
      </c>
      <c r="AHR3" s="10" t="s">
        <v>68</v>
      </c>
      <c r="AHS3" s="10" t="s">
        <v>67</v>
      </c>
      <c r="AHT3" s="10" t="s">
        <v>68</v>
      </c>
      <c r="AHU3" s="10" t="s">
        <v>67</v>
      </c>
      <c r="AHV3" s="10" t="s">
        <v>68</v>
      </c>
      <c r="AHW3" s="10" t="s">
        <v>67</v>
      </c>
      <c r="AHX3" s="10" t="s">
        <v>68</v>
      </c>
      <c r="AHY3" s="10" t="s">
        <v>67</v>
      </c>
      <c r="AHZ3" s="10" t="s">
        <v>68</v>
      </c>
      <c r="AIA3" s="10" t="s">
        <v>67</v>
      </c>
      <c r="AIB3" s="10" t="s">
        <v>68</v>
      </c>
      <c r="AIC3" s="10" t="s">
        <v>67</v>
      </c>
      <c r="AID3" s="10" t="s">
        <v>68</v>
      </c>
      <c r="AIE3" s="10" t="s">
        <v>67</v>
      </c>
      <c r="AIF3" s="10" t="s">
        <v>68</v>
      </c>
      <c r="AIG3" s="10" t="s">
        <v>67</v>
      </c>
      <c r="AIH3" s="10" t="s">
        <v>68</v>
      </c>
      <c r="AII3" s="10" t="s">
        <v>67</v>
      </c>
      <c r="AIJ3" s="10" t="s">
        <v>68</v>
      </c>
      <c r="AIK3" s="10" t="s">
        <v>67</v>
      </c>
      <c r="AIL3" s="10" t="s">
        <v>68</v>
      </c>
      <c r="AIM3" s="10" t="s">
        <v>67</v>
      </c>
      <c r="AIN3" s="10" t="s">
        <v>68</v>
      </c>
      <c r="AIO3" s="10" t="s">
        <v>67</v>
      </c>
      <c r="AIP3" s="10" t="s">
        <v>68</v>
      </c>
      <c r="AIQ3" s="10" t="s">
        <v>67</v>
      </c>
      <c r="AIR3" s="10" t="s">
        <v>68</v>
      </c>
      <c r="AIS3" s="10" t="s">
        <v>67</v>
      </c>
      <c r="AIT3" s="10" t="s">
        <v>68</v>
      </c>
      <c r="AIU3" s="10" t="s">
        <v>67</v>
      </c>
      <c r="AIV3" s="10" t="s">
        <v>68</v>
      </c>
      <c r="AIW3" s="10" t="s">
        <v>67</v>
      </c>
      <c r="AIX3" s="10" t="s">
        <v>68</v>
      </c>
      <c r="AIY3" s="10" t="s">
        <v>67</v>
      </c>
      <c r="AIZ3" s="10" t="s">
        <v>68</v>
      </c>
      <c r="AJA3" s="10" t="s">
        <v>67</v>
      </c>
      <c r="AJB3" s="10" t="s">
        <v>68</v>
      </c>
      <c r="AJC3" s="10" t="s">
        <v>67</v>
      </c>
      <c r="AJD3" s="10" t="s">
        <v>68</v>
      </c>
      <c r="AJE3" s="10" t="s">
        <v>67</v>
      </c>
      <c r="AJF3" s="10" t="s">
        <v>68</v>
      </c>
      <c r="AJG3" s="10" t="s">
        <v>67</v>
      </c>
      <c r="AJH3" s="10" t="s">
        <v>68</v>
      </c>
      <c r="AJI3" s="10" t="s">
        <v>67</v>
      </c>
      <c r="AJJ3" s="10" t="s">
        <v>68</v>
      </c>
      <c r="AJK3" s="10" t="s">
        <v>67</v>
      </c>
      <c r="AJL3" s="10" t="s">
        <v>68</v>
      </c>
      <c r="AJM3" s="10" t="s">
        <v>67</v>
      </c>
      <c r="AJN3" s="10" t="s">
        <v>68</v>
      </c>
      <c r="AJO3" s="10" t="s">
        <v>67</v>
      </c>
      <c r="AJP3" s="10" t="s">
        <v>68</v>
      </c>
      <c r="AJQ3" s="10" t="s">
        <v>67</v>
      </c>
      <c r="AJR3" s="10" t="s">
        <v>68</v>
      </c>
      <c r="AJS3" s="10" t="s">
        <v>67</v>
      </c>
      <c r="AJT3" s="10" t="s">
        <v>68</v>
      </c>
      <c r="AJU3" s="10" t="s">
        <v>67</v>
      </c>
      <c r="AJV3" s="10" t="s">
        <v>68</v>
      </c>
      <c r="AJW3" s="10" t="s">
        <v>67</v>
      </c>
      <c r="AJX3" s="10" t="s">
        <v>68</v>
      </c>
      <c r="AJY3" s="10" t="s">
        <v>67</v>
      </c>
      <c r="AJZ3" s="10" t="s">
        <v>68</v>
      </c>
      <c r="AKA3" s="10" t="s">
        <v>67</v>
      </c>
      <c r="AKB3" s="10" t="s">
        <v>68</v>
      </c>
      <c r="AKC3" s="10" t="s">
        <v>67</v>
      </c>
      <c r="AKD3" s="10" t="s">
        <v>68</v>
      </c>
      <c r="AKE3" s="10" t="s">
        <v>67</v>
      </c>
      <c r="AKF3" s="10" t="s">
        <v>68</v>
      </c>
      <c r="AKG3" s="10" t="s">
        <v>67</v>
      </c>
      <c r="AKH3" s="10" t="s">
        <v>68</v>
      </c>
      <c r="AKI3" s="10" t="s">
        <v>67</v>
      </c>
      <c r="AKJ3" s="10" t="s">
        <v>68</v>
      </c>
      <c r="AKK3" s="10" t="s">
        <v>67</v>
      </c>
      <c r="AKL3" s="10" t="s">
        <v>68</v>
      </c>
      <c r="AKM3" s="10" t="s">
        <v>67</v>
      </c>
      <c r="AKN3" s="10" t="s">
        <v>68</v>
      </c>
      <c r="AKO3" s="10" t="s">
        <v>67</v>
      </c>
      <c r="AKP3" s="10" t="s">
        <v>68</v>
      </c>
      <c r="AKQ3" s="10" t="s">
        <v>67</v>
      </c>
      <c r="AKR3" s="10" t="s">
        <v>68</v>
      </c>
      <c r="AKS3" s="10" t="s">
        <v>67</v>
      </c>
      <c r="AKT3" s="10" t="s">
        <v>68</v>
      </c>
      <c r="AKU3" s="10" t="s">
        <v>67</v>
      </c>
      <c r="AKV3" s="10" t="s">
        <v>68</v>
      </c>
      <c r="AKW3" s="10" t="s">
        <v>67</v>
      </c>
      <c r="AKX3" s="10" t="s">
        <v>68</v>
      </c>
      <c r="AKY3" s="10" t="s">
        <v>67</v>
      </c>
      <c r="AKZ3" s="10" t="s">
        <v>68</v>
      </c>
      <c r="ALA3" s="10" t="s">
        <v>67</v>
      </c>
      <c r="ALB3" s="10" t="s">
        <v>68</v>
      </c>
      <c r="ALC3" s="10" t="s">
        <v>67</v>
      </c>
      <c r="ALD3" s="10" t="s">
        <v>68</v>
      </c>
      <c r="ALE3" s="10" t="s">
        <v>67</v>
      </c>
      <c r="ALF3" s="10" t="s">
        <v>68</v>
      </c>
      <c r="ALG3" s="10" t="s">
        <v>67</v>
      </c>
      <c r="ALH3" s="10" t="s">
        <v>68</v>
      </c>
      <c r="ALI3" s="10" t="s">
        <v>67</v>
      </c>
      <c r="ALJ3" s="10" t="s">
        <v>68</v>
      </c>
      <c r="ALK3" s="10" t="s">
        <v>67</v>
      </c>
      <c r="ALL3" s="10" t="s">
        <v>68</v>
      </c>
      <c r="ALM3" s="10" t="s">
        <v>67</v>
      </c>
      <c r="ALN3" s="10" t="s">
        <v>68</v>
      </c>
      <c r="ALO3" s="10" t="s">
        <v>67</v>
      </c>
      <c r="ALP3" s="10" t="s">
        <v>68</v>
      </c>
      <c r="ALQ3" s="10" t="s">
        <v>67</v>
      </c>
      <c r="ALR3" s="10" t="s">
        <v>68</v>
      </c>
      <c r="ALS3" s="10" t="s">
        <v>67</v>
      </c>
      <c r="ALT3" s="10" t="s">
        <v>68</v>
      </c>
      <c r="ALU3" s="10" t="s">
        <v>67</v>
      </c>
      <c r="ALV3" s="10" t="s">
        <v>68</v>
      </c>
      <c r="ALW3" s="10" t="s">
        <v>67</v>
      </c>
      <c r="ALX3" s="10" t="s">
        <v>68</v>
      </c>
      <c r="ALY3" s="10" t="s">
        <v>67</v>
      </c>
      <c r="ALZ3" s="10" t="s">
        <v>68</v>
      </c>
      <c r="AMA3" s="10" t="s">
        <v>67</v>
      </c>
      <c r="AMB3" s="10" t="s">
        <v>68</v>
      </c>
      <c r="AMC3" s="10" t="s">
        <v>67</v>
      </c>
      <c r="AMD3" s="10" t="s">
        <v>68</v>
      </c>
      <c r="AME3" s="10" t="s">
        <v>67</v>
      </c>
      <c r="AMF3" s="10" t="s">
        <v>68</v>
      </c>
      <c r="AMG3" s="10" t="s">
        <v>67</v>
      </c>
      <c r="AMH3" s="10" t="s">
        <v>68</v>
      </c>
      <c r="AMI3" s="10" t="s">
        <v>67</v>
      </c>
      <c r="AMJ3" s="10" t="s">
        <v>68</v>
      </c>
      <c r="AMK3" s="10" t="s">
        <v>67</v>
      </c>
      <c r="AML3" s="10" t="s">
        <v>68</v>
      </c>
      <c r="AMM3" s="10" t="s">
        <v>67</v>
      </c>
      <c r="AMN3" s="10" t="s">
        <v>68</v>
      </c>
      <c r="AMO3" s="10" t="s">
        <v>67</v>
      </c>
      <c r="AMP3" s="10" t="s">
        <v>68</v>
      </c>
      <c r="AMQ3" s="10" t="s">
        <v>67</v>
      </c>
      <c r="AMR3" s="10" t="s">
        <v>68</v>
      </c>
      <c r="AMS3" s="10" t="s">
        <v>67</v>
      </c>
      <c r="AMT3" s="10" t="s">
        <v>68</v>
      </c>
      <c r="AMU3" s="10" t="s">
        <v>67</v>
      </c>
      <c r="AMV3" s="10" t="s">
        <v>68</v>
      </c>
      <c r="AMW3" s="10" t="s">
        <v>67</v>
      </c>
      <c r="AMX3" s="10" t="s">
        <v>68</v>
      </c>
      <c r="AMY3" s="10" t="s">
        <v>67</v>
      </c>
      <c r="AMZ3" s="10" t="s">
        <v>68</v>
      </c>
      <c r="ANA3" s="10" t="s">
        <v>67</v>
      </c>
      <c r="ANB3" s="10" t="s">
        <v>68</v>
      </c>
      <c r="ANC3" s="10" t="s">
        <v>67</v>
      </c>
      <c r="AND3" s="10" t="s">
        <v>68</v>
      </c>
      <c r="ANE3" s="10" t="s">
        <v>67</v>
      </c>
      <c r="ANF3" s="10" t="s">
        <v>68</v>
      </c>
      <c r="ANG3" s="10" t="s">
        <v>67</v>
      </c>
      <c r="ANH3" s="10" t="s">
        <v>68</v>
      </c>
      <c r="ANI3" s="10" t="s">
        <v>67</v>
      </c>
      <c r="ANJ3" s="10" t="s">
        <v>68</v>
      </c>
      <c r="ANK3" s="10" t="s">
        <v>67</v>
      </c>
      <c r="ANL3" s="10" t="s">
        <v>68</v>
      </c>
      <c r="ANM3" s="10" t="s">
        <v>67</v>
      </c>
      <c r="ANN3" s="10" t="s">
        <v>68</v>
      </c>
      <c r="ANO3" s="10" t="s">
        <v>67</v>
      </c>
      <c r="ANP3" s="10" t="s">
        <v>68</v>
      </c>
      <c r="ANQ3" s="10" t="s">
        <v>67</v>
      </c>
      <c r="ANR3" s="10" t="s">
        <v>68</v>
      </c>
      <c r="ANS3" s="10" t="s">
        <v>67</v>
      </c>
      <c r="ANT3" s="10" t="s">
        <v>68</v>
      </c>
      <c r="ANU3" s="10" t="s">
        <v>67</v>
      </c>
      <c r="ANV3" s="10" t="s">
        <v>68</v>
      </c>
      <c r="ANW3" s="10" t="s">
        <v>67</v>
      </c>
      <c r="ANX3" s="10" t="s">
        <v>68</v>
      </c>
      <c r="ANY3" s="10" t="s">
        <v>67</v>
      </c>
      <c r="ANZ3" s="10" t="s">
        <v>68</v>
      </c>
      <c r="AOA3" s="10" t="s">
        <v>67</v>
      </c>
      <c r="AOB3" s="10" t="s">
        <v>68</v>
      </c>
      <c r="AOC3" s="10" t="s">
        <v>67</v>
      </c>
      <c r="AOD3" s="10" t="s">
        <v>68</v>
      </c>
      <c r="AOE3" s="10" t="s">
        <v>67</v>
      </c>
      <c r="AOF3" s="10" t="s">
        <v>68</v>
      </c>
      <c r="AOG3" s="10" t="s">
        <v>67</v>
      </c>
      <c r="AOH3" s="10" t="s">
        <v>68</v>
      </c>
      <c r="AOI3" s="10" t="s">
        <v>67</v>
      </c>
      <c r="AOJ3" s="10" t="s">
        <v>68</v>
      </c>
      <c r="AOK3" s="10" t="s">
        <v>67</v>
      </c>
      <c r="AOL3" s="10" t="s">
        <v>68</v>
      </c>
      <c r="AOM3" s="10" t="s">
        <v>67</v>
      </c>
      <c r="AON3" s="10" t="s">
        <v>68</v>
      </c>
      <c r="AOO3" s="10" t="s">
        <v>67</v>
      </c>
      <c r="AOP3" s="10" t="s">
        <v>68</v>
      </c>
      <c r="AOQ3" s="10" t="s">
        <v>67</v>
      </c>
      <c r="AOR3" s="10" t="s">
        <v>68</v>
      </c>
      <c r="AOS3" s="10" t="s">
        <v>67</v>
      </c>
      <c r="AOT3" s="10" t="s">
        <v>68</v>
      </c>
      <c r="AOU3" s="10" t="s">
        <v>67</v>
      </c>
      <c r="AOV3" s="10" t="s">
        <v>68</v>
      </c>
      <c r="AOW3" s="10" t="s">
        <v>67</v>
      </c>
      <c r="AOX3" s="10" t="s">
        <v>68</v>
      </c>
      <c r="AOY3" s="10" t="s">
        <v>67</v>
      </c>
      <c r="AOZ3" s="10" t="s">
        <v>68</v>
      </c>
      <c r="APA3" s="10" t="s">
        <v>67</v>
      </c>
      <c r="APB3" s="10" t="s">
        <v>68</v>
      </c>
      <c r="APC3" s="10" t="s">
        <v>67</v>
      </c>
      <c r="APD3" s="10" t="s">
        <v>68</v>
      </c>
      <c r="APE3" s="10" t="s">
        <v>67</v>
      </c>
      <c r="APF3" s="10" t="s">
        <v>68</v>
      </c>
      <c r="APG3" s="10" t="s">
        <v>67</v>
      </c>
      <c r="APH3" s="10" t="s">
        <v>68</v>
      </c>
      <c r="API3" s="10" t="s">
        <v>67</v>
      </c>
      <c r="APJ3" s="10" t="s">
        <v>68</v>
      </c>
      <c r="APK3" s="10" t="s">
        <v>67</v>
      </c>
      <c r="APL3" s="10" t="s">
        <v>68</v>
      </c>
      <c r="APM3" s="10" t="s">
        <v>67</v>
      </c>
      <c r="APN3" s="10" t="s">
        <v>68</v>
      </c>
      <c r="APO3" s="10" t="s">
        <v>67</v>
      </c>
      <c r="APP3" s="10" t="s">
        <v>68</v>
      </c>
      <c r="APQ3" s="10" t="s">
        <v>67</v>
      </c>
      <c r="APR3" s="10" t="s">
        <v>68</v>
      </c>
      <c r="APS3" s="10" t="s">
        <v>67</v>
      </c>
      <c r="APT3" s="10" t="s">
        <v>68</v>
      </c>
      <c r="APU3" s="10" t="s">
        <v>67</v>
      </c>
      <c r="APV3" s="10" t="s">
        <v>68</v>
      </c>
      <c r="APW3" s="10" t="s">
        <v>67</v>
      </c>
      <c r="APX3" s="10" t="s">
        <v>68</v>
      </c>
      <c r="APY3" s="10" t="s">
        <v>67</v>
      </c>
      <c r="APZ3" s="10" t="s">
        <v>68</v>
      </c>
      <c r="AQA3" s="10" t="s">
        <v>67</v>
      </c>
      <c r="AQB3" s="10" t="s">
        <v>68</v>
      </c>
      <c r="AQC3" s="10" t="s">
        <v>67</v>
      </c>
      <c r="AQD3" s="10" t="s">
        <v>68</v>
      </c>
      <c r="AQE3" s="10" t="s">
        <v>67</v>
      </c>
      <c r="AQF3" s="10" t="s">
        <v>68</v>
      </c>
      <c r="AQG3" s="10" t="s">
        <v>67</v>
      </c>
      <c r="AQH3" s="10" t="s">
        <v>68</v>
      </c>
      <c r="AQI3" s="10" t="s">
        <v>67</v>
      </c>
      <c r="AQJ3" s="10" t="s">
        <v>68</v>
      </c>
      <c r="AQK3" s="10" t="s">
        <v>67</v>
      </c>
      <c r="AQL3" s="10" t="s">
        <v>68</v>
      </c>
      <c r="AQM3" s="10" t="s">
        <v>67</v>
      </c>
      <c r="AQN3" s="10" t="s">
        <v>68</v>
      </c>
      <c r="AQO3" s="10" t="s">
        <v>67</v>
      </c>
      <c r="AQP3" s="10" t="s">
        <v>68</v>
      </c>
      <c r="AQQ3" s="10" t="s">
        <v>67</v>
      </c>
      <c r="AQR3" s="10" t="s">
        <v>68</v>
      </c>
      <c r="AQS3" s="10" t="s">
        <v>67</v>
      </c>
      <c r="AQT3" s="10" t="s">
        <v>68</v>
      </c>
      <c r="AQU3" s="10" t="s">
        <v>67</v>
      </c>
      <c r="AQV3" s="10" t="s">
        <v>68</v>
      </c>
      <c r="AQW3" s="10" t="s">
        <v>67</v>
      </c>
      <c r="AQX3" s="10" t="s">
        <v>68</v>
      </c>
      <c r="AQY3" s="10" t="s">
        <v>67</v>
      </c>
      <c r="AQZ3" s="10" t="s">
        <v>68</v>
      </c>
      <c r="ARA3" s="10" t="s">
        <v>67</v>
      </c>
      <c r="ARB3" s="10" t="s">
        <v>68</v>
      </c>
      <c r="ARC3" s="10" t="s">
        <v>67</v>
      </c>
      <c r="ARD3" s="10" t="s">
        <v>68</v>
      </c>
      <c r="ARE3" s="10" t="s">
        <v>67</v>
      </c>
      <c r="ARF3" s="10" t="s">
        <v>68</v>
      </c>
      <c r="ARG3" s="10" t="s">
        <v>67</v>
      </c>
      <c r="ARH3" s="10" t="s">
        <v>68</v>
      </c>
      <c r="ARI3" s="10" t="s">
        <v>67</v>
      </c>
      <c r="ARJ3" s="10" t="s">
        <v>68</v>
      </c>
      <c r="ARK3" s="10" t="s">
        <v>67</v>
      </c>
      <c r="ARL3" s="10" t="s">
        <v>68</v>
      </c>
      <c r="ARM3" s="10" t="s">
        <v>67</v>
      </c>
      <c r="ARN3" s="10" t="s">
        <v>68</v>
      </c>
      <c r="ARO3" s="10" t="s">
        <v>67</v>
      </c>
      <c r="ARP3" s="10" t="s">
        <v>68</v>
      </c>
      <c r="ARQ3" s="10" t="s">
        <v>67</v>
      </c>
      <c r="ARR3" s="10" t="s">
        <v>68</v>
      </c>
      <c r="ARS3" s="10" t="s">
        <v>67</v>
      </c>
      <c r="ART3" s="10" t="s">
        <v>68</v>
      </c>
      <c r="ARU3" s="10" t="s">
        <v>67</v>
      </c>
      <c r="ARV3" s="10" t="s">
        <v>68</v>
      </c>
      <c r="ARW3" s="10" t="s">
        <v>67</v>
      </c>
      <c r="ARX3" s="10" t="s">
        <v>68</v>
      </c>
      <c r="ARY3" s="10" t="s">
        <v>67</v>
      </c>
      <c r="ARZ3" s="10" t="s">
        <v>68</v>
      </c>
      <c r="ASA3" s="10" t="s">
        <v>67</v>
      </c>
      <c r="ASB3" s="10" t="s">
        <v>68</v>
      </c>
      <c r="ASC3" s="10" t="s">
        <v>67</v>
      </c>
      <c r="ASD3" s="10" t="s">
        <v>68</v>
      </c>
      <c r="ASE3" s="10" t="s">
        <v>67</v>
      </c>
      <c r="ASF3" s="10" t="s">
        <v>68</v>
      </c>
      <c r="ASG3" s="10" t="s">
        <v>67</v>
      </c>
      <c r="ASH3" s="10" t="s">
        <v>68</v>
      </c>
      <c r="ASI3" s="10" t="s">
        <v>67</v>
      </c>
      <c r="ASJ3" s="10" t="s">
        <v>68</v>
      </c>
      <c r="ASK3" s="10" t="s">
        <v>67</v>
      </c>
      <c r="ASL3" s="10" t="s">
        <v>68</v>
      </c>
      <c r="ASM3" s="10" t="s">
        <v>67</v>
      </c>
      <c r="ASN3" s="10" t="s">
        <v>68</v>
      </c>
      <c r="ASO3" s="10" t="s">
        <v>67</v>
      </c>
      <c r="ASP3" s="10" t="s">
        <v>68</v>
      </c>
      <c r="ASQ3" s="10" t="s">
        <v>67</v>
      </c>
      <c r="ASR3" s="10" t="s">
        <v>68</v>
      </c>
      <c r="ASS3" s="10" t="s">
        <v>67</v>
      </c>
      <c r="AST3" s="10" t="s">
        <v>68</v>
      </c>
      <c r="ASU3" s="10" t="s">
        <v>67</v>
      </c>
      <c r="ASV3" s="10" t="s">
        <v>68</v>
      </c>
      <c r="ASW3" s="10" t="s">
        <v>67</v>
      </c>
      <c r="ASX3" s="10" t="s">
        <v>68</v>
      </c>
      <c r="ASY3" s="10" t="s">
        <v>67</v>
      </c>
      <c r="ASZ3" s="10" t="s">
        <v>68</v>
      </c>
      <c r="ATA3" s="10" t="s">
        <v>67</v>
      </c>
      <c r="ATB3" s="10" t="s">
        <v>68</v>
      </c>
      <c r="ATC3" s="10" t="s">
        <v>67</v>
      </c>
      <c r="ATD3" s="10" t="s">
        <v>68</v>
      </c>
      <c r="ATE3" s="10" t="s">
        <v>67</v>
      </c>
      <c r="ATF3" s="10" t="s">
        <v>68</v>
      </c>
      <c r="ATG3" s="10" t="s">
        <v>67</v>
      </c>
      <c r="ATH3" s="10" t="s">
        <v>68</v>
      </c>
      <c r="ATI3" s="10" t="s">
        <v>67</v>
      </c>
      <c r="ATJ3" s="10" t="s">
        <v>68</v>
      </c>
      <c r="ATK3" s="10" t="s">
        <v>67</v>
      </c>
      <c r="ATL3" s="10" t="s">
        <v>68</v>
      </c>
      <c r="ATM3" s="10" t="s">
        <v>67</v>
      </c>
      <c r="ATN3" s="10" t="s">
        <v>68</v>
      </c>
      <c r="ATO3" s="10" t="s">
        <v>67</v>
      </c>
      <c r="ATP3" s="10" t="s">
        <v>68</v>
      </c>
      <c r="ATQ3" s="10" t="s">
        <v>67</v>
      </c>
      <c r="ATR3" s="10" t="s">
        <v>68</v>
      </c>
      <c r="ATS3" s="10" t="s">
        <v>67</v>
      </c>
      <c r="ATT3" s="10" t="s">
        <v>68</v>
      </c>
      <c r="ATU3" s="10" t="s">
        <v>67</v>
      </c>
      <c r="ATV3" s="10" t="s">
        <v>68</v>
      </c>
      <c r="ATW3" s="10" t="s">
        <v>67</v>
      </c>
      <c r="ATX3" s="10" t="s">
        <v>68</v>
      </c>
      <c r="ATY3" s="10" t="s">
        <v>67</v>
      </c>
      <c r="ATZ3" s="10" t="s">
        <v>68</v>
      </c>
      <c r="AUA3" s="10" t="s">
        <v>67</v>
      </c>
      <c r="AUB3" s="10" t="s">
        <v>68</v>
      </c>
      <c r="AUC3" s="10" t="s">
        <v>67</v>
      </c>
      <c r="AUD3" s="10" t="s">
        <v>68</v>
      </c>
      <c r="AUE3" s="10" t="s">
        <v>67</v>
      </c>
      <c r="AUF3" s="10" t="s">
        <v>68</v>
      </c>
      <c r="AUG3" s="10" t="s">
        <v>67</v>
      </c>
      <c r="AUH3" s="10" t="s">
        <v>68</v>
      </c>
      <c r="AUI3" s="10" t="s">
        <v>67</v>
      </c>
      <c r="AUJ3" s="10" t="s">
        <v>68</v>
      </c>
      <c r="AUK3" s="10" t="s">
        <v>67</v>
      </c>
      <c r="AUL3" s="10" t="s">
        <v>68</v>
      </c>
      <c r="AUM3" s="10" t="s">
        <v>67</v>
      </c>
      <c r="AUN3" s="10" t="s">
        <v>68</v>
      </c>
      <c r="AUO3" s="10" t="s">
        <v>67</v>
      </c>
      <c r="AUP3" s="10" t="s">
        <v>68</v>
      </c>
      <c r="AUQ3" s="10" t="s">
        <v>67</v>
      </c>
      <c r="AUR3" s="10" t="s">
        <v>68</v>
      </c>
      <c r="AUS3" s="10" t="s">
        <v>67</v>
      </c>
      <c r="AUT3" s="10" t="s">
        <v>68</v>
      </c>
      <c r="AUU3" s="10" t="s">
        <v>67</v>
      </c>
      <c r="AUV3" s="10" t="s">
        <v>68</v>
      </c>
      <c r="AUW3" s="10" t="s">
        <v>67</v>
      </c>
      <c r="AUX3" s="10" t="s">
        <v>68</v>
      </c>
      <c r="AUY3" s="10" t="s">
        <v>67</v>
      </c>
      <c r="AUZ3" s="10" t="s">
        <v>68</v>
      </c>
      <c r="AVA3" s="10" t="s">
        <v>67</v>
      </c>
      <c r="AVB3" s="10" t="s">
        <v>68</v>
      </c>
      <c r="AVC3" s="10" t="s">
        <v>67</v>
      </c>
      <c r="AVD3" s="10" t="s">
        <v>68</v>
      </c>
      <c r="AVE3" s="10" t="s">
        <v>67</v>
      </c>
      <c r="AVF3" s="10" t="s">
        <v>68</v>
      </c>
      <c r="AVG3" s="10" t="s">
        <v>67</v>
      </c>
      <c r="AVH3" s="10" t="s">
        <v>68</v>
      </c>
      <c r="AVI3" s="10" t="s">
        <v>67</v>
      </c>
      <c r="AVJ3" s="10" t="s">
        <v>68</v>
      </c>
      <c r="AVK3" s="10" t="s">
        <v>67</v>
      </c>
      <c r="AVL3" s="10" t="s">
        <v>68</v>
      </c>
      <c r="AVM3" s="10" t="s">
        <v>67</v>
      </c>
      <c r="AVN3" s="10" t="s">
        <v>68</v>
      </c>
      <c r="AVO3" s="10" t="s">
        <v>67</v>
      </c>
      <c r="AVP3" s="10" t="s">
        <v>68</v>
      </c>
      <c r="AVQ3" s="10" t="s">
        <v>67</v>
      </c>
      <c r="AVR3" s="10" t="s">
        <v>68</v>
      </c>
      <c r="AVS3" s="10" t="s">
        <v>67</v>
      </c>
      <c r="AVT3" s="10" t="s">
        <v>68</v>
      </c>
      <c r="AVU3" s="10" t="s">
        <v>67</v>
      </c>
      <c r="AVV3" s="10" t="s">
        <v>68</v>
      </c>
      <c r="AVW3" s="10" t="s">
        <v>67</v>
      </c>
      <c r="AVX3" s="10" t="s">
        <v>68</v>
      </c>
      <c r="AVY3" s="10" t="s">
        <v>67</v>
      </c>
      <c r="AVZ3" s="10" t="s">
        <v>68</v>
      </c>
      <c r="AWA3" s="10" t="s">
        <v>67</v>
      </c>
      <c r="AWB3" s="10" t="s">
        <v>68</v>
      </c>
      <c r="AWC3" s="10" t="s">
        <v>67</v>
      </c>
      <c r="AWD3" s="10" t="s">
        <v>68</v>
      </c>
      <c r="AWE3" s="10" t="s">
        <v>67</v>
      </c>
      <c r="AWF3" s="10" t="s">
        <v>68</v>
      </c>
      <c r="AWG3" s="10" t="s">
        <v>67</v>
      </c>
      <c r="AWH3" s="10" t="s">
        <v>68</v>
      </c>
      <c r="AWI3" s="10" t="s">
        <v>67</v>
      </c>
      <c r="AWJ3" s="10" t="s">
        <v>68</v>
      </c>
      <c r="AWK3" s="10" t="s">
        <v>67</v>
      </c>
      <c r="AWL3" s="10" t="s">
        <v>68</v>
      </c>
      <c r="AWM3" s="10" t="s">
        <v>67</v>
      </c>
      <c r="AWN3" s="10" t="s">
        <v>68</v>
      </c>
      <c r="AWO3" s="10" t="s">
        <v>67</v>
      </c>
      <c r="AWP3" s="10" t="s">
        <v>68</v>
      </c>
      <c r="AWQ3" s="10" t="s">
        <v>67</v>
      </c>
      <c r="AWR3" s="10" t="s">
        <v>68</v>
      </c>
      <c r="AWS3" s="10" t="s">
        <v>67</v>
      </c>
      <c r="AWT3" s="10" t="s">
        <v>68</v>
      </c>
      <c r="AWU3" s="10" t="s">
        <v>67</v>
      </c>
      <c r="AWV3" s="10" t="s">
        <v>68</v>
      </c>
      <c r="AWW3" s="10" t="s">
        <v>67</v>
      </c>
      <c r="AWX3" s="10" t="s">
        <v>68</v>
      </c>
      <c r="AWY3" s="10" t="s">
        <v>67</v>
      </c>
      <c r="AWZ3" s="10" t="s">
        <v>68</v>
      </c>
      <c r="AXA3" s="10" t="s">
        <v>67</v>
      </c>
      <c r="AXB3" s="10" t="s">
        <v>68</v>
      </c>
      <c r="AXC3" s="10" t="s">
        <v>67</v>
      </c>
      <c r="AXD3" s="10" t="s">
        <v>68</v>
      </c>
      <c r="AXE3" s="10" t="s">
        <v>67</v>
      </c>
      <c r="AXF3" s="10" t="s">
        <v>68</v>
      </c>
      <c r="AXG3" s="10" t="s">
        <v>67</v>
      </c>
      <c r="AXH3" s="10" t="s">
        <v>68</v>
      </c>
      <c r="AXI3" s="10" t="s">
        <v>67</v>
      </c>
      <c r="AXJ3" s="10" t="s">
        <v>68</v>
      </c>
      <c r="AXK3" s="10" t="s">
        <v>67</v>
      </c>
      <c r="AXL3" s="10" t="s">
        <v>68</v>
      </c>
      <c r="AXM3" s="10" t="s">
        <v>67</v>
      </c>
      <c r="AXN3" s="10" t="s">
        <v>68</v>
      </c>
      <c r="AXO3" s="10" t="s">
        <v>67</v>
      </c>
      <c r="AXP3" s="10" t="s">
        <v>68</v>
      </c>
      <c r="AXQ3" s="10" t="s">
        <v>67</v>
      </c>
      <c r="AXR3" s="10" t="s">
        <v>68</v>
      </c>
      <c r="AXS3" s="10" t="s">
        <v>67</v>
      </c>
      <c r="AXT3" s="10" t="s">
        <v>68</v>
      </c>
      <c r="AXU3" s="10" t="s">
        <v>67</v>
      </c>
      <c r="AXV3" s="10" t="s">
        <v>68</v>
      </c>
      <c r="AXW3" s="10" t="s">
        <v>67</v>
      </c>
      <c r="AXX3" s="10" t="s">
        <v>68</v>
      </c>
      <c r="AXY3" s="10" t="s">
        <v>67</v>
      </c>
      <c r="AXZ3" s="10" t="s">
        <v>68</v>
      </c>
      <c r="AYA3" s="10" t="s">
        <v>67</v>
      </c>
      <c r="AYB3" s="10" t="s">
        <v>68</v>
      </c>
      <c r="AYC3" s="10" t="s">
        <v>67</v>
      </c>
      <c r="AYD3" s="10" t="s">
        <v>68</v>
      </c>
      <c r="AYE3" s="10" t="s">
        <v>67</v>
      </c>
      <c r="AYF3" s="10" t="s">
        <v>68</v>
      </c>
      <c r="AYG3" s="10" t="s">
        <v>67</v>
      </c>
      <c r="AYH3" s="10" t="s">
        <v>68</v>
      </c>
      <c r="AYI3" s="10" t="s">
        <v>67</v>
      </c>
      <c r="AYJ3" s="10" t="s">
        <v>68</v>
      </c>
      <c r="AYK3" s="10" t="s">
        <v>67</v>
      </c>
      <c r="AYL3" s="10" t="s">
        <v>68</v>
      </c>
      <c r="AYM3" s="10" t="s">
        <v>67</v>
      </c>
      <c r="AYN3" s="10" t="s">
        <v>68</v>
      </c>
      <c r="AYO3" s="10" t="s">
        <v>67</v>
      </c>
      <c r="AYP3" s="10" t="s">
        <v>68</v>
      </c>
      <c r="AYQ3" s="10" t="s">
        <v>67</v>
      </c>
      <c r="AYR3" s="10" t="s">
        <v>68</v>
      </c>
      <c r="AYS3" s="10" t="s">
        <v>67</v>
      </c>
      <c r="AYT3" s="10" t="s">
        <v>68</v>
      </c>
      <c r="AYU3" s="10" t="s">
        <v>67</v>
      </c>
      <c r="AYV3" s="10" t="s">
        <v>68</v>
      </c>
      <c r="AYW3" s="10" t="s">
        <v>67</v>
      </c>
      <c r="AYX3" s="10" t="s">
        <v>68</v>
      </c>
      <c r="AYY3" s="10" t="s">
        <v>67</v>
      </c>
      <c r="AYZ3" s="10" t="s">
        <v>68</v>
      </c>
      <c r="AZA3" s="10" t="s">
        <v>67</v>
      </c>
      <c r="AZB3" s="10" t="s">
        <v>68</v>
      </c>
      <c r="AZC3" s="10" t="s">
        <v>67</v>
      </c>
      <c r="AZD3" s="10" t="s">
        <v>68</v>
      </c>
      <c r="AZE3" s="10" t="s">
        <v>67</v>
      </c>
      <c r="AZF3" s="10" t="s">
        <v>68</v>
      </c>
      <c r="AZG3" s="10" t="s">
        <v>67</v>
      </c>
      <c r="AZH3" s="10" t="s">
        <v>68</v>
      </c>
      <c r="AZI3" s="10" t="s">
        <v>67</v>
      </c>
      <c r="AZJ3" s="10" t="s">
        <v>68</v>
      </c>
      <c r="AZK3" s="10" t="s">
        <v>67</v>
      </c>
      <c r="AZL3" s="10" t="s">
        <v>68</v>
      </c>
      <c r="AZM3" s="10" t="s">
        <v>67</v>
      </c>
      <c r="AZN3" s="10" t="s">
        <v>68</v>
      </c>
      <c r="AZO3" s="10" t="s">
        <v>67</v>
      </c>
      <c r="AZP3" s="10" t="s">
        <v>68</v>
      </c>
      <c r="AZQ3" s="10" t="s">
        <v>67</v>
      </c>
      <c r="AZR3" s="10" t="s">
        <v>68</v>
      </c>
      <c r="AZS3" s="10" t="s">
        <v>67</v>
      </c>
      <c r="AZT3" s="10" t="s">
        <v>68</v>
      </c>
      <c r="AZU3" s="10" t="s">
        <v>67</v>
      </c>
      <c r="AZV3" s="10" t="s">
        <v>68</v>
      </c>
      <c r="AZW3" s="10" t="s">
        <v>67</v>
      </c>
      <c r="AZX3" s="10" t="s">
        <v>68</v>
      </c>
      <c r="AZY3" s="10" t="s">
        <v>67</v>
      </c>
      <c r="AZZ3" s="10" t="s">
        <v>68</v>
      </c>
      <c r="BAA3" s="10" t="s">
        <v>67</v>
      </c>
      <c r="BAB3" s="10" t="s">
        <v>68</v>
      </c>
      <c r="BAC3" s="10" t="s">
        <v>67</v>
      </c>
      <c r="BAD3" s="10" t="s">
        <v>68</v>
      </c>
      <c r="BAE3" s="10" t="s">
        <v>67</v>
      </c>
      <c r="BAF3" s="10" t="s">
        <v>68</v>
      </c>
      <c r="BAG3" s="10" t="s">
        <v>67</v>
      </c>
      <c r="BAH3" s="10" t="s">
        <v>68</v>
      </c>
      <c r="BAI3" s="10" t="s">
        <v>67</v>
      </c>
      <c r="BAJ3" s="10" t="s">
        <v>68</v>
      </c>
      <c r="BAK3" s="10" t="s">
        <v>67</v>
      </c>
      <c r="BAL3" s="10" t="s">
        <v>68</v>
      </c>
      <c r="BAM3" s="10" t="s">
        <v>67</v>
      </c>
      <c r="BAN3" s="10" t="s">
        <v>68</v>
      </c>
      <c r="BAO3" s="10" t="s">
        <v>67</v>
      </c>
      <c r="BAP3" s="10" t="s">
        <v>68</v>
      </c>
      <c r="BAQ3" s="10" t="s">
        <v>67</v>
      </c>
      <c r="BAR3" s="10" t="s">
        <v>68</v>
      </c>
      <c r="BAS3" s="10" t="s">
        <v>67</v>
      </c>
      <c r="BAT3" s="10" t="s">
        <v>68</v>
      </c>
      <c r="BAU3" s="10" t="s">
        <v>67</v>
      </c>
      <c r="BAV3" s="10" t="s">
        <v>68</v>
      </c>
      <c r="BAW3" s="10" t="s">
        <v>67</v>
      </c>
      <c r="BAX3" s="10" t="s">
        <v>68</v>
      </c>
      <c r="BAY3" s="10" t="s">
        <v>67</v>
      </c>
      <c r="BAZ3" s="10" t="s">
        <v>68</v>
      </c>
      <c r="BBA3" s="10" t="s">
        <v>67</v>
      </c>
      <c r="BBB3" s="10" t="s">
        <v>68</v>
      </c>
      <c r="BBC3" s="10" t="s">
        <v>67</v>
      </c>
      <c r="BBD3" s="10" t="s">
        <v>68</v>
      </c>
      <c r="BBE3" s="10" t="s">
        <v>67</v>
      </c>
      <c r="BBF3" s="10" t="s">
        <v>68</v>
      </c>
      <c r="BBG3" s="10" t="s">
        <v>67</v>
      </c>
      <c r="BBH3" s="10" t="s">
        <v>68</v>
      </c>
      <c r="BBI3" s="10" t="s">
        <v>67</v>
      </c>
      <c r="BBJ3" s="10" t="s">
        <v>68</v>
      </c>
      <c r="BBK3" s="10" t="s">
        <v>67</v>
      </c>
      <c r="BBL3" s="10" t="s">
        <v>68</v>
      </c>
      <c r="BBM3" s="10" t="s">
        <v>67</v>
      </c>
      <c r="BBN3" s="10" t="s">
        <v>68</v>
      </c>
      <c r="BBO3" s="10" t="s">
        <v>67</v>
      </c>
      <c r="BBP3" s="10" t="s">
        <v>68</v>
      </c>
      <c r="BBQ3" s="10" t="s">
        <v>67</v>
      </c>
      <c r="BBR3" s="10" t="s">
        <v>68</v>
      </c>
      <c r="BBS3" s="10" t="s">
        <v>67</v>
      </c>
      <c r="BBT3" s="10" t="s">
        <v>68</v>
      </c>
      <c r="BBU3" s="10" t="s">
        <v>67</v>
      </c>
      <c r="BBV3" s="10" t="s">
        <v>68</v>
      </c>
      <c r="BBW3" s="10" t="s">
        <v>67</v>
      </c>
      <c r="BBX3" s="10" t="s">
        <v>68</v>
      </c>
      <c r="BBY3" s="10" t="s">
        <v>67</v>
      </c>
      <c r="BBZ3" s="10" t="s">
        <v>68</v>
      </c>
      <c r="BCA3" s="10" t="s">
        <v>67</v>
      </c>
      <c r="BCB3" s="10" t="s">
        <v>68</v>
      </c>
      <c r="BCC3" s="10" t="s">
        <v>67</v>
      </c>
      <c r="BCD3" s="10" t="s">
        <v>68</v>
      </c>
      <c r="BCE3" s="10" t="s">
        <v>67</v>
      </c>
      <c r="BCF3" s="10" t="s">
        <v>68</v>
      </c>
      <c r="BCG3" s="10" t="s">
        <v>67</v>
      </c>
      <c r="BCH3" s="10" t="s">
        <v>68</v>
      </c>
      <c r="BCI3" s="10" t="s">
        <v>67</v>
      </c>
      <c r="BCJ3" s="10" t="s">
        <v>68</v>
      </c>
      <c r="BCK3" s="10" t="s">
        <v>67</v>
      </c>
      <c r="BCL3" s="10" t="s">
        <v>68</v>
      </c>
      <c r="BCM3" s="10" t="s">
        <v>67</v>
      </c>
      <c r="BCN3" s="10" t="s">
        <v>68</v>
      </c>
      <c r="BCO3" s="10" t="s">
        <v>67</v>
      </c>
      <c r="BCP3" s="10" t="s">
        <v>68</v>
      </c>
      <c r="BCQ3" s="10" t="s">
        <v>67</v>
      </c>
      <c r="BCR3" s="10" t="s">
        <v>68</v>
      </c>
      <c r="BCS3" s="10" t="s">
        <v>67</v>
      </c>
      <c r="BCT3" s="10" t="s">
        <v>68</v>
      </c>
      <c r="BCU3" s="10" t="s">
        <v>67</v>
      </c>
      <c r="BCV3" s="10" t="s">
        <v>68</v>
      </c>
      <c r="BCW3" s="10" t="s">
        <v>67</v>
      </c>
      <c r="BCX3" s="10" t="s">
        <v>68</v>
      </c>
      <c r="BCY3" s="10" t="s">
        <v>67</v>
      </c>
      <c r="BCZ3" s="10" t="s">
        <v>68</v>
      </c>
      <c r="BDA3" s="10" t="s">
        <v>67</v>
      </c>
      <c r="BDB3" s="10" t="s">
        <v>68</v>
      </c>
      <c r="BDC3" s="10" t="s">
        <v>67</v>
      </c>
      <c r="BDD3" s="10" t="s">
        <v>68</v>
      </c>
      <c r="BDE3" s="10" t="s">
        <v>67</v>
      </c>
      <c r="BDF3" s="10" t="s">
        <v>68</v>
      </c>
      <c r="BDG3" s="10" t="s">
        <v>67</v>
      </c>
      <c r="BDH3" s="10" t="s">
        <v>68</v>
      </c>
      <c r="BDI3" s="10" t="s">
        <v>67</v>
      </c>
      <c r="BDJ3" s="10" t="s">
        <v>68</v>
      </c>
      <c r="BDK3" s="10" t="s">
        <v>67</v>
      </c>
      <c r="BDL3" s="10" t="s">
        <v>68</v>
      </c>
      <c r="BDM3" s="10" t="s">
        <v>67</v>
      </c>
      <c r="BDN3" s="10" t="s">
        <v>68</v>
      </c>
      <c r="BDO3" s="10" t="s">
        <v>67</v>
      </c>
      <c r="BDP3" s="10" t="s">
        <v>68</v>
      </c>
      <c r="BDQ3" s="10" t="s">
        <v>67</v>
      </c>
      <c r="BDR3" s="10" t="s">
        <v>68</v>
      </c>
      <c r="BDS3" s="10" t="s">
        <v>67</v>
      </c>
      <c r="BDT3" s="10" t="s">
        <v>68</v>
      </c>
      <c r="BDU3" s="10" t="s">
        <v>67</v>
      </c>
      <c r="BDV3" s="10" t="s">
        <v>68</v>
      </c>
      <c r="BDW3" s="10" t="s">
        <v>67</v>
      </c>
      <c r="BDX3" s="10" t="s">
        <v>68</v>
      </c>
      <c r="BDY3" s="10" t="s">
        <v>67</v>
      </c>
      <c r="BDZ3" s="10" t="s">
        <v>68</v>
      </c>
      <c r="BEA3" s="10" t="s">
        <v>67</v>
      </c>
      <c r="BEB3" s="10" t="s">
        <v>68</v>
      </c>
      <c r="BEC3" s="10" t="s">
        <v>67</v>
      </c>
      <c r="BED3" s="10" t="s">
        <v>68</v>
      </c>
      <c r="BEE3" s="10" t="s">
        <v>67</v>
      </c>
      <c r="BEF3" s="10" t="s">
        <v>68</v>
      </c>
      <c r="BEG3" s="10" t="s">
        <v>67</v>
      </c>
      <c r="BEH3" s="10" t="s">
        <v>68</v>
      </c>
      <c r="BEI3" s="10" t="s">
        <v>67</v>
      </c>
      <c r="BEJ3" s="10" t="s">
        <v>68</v>
      </c>
      <c r="BEK3" s="10" t="s">
        <v>67</v>
      </c>
      <c r="BEL3" s="10" t="s">
        <v>68</v>
      </c>
      <c r="BEM3" s="10" t="s">
        <v>67</v>
      </c>
      <c r="BEN3" s="10" t="s">
        <v>68</v>
      </c>
      <c r="BEO3" s="10" t="s">
        <v>67</v>
      </c>
      <c r="BEP3" s="10" t="s">
        <v>68</v>
      </c>
      <c r="BEQ3" s="10" t="s">
        <v>67</v>
      </c>
      <c r="BER3" s="10" t="s">
        <v>68</v>
      </c>
      <c r="BES3" s="10" t="s">
        <v>67</v>
      </c>
      <c r="BET3" s="10" t="s">
        <v>68</v>
      </c>
      <c r="BEU3" s="10" t="s">
        <v>67</v>
      </c>
      <c r="BEV3" s="10" t="s">
        <v>68</v>
      </c>
      <c r="BEW3" s="10" t="s">
        <v>67</v>
      </c>
      <c r="BEX3" s="10" t="s">
        <v>68</v>
      </c>
      <c r="BEY3" s="10" t="s">
        <v>67</v>
      </c>
      <c r="BEZ3" s="10" t="s">
        <v>68</v>
      </c>
      <c r="BFA3" s="10" t="s">
        <v>67</v>
      </c>
      <c r="BFB3" s="10" t="s">
        <v>68</v>
      </c>
      <c r="BFC3" s="10" t="s">
        <v>67</v>
      </c>
      <c r="BFD3" s="10" t="s">
        <v>68</v>
      </c>
      <c r="BFE3" s="10" t="s">
        <v>67</v>
      </c>
      <c r="BFF3" s="10" t="s">
        <v>68</v>
      </c>
      <c r="BFG3" s="10" t="s">
        <v>67</v>
      </c>
      <c r="BFH3" s="10" t="s">
        <v>68</v>
      </c>
      <c r="BFI3" s="10" t="s">
        <v>67</v>
      </c>
      <c r="BFJ3" s="10" t="s">
        <v>68</v>
      </c>
      <c r="BFK3" s="10" t="s">
        <v>67</v>
      </c>
      <c r="BFL3" s="10" t="s">
        <v>68</v>
      </c>
      <c r="BFM3" s="10" t="s">
        <v>67</v>
      </c>
      <c r="BFN3" s="10" t="s">
        <v>68</v>
      </c>
      <c r="BFO3" s="10" t="s">
        <v>67</v>
      </c>
      <c r="BFP3" s="10" t="s">
        <v>68</v>
      </c>
      <c r="BFQ3" s="10" t="s">
        <v>67</v>
      </c>
      <c r="BFR3" s="10" t="s">
        <v>68</v>
      </c>
      <c r="BFS3" s="10" t="s">
        <v>67</v>
      </c>
      <c r="BFT3" s="10" t="s">
        <v>68</v>
      </c>
      <c r="BFU3" s="10" t="s">
        <v>67</v>
      </c>
      <c r="BFV3" s="10" t="s">
        <v>68</v>
      </c>
      <c r="BFW3" s="10" t="s">
        <v>67</v>
      </c>
      <c r="BFX3" s="10" t="s">
        <v>68</v>
      </c>
      <c r="BFY3" s="10" t="s">
        <v>67</v>
      </c>
      <c r="BFZ3" s="10" t="s">
        <v>68</v>
      </c>
      <c r="BGA3" s="10" t="s">
        <v>67</v>
      </c>
      <c r="BGB3" s="10" t="s">
        <v>68</v>
      </c>
      <c r="BGC3" s="10" t="s">
        <v>67</v>
      </c>
      <c r="BGD3" s="10" t="s">
        <v>68</v>
      </c>
      <c r="BGE3" s="10" t="s">
        <v>67</v>
      </c>
      <c r="BGF3" s="10" t="s">
        <v>68</v>
      </c>
      <c r="BGG3" s="10" t="s">
        <v>67</v>
      </c>
      <c r="BGH3" s="10" t="s">
        <v>68</v>
      </c>
      <c r="BGI3" s="10" t="s">
        <v>67</v>
      </c>
      <c r="BGJ3" s="10" t="s">
        <v>68</v>
      </c>
      <c r="BGK3" s="10" t="s">
        <v>67</v>
      </c>
      <c r="BGL3" s="10" t="s">
        <v>68</v>
      </c>
      <c r="BGM3" s="10" t="s">
        <v>67</v>
      </c>
      <c r="BGN3" s="10" t="s">
        <v>68</v>
      </c>
      <c r="BGO3" s="10" t="s">
        <v>67</v>
      </c>
      <c r="BGP3" s="10" t="s">
        <v>68</v>
      </c>
      <c r="BGQ3" s="10" t="s">
        <v>67</v>
      </c>
      <c r="BGR3" s="10" t="s">
        <v>68</v>
      </c>
      <c r="BGS3" s="10" t="s">
        <v>67</v>
      </c>
      <c r="BGT3" s="10" t="s">
        <v>68</v>
      </c>
      <c r="BGU3" s="10" t="s">
        <v>67</v>
      </c>
      <c r="BGV3" s="10" t="s">
        <v>68</v>
      </c>
      <c r="BGW3" s="10" t="s">
        <v>67</v>
      </c>
      <c r="BGX3" s="10" t="s">
        <v>68</v>
      </c>
      <c r="BGY3" s="10" t="s">
        <v>67</v>
      </c>
      <c r="BGZ3" s="10" t="s">
        <v>68</v>
      </c>
      <c r="BHA3" s="10" t="s">
        <v>67</v>
      </c>
      <c r="BHB3" s="10" t="s">
        <v>68</v>
      </c>
      <c r="BHC3" s="10" t="s">
        <v>67</v>
      </c>
      <c r="BHD3" s="10" t="s">
        <v>68</v>
      </c>
      <c r="BHE3" s="10" t="s">
        <v>67</v>
      </c>
      <c r="BHF3" s="10" t="s">
        <v>68</v>
      </c>
      <c r="BHG3" s="10" t="s">
        <v>67</v>
      </c>
      <c r="BHH3" s="10" t="s">
        <v>68</v>
      </c>
      <c r="BHI3" s="10" t="s">
        <v>67</v>
      </c>
      <c r="BHJ3" s="10" t="s">
        <v>68</v>
      </c>
      <c r="BHK3" s="10" t="s">
        <v>67</v>
      </c>
      <c r="BHL3" s="10" t="s">
        <v>68</v>
      </c>
      <c r="BHM3" s="10" t="s">
        <v>67</v>
      </c>
      <c r="BHN3" s="10" t="s">
        <v>68</v>
      </c>
      <c r="BHO3" s="10" t="s">
        <v>67</v>
      </c>
      <c r="BHP3" s="10" t="s">
        <v>68</v>
      </c>
      <c r="BHQ3" s="10" t="s">
        <v>67</v>
      </c>
      <c r="BHR3" s="10" t="s">
        <v>68</v>
      </c>
      <c r="BHS3" s="10" t="s">
        <v>67</v>
      </c>
      <c r="BHT3" s="10" t="s">
        <v>68</v>
      </c>
      <c r="BHU3" s="10" t="s">
        <v>67</v>
      </c>
      <c r="BHV3" s="10" t="s">
        <v>68</v>
      </c>
      <c r="BHW3" s="10" t="s">
        <v>67</v>
      </c>
      <c r="BHX3" s="10" t="s">
        <v>68</v>
      </c>
      <c r="BHY3" s="10" t="s">
        <v>67</v>
      </c>
      <c r="BHZ3" s="10" t="s">
        <v>68</v>
      </c>
      <c r="BIA3" s="10" t="s">
        <v>67</v>
      </c>
      <c r="BIB3" s="10" t="s">
        <v>68</v>
      </c>
      <c r="BIC3" s="10" t="s">
        <v>67</v>
      </c>
      <c r="BID3" s="10" t="s">
        <v>68</v>
      </c>
      <c r="BIE3" s="10" t="s">
        <v>67</v>
      </c>
      <c r="BIF3" s="10" t="s">
        <v>68</v>
      </c>
      <c r="BIG3" s="10" t="s">
        <v>67</v>
      </c>
      <c r="BIH3" s="10" t="s">
        <v>68</v>
      </c>
      <c r="BII3" s="10" t="s">
        <v>67</v>
      </c>
      <c r="BIJ3" s="10" t="s">
        <v>68</v>
      </c>
      <c r="BIK3" s="10" t="s">
        <v>67</v>
      </c>
      <c r="BIL3" s="10" t="s">
        <v>68</v>
      </c>
      <c r="BIM3" s="10" t="s">
        <v>67</v>
      </c>
      <c r="BIN3" s="10" t="s">
        <v>68</v>
      </c>
      <c r="BIO3" s="10" t="s">
        <v>67</v>
      </c>
      <c r="BIP3" s="10" t="s">
        <v>68</v>
      </c>
      <c r="BIQ3" s="10" t="s">
        <v>67</v>
      </c>
      <c r="BIR3" s="10" t="s">
        <v>68</v>
      </c>
      <c r="BIS3" s="10" t="s">
        <v>67</v>
      </c>
      <c r="BIT3" s="10" t="s">
        <v>68</v>
      </c>
      <c r="BIU3" s="10" t="s">
        <v>67</v>
      </c>
      <c r="BIV3" s="10" t="s">
        <v>68</v>
      </c>
      <c r="BIW3" s="10" t="s">
        <v>67</v>
      </c>
      <c r="BIX3" s="10" t="s">
        <v>68</v>
      </c>
      <c r="BIY3" s="10" t="s">
        <v>67</v>
      </c>
      <c r="BIZ3" s="10" t="s">
        <v>68</v>
      </c>
      <c r="BJA3" s="10" t="s">
        <v>67</v>
      </c>
      <c r="BJB3" s="10" t="s">
        <v>68</v>
      </c>
      <c r="BJC3" s="10" t="s">
        <v>67</v>
      </c>
      <c r="BJD3" s="10" t="s">
        <v>68</v>
      </c>
      <c r="BJE3" s="10" t="s">
        <v>67</v>
      </c>
      <c r="BJF3" s="10" t="s">
        <v>68</v>
      </c>
      <c r="BJG3" s="10" t="s">
        <v>67</v>
      </c>
      <c r="BJH3" s="10" t="s">
        <v>68</v>
      </c>
      <c r="BJI3" s="10" t="s">
        <v>67</v>
      </c>
      <c r="BJJ3" s="10" t="s">
        <v>68</v>
      </c>
      <c r="BJK3" s="10" t="s">
        <v>67</v>
      </c>
      <c r="BJL3" s="10" t="s">
        <v>68</v>
      </c>
      <c r="BJM3" s="10" t="s">
        <v>67</v>
      </c>
      <c r="BJN3" s="10" t="s">
        <v>68</v>
      </c>
      <c r="BJO3" s="10" t="s">
        <v>67</v>
      </c>
      <c r="BJP3" s="10" t="s">
        <v>68</v>
      </c>
      <c r="BJQ3" s="10" t="s">
        <v>67</v>
      </c>
      <c r="BJR3" s="10" t="s">
        <v>68</v>
      </c>
      <c r="BJS3" s="10" t="s">
        <v>67</v>
      </c>
      <c r="BJT3" s="10" t="s">
        <v>68</v>
      </c>
      <c r="BJU3" s="10" t="s">
        <v>67</v>
      </c>
      <c r="BJV3" s="10" t="s">
        <v>68</v>
      </c>
      <c r="BJW3" s="10" t="s">
        <v>67</v>
      </c>
      <c r="BJX3" s="10" t="s">
        <v>68</v>
      </c>
      <c r="BJY3" s="10" t="s">
        <v>67</v>
      </c>
      <c r="BJZ3" s="10" t="s">
        <v>68</v>
      </c>
      <c r="BKA3" s="10" t="s">
        <v>67</v>
      </c>
      <c r="BKB3" s="10" t="s">
        <v>68</v>
      </c>
      <c r="BKC3" s="10" t="s">
        <v>67</v>
      </c>
      <c r="BKD3" s="10" t="s">
        <v>68</v>
      </c>
      <c r="BKE3" s="10" t="s">
        <v>67</v>
      </c>
      <c r="BKF3" s="10" t="s">
        <v>68</v>
      </c>
      <c r="BKG3" s="10" t="s">
        <v>67</v>
      </c>
      <c r="BKH3" s="10" t="s">
        <v>68</v>
      </c>
      <c r="BKI3" s="10" t="s">
        <v>67</v>
      </c>
      <c r="BKJ3" s="10" t="s">
        <v>68</v>
      </c>
      <c r="BKK3" s="10" t="s">
        <v>67</v>
      </c>
      <c r="BKL3" s="10" t="s">
        <v>68</v>
      </c>
      <c r="BKM3" s="10" t="s">
        <v>67</v>
      </c>
      <c r="BKN3" s="10" t="s">
        <v>68</v>
      </c>
      <c r="BKO3" s="10" t="s">
        <v>67</v>
      </c>
      <c r="BKP3" s="10" t="s">
        <v>68</v>
      </c>
      <c r="BKQ3" s="10" t="s">
        <v>67</v>
      </c>
      <c r="BKR3" s="10" t="s">
        <v>68</v>
      </c>
      <c r="BKS3" s="10" t="s">
        <v>67</v>
      </c>
      <c r="BKT3" s="10" t="s">
        <v>68</v>
      </c>
      <c r="BKU3" s="10" t="s">
        <v>67</v>
      </c>
      <c r="BKV3" s="10" t="s">
        <v>68</v>
      </c>
      <c r="BKW3" s="10" t="s">
        <v>67</v>
      </c>
      <c r="BKX3" s="10" t="s">
        <v>68</v>
      </c>
      <c r="BKY3" s="10" t="s">
        <v>67</v>
      </c>
      <c r="BKZ3" s="10" t="s">
        <v>68</v>
      </c>
      <c r="BLA3" s="10" t="s">
        <v>67</v>
      </c>
      <c r="BLB3" s="10" t="s">
        <v>68</v>
      </c>
      <c r="BLC3" s="10" t="s">
        <v>67</v>
      </c>
      <c r="BLD3" s="10" t="s">
        <v>68</v>
      </c>
      <c r="BLE3" s="10" t="s">
        <v>67</v>
      </c>
      <c r="BLF3" s="10" t="s">
        <v>68</v>
      </c>
      <c r="BLG3" s="10" t="s">
        <v>67</v>
      </c>
      <c r="BLH3" s="10" t="s">
        <v>68</v>
      </c>
      <c r="BLI3" s="10" t="s">
        <v>67</v>
      </c>
      <c r="BLJ3" s="10" t="s">
        <v>68</v>
      </c>
      <c r="BLK3" s="10" t="s">
        <v>67</v>
      </c>
      <c r="BLL3" s="10" t="s">
        <v>68</v>
      </c>
      <c r="BLM3" s="10" t="s">
        <v>67</v>
      </c>
      <c r="BLN3" s="10" t="s">
        <v>68</v>
      </c>
      <c r="BLO3" s="10" t="s">
        <v>67</v>
      </c>
      <c r="BLP3" s="10" t="s">
        <v>68</v>
      </c>
      <c r="BLQ3" s="10" t="s">
        <v>67</v>
      </c>
      <c r="BLR3" s="10" t="s">
        <v>68</v>
      </c>
      <c r="BLS3" s="10" t="s">
        <v>67</v>
      </c>
      <c r="BLT3" s="10" t="s">
        <v>68</v>
      </c>
      <c r="BLU3" s="10" t="s">
        <v>67</v>
      </c>
      <c r="BLV3" s="10" t="s">
        <v>68</v>
      </c>
      <c r="BLW3" s="10" t="s">
        <v>67</v>
      </c>
      <c r="BLX3" s="10" t="s">
        <v>68</v>
      </c>
      <c r="BLY3" s="10" t="s">
        <v>67</v>
      </c>
      <c r="BLZ3" s="10" t="s">
        <v>68</v>
      </c>
      <c r="BMA3" s="10" t="s">
        <v>67</v>
      </c>
      <c r="BMB3" s="10" t="s">
        <v>68</v>
      </c>
      <c r="BMC3" s="10" t="s">
        <v>67</v>
      </c>
      <c r="BMD3" s="10" t="s">
        <v>68</v>
      </c>
      <c r="BME3" s="10" t="s">
        <v>67</v>
      </c>
      <c r="BMF3" s="10" t="s">
        <v>68</v>
      </c>
      <c r="BMG3" s="10" t="s">
        <v>67</v>
      </c>
      <c r="BMH3" s="10" t="s">
        <v>68</v>
      </c>
      <c r="BMI3" s="10" t="s">
        <v>67</v>
      </c>
      <c r="BMJ3" s="10" t="s">
        <v>68</v>
      </c>
      <c r="BMK3" s="10" t="s">
        <v>67</v>
      </c>
      <c r="BML3" s="10" t="s">
        <v>68</v>
      </c>
      <c r="BMM3" s="10" t="s">
        <v>67</v>
      </c>
      <c r="BMN3" s="10" t="s">
        <v>68</v>
      </c>
      <c r="BMO3" s="10" t="s">
        <v>67</v>
      </c>
      <c r="BMP3" s="10" t="s">
        <v>68</v>
      </c>
      <c r="BMQ3" s="10" t="s">
        <v>67</v>
      </c>
      <c r="BMR3" s="10" t="s">
        <v>68</v>
      </c>
      <c r="BMS3" s="10" t="s">
        <v>67</v>
      </c>
      <c r="BMT3" s="10" t="s">
        <v>68</v>
      </c>
      <c r="BMU3" s="10" t="s">
        <v>67</v>
      </c>
      <c r="BMV3" s="10" t="s">
        <v>68</v>
      </c>
      <c r="BMW3" s="10" t="s">
        <v>67</v>
      </c>
      <c r="BMX3" s="10" t="s">
        <v>68</v>
      </c>
      <c r="BMY3" s="10" t="s">
        <v>67</v>
      </c>
      <c r="BMZ3" s="10" t="s">
        <v>68</v>
      </c>
      <c r="BNA3" s="10" t="s">
        <v>67</v>
      </c>
      <c r="BNB3" s="10" t="s">
        <v>68</v>
      </c>
      <c r="BNC3" s="10" t="s">
        <v>67</v>
      </c>
      <c r="BND3" s="10" t="s">
        <v>68</v>
      </c>
      <c r="BNE3" s="10" t="s">
        <v>67</v>
      </c>
      <c r="BNF3" s="10" t="s">
        <v>68</v>
      </c>
      <c r="BNG3" s="10" t="s">
        <v>67</v>
      </c>
      <c r="BNH3" s="10" t="s">
        <v>68</v>
      </c>
      <c r="BNI3" s="10" t="s">
        <v>67</v>
      </c>
      <c r="BNJ3" s="10" t="s">
        <v>68</v>
      </c>
      <c r="BNK3" s="10" t="s">
        <v>67</v>
      </c>
      <c r="BNL3" s="10" t="s">
        <v>68</v>
      </c>
      <c r="BNM3" s="10" t="s">
        <v>67</v>
      </c>
      <c r="BNN3" s="10" t="s">
        <v>68</v>
      </c>
      <c r="BNO3" s="10" t="s">
        <v>67</v>
      </c>
      <c r="BNP3" s="10" t="s">
        <v>68</v>
      </c>
      <c r="BNQ3" s="10" t="s">
        <v>67</v>
      </c>
      <c r="BNR3" s="10" t="s">
        <v>68</v>
      </c>
      <c r="BNS3" s="10" t="s">
        <v>67</v>
      </c>
      <c r="BNT3" s="10" t="s">
        <v>68</v>
      </c>
      <c r="BNU3" s="10" t="s">
        <v>67</v>
      </c>
      <c r="BNV3" s="10" t="s">
        <v>68</v>
      </c>
      <c r="BNW3" s="10" t="s">
        <v>67</v>
      </c>
      <c r="BNX3" s="10" t="s">
        <v>68</v>
      </c>
      <c r="BNY3" s="10" t="s">
        <v>67</v>
      </c>
      <c r="BNZ3" s="10" t="s">
        <v>68</v>
      </c>
      <c r="BOA3" s="10" t="s">
        <v>67</v>
      </c>
      <c r="BOB3" s="10" t="s">
        <v>68</v>
      </c>
      <c r="BOC3" s="10" t="s">
        <v>67</v>
      </c>
      <c r="BOD3" s="10" t="s">
        <v>68</v>
      </c>
      <c r="BOE3" s="10" t="s">
        <v>67</v>
      </c>
      <c r="BOF3" s="10" t="s">
        <v>68</v>
      </c>
      <c r="BOG3" s="10" t="s">
        <v>67</v>
      </c>
      <c r="BOH3" s="10" t="s">
        <v>68</v>
      </c>
      <c r="BOI3" s="10" t="s">
        <v>67</v>
      </c>
      <c r="BOJ3" s="10" t="s">
        <v>68</v>
      </c>
      <c r="BOK3" s="10" t="s">
        <v>67</v>
      </c>
      <c r="BOL3" s="10" t="s">
        <v>68</v>
      </c>
      <c r="BOM3" s="10" t="s">
        <v>67</v>
      </c>
      <c r="BON3" s="10" t="s">
        <v>68</v>
      </c>
      <c r="BOO3" s="10" t="s">
        <v>67</v>
      </c>
      <c r="BOP3" s="10" t="s">
        <v>68</v>
      </c>
      <c r="BOQ3" s="10" t="s">
        <v>67</v>
      </c>
      <c r="BOR3" s="10" t="s">
        <v>68</v>
      </c>
      <c r="BOS3" s="10" t="s">
        <v>67</v>
      </c>
      <c r="BOT3" s="10" t="s">
        <v>68</v>
      </c>
      <c r="BOU3" s="10" t="s">
        <v>67</v>
      </c>
      <c r="BOV3" s="10" t="s">
        <v>68</v>
      </c>
      <c r="BOW3" s="10" t="s">
        <v>67</v>
      </c>
      <c r="BOX3" s="10" t="s">
        <v>68</v>
      </c>
      <c r="BOY3" s="10" t="s">
        <v>67</v>
      </c>
      <c r="BOZ3" s="10" t="s">
        <v>68</v>
      </c>
      <c r="BPA3" s="10" t="s">
        <v>67</v>
      </c>
      <c r="BPB3" s="10" t="s">
        <v>68</v>
      </c>
      <c r="BPC3" s="10" t="s">
        <v>67</v>
      </c>
      <c r="BPD3" s="10" t="s">
        <v>68</v>
      </c>
      <c r="BPE3" s="10" t="s">
        <v>67</v>
      </c>
      <c r="BPF3" s="10" t="s">
        <v>68</v>
      </c>
      <c r="BPG3" s="10" t="s">
        <v>67</v>
      </c>
      <c r="BPH3" s="10" t="s">
        <v>68</v>
      </c>
      <c r="BPI3" s="10" t="s">
        <v>67</v>
      </c>
      <c r="BPJ3" s="10" t="s">
        <v>68</v>
      </c>
      <c r="BPK3" s="10" t="s">
        <v>67</v>
      </c>
      <c r="BPL3" s="10" t="s">
        <v>68</v>
      </c>
      <c r="BPM3" s="10" t="s">
        <v>67</v>
      </c>
      <c r="BPN3" s="10" t="s">
        <v>68</v>
      </c>
      <c r="BPO3" s="10" t="s">
        <v>67</v>
      </c>
      <c r="BPP3" s="10" t="s">
        <v>68</v>
      </c>
      <c r="BPQ3" s="10" t="s">
        <v>67</v>
      </c>
      <c r="BPR3" s="10" t="s">
        <v>68</v>
      </c>
      <c r="BPS3" s="10" t="s">
        <v>67</v>
      </c>
      <c r="BPT3" s="10" t="s">
        <v>68</v>
      </c>
      <c r="BPU3" s="10" t="s">
        <v>67</v>
      </c>
      <c r="BPV3" s="10" t="s">
        <v>68</v>
      </c>
      <c r="BPW3" s="10" t="s">
        <v>67</v>
      </c>
      <c r="BPX3" s="10" t="s">
        <v>68</v>
      </c>
      <c r="BPY3" s="10" t="s">
        <v>67</v>
      </c>
      <c r="BPZ3" s="10" t="s">
        <v>68</v>
      </c>
      <c r="BQA3" s="10" t="s">
        <v>67</v>
      </c>
      <c r="BQB3" s="10" t="s">
        <v>68</v>
      </c>
      <c r="BQC3" s="10" t="s">
        <v>67</v>
      </c>
      <c r="BQD3" s="10" t="s">
        <v>68</v>
      </c>
      <c r="BQE3" s="10" t="s">
        <v>67</v>
      </c>
      <c r="BQF3" s="10" t="s">
        <v>68</v>
      </c>
      <c r="BQG3" s="10" t="s">
        <v>67</v>
      </c>
      <c r="BQH3" s="10" t="s">
        <v>68</v>
      </c>
      <c r="BQI3" s="10" t="s">
        <v>67</v>
      </c>
      <c r="BQJ3" s="10" t="s">
        <v>68</v>
      </c>
      <c r="BQK3" s="10" t="s">
        <v>67</v>
      </c>
      <c r="BQL3" s="10" t="s">
        <v>68</v>
      </c>
      <c r="BQM3" s="10" t="s">
        <v>67</v>
      </c>
      <c r="BQN3" s="10" t="s">
        <v>68</v>
      </c>
      <c r="BQO3" s="10" t="s">
        <v>67</v>
      </c>
      <c r="BQP3" s="10" t="s">
        <v>68</v>
      </c>
      <c r="BQQ3" s="10" t="s">
        <v>67</v>
      </c>
      <c r="BQR3" s="10" t="s">
        <v>68</v>
      </c>
      <c r="BQS3" s="10" t="s">
        <v>67</v>
      </c>
      <c r="BQT3" s="10" t="s">
        <v>68</v>
      </c>
      <c r="BQU3" s="10" t="s">
        <v>67</v>
      </c>
      <c r="BQV3" s="10" t="s">
        <v>68</v>
      </c>
      <c r="BQW3" s="10" t="s">
        <v>67</v>
      </c>
      <c r="BQX3" s="10" t="s">
        <v>68</v>
      </c>
      <c r="BQY3" s="10" t="s">
        <v>67</v>
      </c>
      <c r="BQZ3" s="10" t="s">
        <v>68</v>
      </c>
      <c r="BRA3" s="10" t="s">
        <v>67</v>
      </c>
      <c r="BRB3" s="10" t="s">
        <v>68</v>
      </c>
      <c r="BRC3" s="10" t="s">
        <v>67</v>
      </c>
      <c r="BRD3" s="10" t="s">
        <v>68</v>
      </c>
      <c r="BRE3" s="10" t="s">
        <v>67</v>
      </c>
      <c r="BRF3" s="10" t="s">
        <v>68</v>
      </c>
      <c r="BRG3" s="10" t="s">
        <v>67</v>
      </c>
      <c r="BRH3" s="10" t="s">
        <v>68</v>
      </c>
      <c r="BRI3" s="10" t="s">
        <v>67</v>
      </c>
      <c r="BRJ3" s="10" t="s">
        <v>68</v>
      </c>
      <c r="BRK3" s="10" t="s">
        <v>67</v>
      </c>
      <c r="BRL3" s="10" t="s">
        <v>68</v>
      </c>
      <c r="BRM3" s="10" t="s">
        <v>67</v>
      </c>
      <c r="BRN3" s="10" t="s">
        <v>68</v>
      </c>
      <c r="BRO3" s="10" t="s">
        <v>67</v>
      </c>
      <c r="BRP3" s="10" t="s">
        <v>68</v>
      </c>
      <c r="BRQ3" s="10" t="s">
        <v>67</v>
      </c>
      <c r="BRR3" s="10" t="s">
        <v>68</v>
      </c>
      <c r="BRS3" s="10" t="s">
        <v>67</v>
      </c>
      <c r="BRT3" s="10" t="s">
        <v>68</v>
      </c>
      <c r="BRU3" s="10" t="s">
        <v>67</v>
      </c>
      <c r="BRV3" s="10" t="s">
        <v>68</v>
      </c>
      <c r="BRW3" s="10" t="s">
        <v>67</v>
      </c>
      <c r="BRX3" s="10" t="s">
        <v>68</v>
      </c>
      <c r="BRY3" s="10" t="s">
        <v>67</v>
      </c>
      <c r="BRZ3" s="10" t="s">
        <v>68</v>
      </c>
      <c r="BSA3" s="10" t="s">
        <v>67</v>
      </c>
      <c r="BSB3" s="10" t="s">
        <v>68</v>
      </c>
      <c r="BSC3" s="10" t="s">
        <v>67</v>
      </c>
      <c r="BSD3" s="10" t="s">
        <v>68</v>
      </c>
      <c r="BSE3" s="10" t="s">
        <v>67</v>
      </c>
      <c r="BSF3" s="10" t="s">
        <v>68</v>
      </c>
      <c r="BSG3" s="10" t="s">
        <v>67</v>
      </c>
      <c r="BSH3" s="10" t="s">
        <v>68</v>
      </c>
      <c r="BSI3" s="10" t="s">
        <v>67</v>
      </c>
      <c r="BSJ3" s="10" t="s">
        <v>68</v>
      </c>
      <c r="BSK3" s="10" t="s">
        <v>67</v>
      </c>
      <c r="BSL3" s="10" t="s">
        <v>68</v>
      </c>
      <c r="BSM3" s="10" t="s">
        <v>67</v>
      </c>
      <c r="BSN3" s="10" t="s">
        <v>68</v>
      </c>
      <c r="BSO3" s="10" t="s">
        <v>67</v>
      </c>
      <c r="BSP3" s="10" t="s">
        <v>68</v>
      </c>
      <c r="BSQ3" s="10" t="s">
        <v>67</v>
      </c>
      <c r="BSR3" s="10" t="s">
        <v>68</v>
      </c>
      <c r="BSS3" s="10" t="s">
        <v>67</v>
      </c>
      <c r="BST3" s="10" t="s">
        <v>68</v>
      </c>
      <c r="BSU3" s="10" t="s">
        <v>67</v>
      </c>
      <c r="BSV3" s="10" t="s">
        <v>68</v>
      </c>
      <c r="BSW3" s="10" t="s">
        <v>67</v>
      </c>
      <c r="BSX3" s="10" t="s">
        <v>68</v>
      </c>
      <c r="BSY3" s="10" t="s">
        <v>67</v>
      </c>
      <c r="BSZ3" s="10" t="s">
        <v>68</v>
      </c>
      <c r="BTA3" s="10" t="s">
        <v>67</v>
      </c>
      <c r="BTB3" s="10" t="s">
        <v>68</v>
      </c>
      <c r="BTC3" s="10" t="s">
        <v>67</v>
      </c>
      <c r="BTD3" s="10" t="s">
        <v>68</v>
      </c>
      <c r="BTE3" s="10" t="s">
        <v>67</v>
      </c>
      <c r="BTF3" s="10" t="s">
        <v>68</v>
      </c>
      <c r="BTG3" s="10" t="s">
        <v>67</v>
      </c>
      <c r="BTH3" s="10" t="s">
        <v>68</v>
      </c>
      <c r="BTI3" s="10" t="s">
        <v>67</v>
      </c>
      <c r="BTJ3" s="10" t="s">
        <v>68</v>
      </c>
      <c r="BTK3" s="10" t="s">
        <v>67</v>
      </c>
      <c r="BTL3" s="10" t="s">
        <v>68</v>
      </c>
      <c r="BTM3" s="10" t="s">
        <v>67</v>
      </c>
      <c r="BTN3" s="10" t="s">
        <v>68</v>
      </c>
      <c r="BTO3" s="10" t="s">
        <v>67</v>
      </c>
      <c r="BTP3" s="10" t="s">
        <v>68</v>
      </c>
      <c r="BTQ3" s="10" t="s">
        <v>67</v>
      </c>
      <c r="BTR3" s="10" t="s">
        <v>68</v>
      </c>
      <c r="BTS3" s="10" t="s">
        <v>67</v>
      </c>
      <c r="BTT3" s="10" t="s">
        <v>68</v>
      </c>
      <c r="BTU3" s="10" t="s">
        <v>67</v>
      </c>
      <c r="BTV3" s="10" t="s">
        <v>68</v>
      </c>
      <c r="BTW3" s="10" t="s">
        <v>67</v>
      </c>
      <c r="BTX3" s="10" t="s">
        <v>68</v>
      </c>
      <c r="BTY3" s="10" t="s">
        <v>67</v>
      </c>
      <c r="BTZ3" s="10" t="s">
        <v>68</v>
      </c>
      <c r="BUA3" s="10" t="s">
        <v>67</v>
      </c>
      <c r="BUB3" s="10" t="s">
        <v>68</v>
      </c>
      <c r="BUC3" s="10" t="s">
        <v>67</v>
      </c>
      <c r="BUD3" s="10" t="s">
        <v>68</v>
      </c>
      <c r="BUE3" s="10" t="s">
        <v>67</v>
      </c>
      <c r="BUF3" s="10" t="s">
        <v>68</v>
      </c>
      <c r="BUG3" s="10" t="s">
        <v>67</v>
      </c>
      <c r="BUH3" s="10" t="s">
        <v>68</v>
      </c>
      <c r="BUI3" s="10" t="s">
        <v>67</v>
      </c>
      <c r="BUJ3" s="10" t="s">
        <v>68</v>
      </c>
      <c r="BUK3" s="10" t="s">
        <v>67</v>
      </c>
      <c r="BUL3" s="10" t="s">
        <v>68</v>
      </c>
      <c r="BUM3" s="10" t="s">
        <v>67</v>
      </c>
      <c r="BUN3" s="10" t="s">
        <v>68</v>
      </c>
      <c r="BUO3" s="10" t="s">
        <v>67</v>
      </c>
      <c r="BUP3" s="10" t="s">
        <v>68</v>
      </c>
      <c r="BUQ3" s="10" t="s">
        <v>67</v>
      </c>
      <c r="BUR3" s="10" t="s">
        <v>68</v>
      </c>
      <c r="BUS3" s="10" t="s">
        <v>67</v>
      </c>
      <c r="BUT3" s="10" t="s">
        <v>68</v>
      </c>
      <c r="BUU3" s="10" t="s">
        <v>67</v>
      </c>
      <c r="BUV3" s="10" t="s">
        <v>68</v>
      </c>
      <c r="BUW3" s="10" t="s">
        <v>67</v>
      </c>
      <c r="BUX3" s="10" t="s">
        <v>68</v>
      </c>
      <c r="BUY3" s="10" t="s">
        <v>67</v>
      </c>
      <c r="BUZ3" s="10" t="s">
        <v>68</v>
      </c>
      <c r="BVA3" s="10" t="s">
        <v>67</v>
      </c>
      <c r="BVB3" s="10" t="s">
        <v>68</v>
      </c>
      <c r="BVC3" s="10" t="s">
        <v>67</v>
      </c>
      <c r="BVD3" s="10" t="s">
        <v>68</v>
      </c>
      <c r="BVE3" s="10" t="s">
        <v>67</v>
      </c>
      <c r="BVF3" s="10" t="s">
        <v>68</v>
      </c>
      <c r="BVG3" s="10" t="s">
        <v>67</v>
      </c>
      <c r="BVH3" s="10" t="s">
        <v>68</v>
      </c>
      <c r="BVI3" s="10" t="s">
        <v>67</v>
      </c>
      <c r="BVJ3" s="10" t="s">
        <v>68</v>
      </c>
      <c r="BVK3" s="10" t="s">
        <v>67</v>
      </c>
      <c r="BVL3" s="10" t="s">
        <v>68</v>
      </c>
      <c r="BVM3" s="10" t="s">
        <v>67</v>
      </c>
      <c r="BVN3" s="10" t="s">
        <v>68</v>
      </c>
      <c r="BVO3" s="10" t="s">
        <v>67</v>
      </c>
      <c r="BVP3" s="10" t="s">
        <v>68</v>
      </c>
      <c r="BVQ3" s="10" t="s">
        <v>67</v>
      </c>
      <c r="BVR3" s="10" t="s">
        <v>68</v>
      </c>
      <c r="BVS3" s="10" t="s">
        <v>67</v>
      </c>
      <c r="BVT3" s="10" t="s">
        <v>68</v>
      </c>
      <c r="BVU3" s="10" t="s">
        <v>67</v>
      </c>
      <c r="BVV3" s="10" t="s">
        <v>68</v>
      </c>
      <c r="BVW3" s="10" t="s">
        <v>67</v>
      </c>
      <c r="BVX3" s="10" t="s">
        <v>68</v>
      </c>
      <c r="BVY3" s="10" t="s">
        <v>67</v>
      </c>
      <c r="BVZ3" s="10" t="s">
        <v>68</v>
      </c>
      <c r="BWA3" s="10" t="s">
        <v>67</v>
      </c>
      <c r="BWB3" s="10" t="s">
        <v>68</v>
      </c>
      <c r="BWC3" s="10" t="s">
        <v>67</v>
      </c>
      <c r="BWD3" s="10" t="s">
        <v>68</v>
      </c>
      <c r="BWE3" s="10" t="s">
        <v>67</v>
      </c>
      <c r="BWF3" s="10" t="s">
        <v>68</v>
      </c>
      <c r="BWG3" s="10" t="s">
        <v>67</v>
      </c>
      <c r="BWH3" s="10" t="s">
        <v>68</v>
      </c>
      <c r="BWI3" s="10" t="s">
        <v>67</v>
      </c>
      <c r="BWJ3" s="10" t="s">
        <v>68</v>
      </c>
      <c r="BWK3" s="10" t="s">
        <v>67</v>
      </c>
      <c r="BWL3" s="10" t="s">
        <v>68</v>
      </c>
      <c r="BWM3" s="10" t="s">
        <v>67</v>
      </c>
      <c r="BWN3" s="10" t="s">
        <v>68</v>
      </c>
      <c r="BWO3" s="10" t="s">
        <v>67</v>
      </c>
      <c r="BWP3" s="10" t="s">
        <v>68</v>
      </c>
      <c r="BWQ3" s="10" t="s">
        <v>67</v>
      </c>
      <c r="BWR3" s="10" t="s">
        <v>68</v>
      </c>
      <c r="BWS3" s="10" t="s">
        <v>67</v>
      </c>
      <c r="BWT3" s="10" t="s">
        <v>68</v>
      </c>
      <c r="BWU3" s="10" t="s">
        <v>67</v>
      </c>
      <c r="BWV3" s="10" t="s">
        <v>68</v>
      </c>
      <c r="BWW3" s="10" t="s">
        <v>67</v>
      </c>
      <c r="BWX3" s="10" t="s">
        <v>68</v>
      </c>
      <c r="BWY3" s="10" t="s">
        <v>67</v>
      </c>
      <c r="BWZ3" s="10" t="s">
        <v>68</v>
      </c>
      <c r="BXA3" s="10" t="s">
        <v>67</v>
      </c>
      <c r="BXB3" s="10" t="s">
        <v>68</v>
      </c>
      <c r="BXC3" s="10" t="s">
        <v>67</v>
      </c>
      <c r="BXD3" s="10" t="s">
        <v>68</v>
      </c>
      <c r="BXE3" s="10" t="s">
        <v>67</v>
      </c>
      <c r="BXF3" s="10" t="s">
        <v>68</v>
      </c>
      <c r="BXG3" s="10" t="s">
        <v>67</v>
      </c>
      <c r="BXH3" s="10" t="s">
        <v>68</v>
      </c>
      <c r="BXI3" s="10" t="s">
        <v>67</v>
      </c>
      <c r="BXJ3" s="10" t="s">
        <v>68</v>
      </c>
      <c r="BXK3" s="10" t="s">
        <v>67</v>
      </c>
      <c r="BXL3" s="10" t="s">
        <v>68</v>
      </c>
      <c r="BXM3" s="10" t="s">
        <v>67</v>
      </c>
      <c r="BXN3" s="10" t="s">
        <v>68</v>
      </c>
      <c r="BXO3" s="10" t="s">
        <v>67</v>
      </c>
      <c r="BXP3" s="10" t="s">
        <v>68</v>
      </c>
      <c r="BXQ3" s="10" t="s">
        <v>67</v>
      </c>
      <c r="BXR3" s="10" t="s">
        <v>68</v>
      </c>
      <c r="BXS3" s="10" t="s">
        <v>67</v>
      </c>
      <c r="BXT3" s="10" t="s">
        <v>68</v>
      </c>
      <c r="BXU3" s="10" t="s">
        <v>67</v>
      </c>
      <c r="BXV3" s="10" t="s">
        <v>68</v>
      </c>
      <c r="BXW3" s="10" t="s">
        <v>67</v>
      </c>
      <c r="BXX3" s="10" t="s">
        <v>68</v>
      </c>
      <c r="BXY3" s="10" t="s">
        <v>67</v>
      </c>
      <c r="BXZ3" s="10" t="s">
        <v>68</v>
      </c>
      <c r="BYA3" s="10" t="s">
        <v>67</v>
      </c>
      <c r="BYB3" s="10" t="s">
        <v>68</v>
      </c>
      <c r="BYC3" s="10" t="s">
        <v>67</v>
      </c>
      <c r="BYD3" s="10" t="s">
        <v>68</v>
      </c>
      <c r="BYE3" s="10" t="s">
        <v>67</v>
      </c>
      <c r="BYF3" s="10" t="s">
        <v>68</v>
      </c>
      <c r="BYG3" s="10" t="s">
        <v>67</v>
      </c>
      <c r="BYH3" s="10" t="s">
        <v>68</v>
      </c>
      <c r="BYI3" s="10" t="s">
        <v>67</v>
      </c>
      <c r="BYJ3" s="10" t="s">
        <v>68</v>
      </c>
      <c r="BYK3" s="10" t="s">
        <v>67</v>
      </c>
      <c r="BYL3" s="10" t="s">
        <v>68</v>
      </c>
      <c r="BYM3" s="10" t="s">
        <v>67</v>
      </c>
      <c r="BYN3" s="10" t="s">
        <v>68</v>
      </c>
      <c r="BYO3" s="10" t="s">
        <v>67</v>
      </c>
      <c r="BYP3" s="10" t="s">
        <v>68</v>
      </c>
      <c r="BYQ3" s="10" t="s">
        <v>67</v>
      </c>
      <c r="BYR3" s="10" t="s">
        <v>68</v>
      </c>
      <c r="BYS3" s="10" t="s">
        <v>67</v>
      </c>
      <c r="BYT3" s="10" t="s">
        <v>68</v>
      </c>
      <c r="BYU3" s="10" t="s">
        <v>67</v>
      </c>
      <c r="BYV3" s="10" t="s">
        <v>68</v>
      </c>
      <c r="BYW3" s="10" t="s">
        <v>67</v>
      </c>
      <c r="BYX3" s="10" t="s">
        <v>68</v>
      </c>
      <c r="BYY3" s="10" t="s">
        <v>67</v>
      </c>
      <c r="BYZ3" s="10" t="s">
        <v>68</v>
      </c>
      <c r="BZA3" s="10" t="s">
        <v>67</v>
      </c>
      <c r="BZB3" s="10" t="s">
        <v>68</v>
      </c>
      <c r="BZC3" s="10" t="s">
        <v>67</v>
      </c>
      <c r="BZD3" s="10" t="s">
        <v>68</v>
      </c>
      <c r="BZE3" s="10" t="s">
        <v>67</v>
      </c>
      <c r="BZF3" s="10" t="s">
        <v>68</v>
      </c>
      <c r="BZG3" s="10" t="s">
        <v>67</v>
      </c>
      <c r="BZH3" s="10" t="s">
        <v>68</v>
      </c>
      <c r="BZI3" s="10" t="s">
        <v>67</v>
      </c>
      <c r="BZJ3" s="10" t="s">
        <v>68</v>
      </c>
      <c r="BZK3" s="10" t="s">
        <v>67</v>
      </c>
      <c r="BZL3" s="10" t="s">
        <v>68</v>
      </c>
      <c r="BZM3" s="10" t="s">
        <v>67</v>
      </c>
      <c r="BZN3" s="10" t="s">
        <v>68</v>
      </c>
      <c r="BZO3" s="10" t="s">
        <v>67</v>
      </c>
      <c r="BZP3" s="10" t="s">
        <v>68</v>
      </c>
      <c r="BZQ3" s="10" t="s">
        <v>67</v>
      </c>
      <c r="BZR3" s="10" t="s">
        <v>68</v>
      </c>
      <c r="BZS3" s="10" t="s">
        <v>67</v>
      </c>
      <c r="BZT3" s="10" t="s">
        <v>68</v>
      </c>
      <c r="BZU3" s="10" t="s">
        <v>67</v>
      </c>
      <c r="BZV3" s="10" t="s">
        <v>68</v>
      </c>
      <c r="BZW3" s="10" t="s">
        <v>67</v>
      </c>
      <c r="BZX3" s="10" t="s">
        <v>68</v>
      </c>
      <c r="BZY3" s="10" t="s">
        <v>67</v>
      </c>
      <c r="BZZ3" s="10" t="s">
        <v>68</v>
      </c>
      <c r="CAA3" s="10" t="s">
        <v>67</v>
      </c>
      <c r="CAB3" s="10" t="s">
        <v>68</v>
      </c>
      <c r="CAC3" s="10" t="s">
        <v>67</v>
      </c>
      <c r="CAD3" s="10" t="s">
        <v>68</v>
      </c>
      <c r="CAE3" s="10" t="s">
        <v>67</v>
      </c>
      <c r="CAF3" s="10" t="s">
        <v>68</v>
      </c>
      <c r="CAG3" s="10" t="s">
        <v>67</v>
      </c>
      <c r="CAH3" s="10" t="s">
        <v>68</v>
      </c>
      <c r="CAI3" s="10" t="s">
        <v>67</v>
      </c>
      <c r="CAJ3" s="10" t="s">
        <v>68</v>
      </c>
      <c r="CAK3" s="10" t="s">
        <v>67</v>
      </c>
      <c r="CAL3" s="10" t="s">
        <v>68</v>
      </c>
      <c r="CAM3" s="10" t="s">
        <v>67</v>
      </c>
      <c r="CAN3" s="10" t="s">
        <v>68</v>
      </c>
      <c r="CAO3" s="10" t="s">
        <v>67</v>
      </c>
      <c r="CAP3" s="10" t="s">
        <v>68</v>
      </c>
      <c r="CAQ3" s="10" t="s">
        <v>67</v>
      </c>
      <c r="CAR3" s="10" t="s">
        <v>68</v>
      </c>
      <c r="CAS3" s="10" t="s">
        <v>67</v>
      </c>
      <c r="CAT3" s="10" t="s">
        <v>68</v>
      </c>
      <c r="CAU3" s="10" t="s">
        <v>67</v>
      </c>
      <c r="CAV3" s="10" t="s">
        <v>68</v>
      </c>
      <c r="CAW3" s="10" t="s">
        <v>67</v>
      </c>
      <c r="CAX3" s="10" t="s">
        <v>68</v>
      </c>
      <c r="CAY3" s="10" t="s">
        <v>67</v>
      </c>
      <c r="CAZ3" s="10" t="s">
        <v>68</v>
      </c>
      <c r="CBA3" s="10" t="s">
        <v>67</v>
      </c>
      <c r="CBB3" s="10" t="s">
        <v>68</v>
      </c>
      <c r="CBC3" s="10" t="s">
        <v>67</v>
      </c>
      <c r="CBD3" s="10" t="s">
        <v>68</v>
      </c>
      <c r="CBE3" s="10" t="s">
        <v>67</v>
      </c>
      <c r="CBF3" s="10" t="s">
        <v>68</v>
      </c>
      <c r="CBG3" s="10" t="s">
        <v>67</v>
      </c>
      <c r="CBH3" s="10" t="s">
        <v>68</v>
      </c>
      <c r="CBI3" s="10" t="s">
        <v>67</v>
      </c>
      <c r="CBJ3" s="10" t="s">
        <v>68</v>
      </c>
      <c r="CBK3" s="10" t="s">
        <v>67</v>
      </c>
      <c r="CBL3" s="10" t="s">
        <v>68</v>
      </c>
      <c r="CBM3" s="10" t="s">
        <v>67</v>
      </c>
      <c r="CBN3" s="10" t="s">
        <v>68</v>
      </c>
      <c r="CBO3" s="10" t="s">
        <v>67</v>
      </c>
      <c r="CBP3" s="10" t="s">
        <v>68</v>
      </c>
      <c r="CBQ3" s="10" t="s">
        <v>67</v>
      </c>
      <c r="CBR3" s="10" t="s">
        <v>68</v>
      </c>
      <c r="CBS3" s="10" t="s">
        <v>67</v>
      </c>
      <c r="CBT3" s="10" t="s">
        <v>68</v>
      </c>
      <c r="CBU3" s="10" t="s">
        <v>67</v>
      </c>
      <c r="CBV3" s="10" t="s">
        <v>68</v>
      </c>
      <c r="CBW3" s="10" t="s">
        <v>67</v>
      </c>
      <c r="CBX3" s="10" t="s">
        <v>68</v>
      </c>
      <c r="CBY3" s="10" t="s">
        <v>67</v>
      </c>
      <c r="CBZ3" s="10" t="s">
        <v>68</v>
      </c>
      <c r="CCA3" s="10" t="s">
        <v>67</v>
      </c>
      <c r="CCB3" s="10" t="s">
        <v>68</v>
      </c>
      <c r="CCC3" s="10" t="s">
        <v>67</v>
      </c>
      <c r="CCD3" s="10" t="s">
        <v>68</v>
      </c>
      <c r="CCE3" s="10" t="s">
        <v>67</v>
      </c>
      <c r="CCF3" s="10" t="s">
        <v>68</v>
      </c>
      <c r="CCG3" s="10" t="s">
        <v>67</v>
      </c>
      <c r="CCH3" s="10" t="s">
        <v>68</v>
      </c>
      <c r="CCI3" s="10" t="s">
        <v>67</v>
      </c>
      <c r="CCJ3" s="10" t="s">
        <v>68</v>
      </c>
      <c r="CCK3" s="10" t="s">
        <v>67</v>
      </c>
      <c r="CCL3" s="10" t="s">
        <v>68</v>
      </c>
      <c r="CCM3" s="10" t="s">
        <v>67</v>
      </c>
      <c r="CCN3" s="10" t="s">
        <v>68</v>
      </c>
      <c r="CCO3" s="10" t="s">
        <v>67</v>
      </c>
      <c r="CCP3" s="10" t="s">
        <v>68</v>
      </c>
      <c r="CCQ3" s="10" t="s">
        <v>67</v>
      </c>
      <c r="CCR3" s="10" t="s">
        <v>68</v>
      </c>
      <c r="CCS3" s="10" t="s">
        <v>67</v>
      </c>
      <c r="CCT3" s="10" t="s">
        <v>68</v>
      </c>
      <c r="CCU3" s="10" t="s">
        <v>67</v>
      </c>
      <c r="CCV3" s="10" t="s">
        <v>68</v>
      </c>
      <c r="CCW3" s="10" t="s">
        <v>67</v>
      </c>
      <c r="CCX3" s="10" t="s">
        <v>68</v>
      </c>
      <c r="CCY3" s="10" t="s">
        <v>67</v>
      </c>
      <c r="CCZ3" s="10" t="s">
        <v>68</v>
      </c>
      <c r="CDA3" s="10" t="s">
        <v>67</v>
      </c>
      <c r="CDB3" s="10" t="s">
        <v>68</v>
      </c>
      <c r="CDC3" s="10" t="s">
        <v>67</v>
      </c>
      <c r="CDD3" s="10" t="s">
        <v>68</v>
      </c>
      <c r="CDE3" s="10" t="s">
        <v>67</v>
      </c>
      <c r="CDF3" s="10" t="s">
        <v>68</v>
      </c>
      <c r="CDG3" s="10" t="s">
        <v>67</v>
      </c>
      <c r="CDH3" s="10" t="s">
        <v>68</v>
      </c>
      <c r="CDI3" s="10" t="s">
        <v>67</v>
      </c>
      <c r="CDJ3" s="10" t="s">
        <v>68</v>
      </c>
      <c r="CDK3" s="10" t="s">
        <v>67</v>
      </c>
      <c r="CDL3" s="10" t="s">
        <v>68</v>
      </c>
      <c r="CDM3" s="10" t="s">
        <v>67</v>
      </c>
      <c r="CDN3" s="10" t="s">
        <v>68</v>
      </c>
      <c r="CDO3" s="10" t="s">
        <v>67</v>
      </c>
      <c r="CDP3" s="10" t="s">
        <v>68</v>
      </c>
      <c r="CDQ3" s="10" t="s">
        <v>67</v>
      </c>
      <c r="CDR3" s="10" t="s">
        <v>68</v>
      </c>
      <c r="CDS3" s="10" t="s">
        <v>67</v>
      </c>
      <c r="CDT3" s="10" t="s">
        <v>68</v>
      </c>
      <c r="CDU3" s="10" t="s">
        <v>67</v>
      </c>
      <c r="CDV3" s="10" t="s">
        <v>68</v>
      </c>
      <c r="CDW3" s="10" t="s">
        <v>67</v>
      </c>
      <c r="CDX3" s="10" t="s">
        <v>68</v>
      </c>
      <c r="CDY3" s="10" t="s">
        <v>67</v>
      </c>
      <c r="CDZ3" s="10" t="s">
        <v>68</v>
      </c>
      <c r="CEA3" s="10" t="s">
        <v>67</v>
      </c>
      <c r="CEB3" s="10" t="s">
        <v>68</v>
      </c>
      <c r="CEC3" s="10" t="s">
        <v>67</v>
      </c>
      <c r="CED3" s="10" t="s">
        <v>68</v>
      </c>
      <c r="CEE3" s="10" t="s">
        <v>67</v>
      </c>
      <c r="CEF3" s="10" t="s">
        <v>68</v>
      </c>
      <c r="CEG3" s="10" t="s">
        <v>67</v>
      </c>
      <c r="CEH3" s="10" t="s">
        <v>68</v>
      </c>
      <c r="CEI3" s="10" t="s">
        <v>67</v>
      </c>
      <c r="CEJ3" s="10" t="s">
        <v>68</v>
      </c>
      <c r="CEK3" s="10" t="s">
        <v>67</v>
      </c>
      <c r="CEL3" s="10" t="s">
        <v>68</v>
      </c>
      <c r="CEM3" s="10" t="s">
        <v>67</v>
      </c>
      <c r="CEN3" s="10" t="s">
        <v>68</v>
      </c>
      <c r="CEO3" s="10" t="s">
        <v>67</v>
      </c>
      <c r="CEP3" s="10" t="s">
        <v>68</v>
      </c>
      <c r="CEQ3" s="10" t="s">
        <v>67</v>
      </c>
      <c r="CER3" s="10" t="s">
        <v>68</v>
      </c>
      <c r="CES3" s="10" t="s">
        <v>67</v>
      </c>
      <c r="CET3" s="10" t="s">
        <v>68</v>
      </c>
      <c r="CEU3" s="10" t="s">
        <v>67</v>
      </c>
      <c r="CEV3" s="10" t="s">
        <v>68</v>
      </c>
      <c r="CEW3" s="10" t="s">
        <v>67</v>
      </c>
      <c r="CEX3" s="10" t="s">
        <v>68</v>
      </c>
      <c r="CEY3" s="10" t="s">
        <v>67</v>
      </c>
      <c r="CEZ3" s="10" t="s">
        <v>68</v>
      </c>
      <c r="CFA3" s="10" t="s">
        <v>67</v>
      </c>
      <c r="CFB3" s="10" t="s">
        <v>68</v>
      </c>
      <c r="CFC3" s="10" t="s">
        <v>67</v>
      </c>
      <c r="CFD3" s="10" t="s">
        <v>68</v>
      </c>
      <c r="CFE3" s="10" t="s">
        <v>67</v>
      </c>
      <c r="CFF3" s="10" t="s">
        <v>68</v>
      </c>
      <c r="CFG3" s="10" t="s">
        <v>67</v>
      </c>
      <c r="CFH3" s="10" t="s">
        <v>68</v>
      </c>
      <c r="CFI3" s="10" t="s">
        <v>67</v>
      </c>
      <c r="CFJ3" s="10" t="s">
        <v>68</v>
      </c>
      <c r="CFK3" s="10" t="s">
        <v>67</v>
      </c>
      <c r="CFL3" s="10" t="s">
        <v>68</v>
      </c>
      <c r="CFM3" s="10" t="s">
        <v>67</v>
      </c>
      <c r="CFN3" s="10" t="s">
        <v>68</v>
      </c>
      <c r="CFO3" s="10" t="s">
        <v>67</v>
      </c>
      <c r="CFP3" s="10" t="s">
        <v>68</v>
      </c>
      <c r="CFQ3" s="10" t="s">
        <v>67</v>
      </c>
      <c r="CFR3" s="10" t="s">
        <v>68</v>
      </c>
      <c r="CFS3" s="10" t="s">
        <v>67</v>
      </c>
      <c r="CFT3" s="10" t="s">
        <v>68</v>
      </c>
      <c r="CFU3" s="10" t="s">
        <v>67</v>
      </c>
      <c r="CFV3" s="10" t="s">
        <v>68</v>
      </c>
      <c r="CFW3" s="10" t="s">
        <v>67</v>
      </c>
      <c r="CFX3" s="10" t="s">
        <v>68</v>
      </c>
      <c r="CFY3" s="10" t="s">
        <v>67</v>
      </c>
      <c r="CFZ3" s="10" t="s">
        <v>68</v>
      </c>
      <c r="CGA3" s="10" t="s">
        <v>67</v>
      </c>
      <c r="CGB3" s="10" t="s">
        <v>68</v>
      </c>
      <c r="CGC3" s="10" t="s">
        <v>67</v>
      </c>
      <c r="CGD3" s="10" t="s">
        <v>68</v>
      </c>
      <c r="CGE3" s="10" t="s">
        <v>67</v>
      </c>
      <c r="CGF3" s="10" t="s">
        <v>68</v>
      </c>
      <c r="CGG3" s="10" t="s">
        <v>67</v>
      </c>
      <c r="CGH3" s="10" t="s">
        <v>68</v>
      </c>
      <c r="CGI3" s="10" t="s">
        <v>67</v>
      </c>
      <c r="CGJ3" s="10" t="s">
        <v>68</v>
      </c>
      <c r="CGK3" s="10" t="s">
        <v>67</v>
      </c>
      <c r="CGL3" s="10" t="s">
        <v>68</v>
      </c>
      <c r="CGM3" s="10" t="s">
        <v>67</v>
      </c>
      <c r="CGN3" s="10" t="s">
        <v>68</v>
      </c>
      <c r="CGO3" s="10" t="s">
        <v>67</v>
      </c>
      <c r="CGP3" s="10" t="s">
        <v>68</v>
      </c>
      <c r="CGQ3" s="10" t="s">
        <v>67</v>
      </c>
      <c r="CGR3" s="10" t="s">
        <v>68</v>
      </c>
      <c r="CGS3" s="10" t="s">
        <v>67</v>
      </c>
      <c r="CGT3" s="10" t="s">
        <v>68</v>
      </c>
      <c r="CGU3" s="10" t="s">
        <v>67</v>
      </c>
      <c r="CGV3" s="10" t="s">
        <v>68</v>
      </c>
      <c r="CGW3" s="10" t="s">
        <v>67</v>
      </c>
      <c r="CGX3" s="10" t="s">
        <v>68</v>
      </c>
      <c r="CGY3" s="10" t="s">
        <v>67</v>
      </c>
      <c r="CGZ3" s="10" t="s">
        <v>68</v>
      </c>
      <c r="CHA3" s="10" t="s">
        <v>67</v>
      </c>
      <c r="CHB3" s="10" t="s">
        <v>68</v>
      </c>
      <c r="CHC3" s="10" t="s">
        <v>67</v>
      </c>
      <c r="CHD3" s="10" t="s">
        <v>68</v>
      </c>
      <c r="CHE3" s="10" t="s">
        <v>67</v>
      </c>
      <c r="CHF3" s="10" t="s">
        <v>68</v>
      </c>
      <c r="CHG3" s="10" t="s">
        <v>67</v>
      </c>
      <c r="CHH3" s="10" t="s">
        <v>68</v>
      </c>
      <c r="CHI3" s="10" t="s">
        <v>67</v>
      </c>
      <c r="CHJ3" s="10" t="s">
        <v>68</v>
      </c>
      <c r="CHK3" s="10" t="s">
        <v>67</v>
      </c>
      <c r="CHL3" s="10" t="s">
        <v>68</v>
      </c>
      <c r="CHM3" s="10" t="s">
        <v>67</v>
      </c>
      <c r="CHN3" s="10" t="s">
        <v>68</v>
      </c>
      <c r="CHO3" s="10" t="s">
        <v>67</v>
      </c>
      <c r="CHP3" s="10" t="s">
        <v>68</v>
      </c>
      <c r="CHQ3" s="10" t="s">
        <v>67</v>
      </c>
      <c r="CHR3" s="10" t="s">
        <v>68</v>
      </c>
      <c r="CHS3" s="10" t="s">
        <v>67</v>
      </c>
      <c r="CHT3" s="10" t="s">
        <v>68</v>
      </c>
      <c r="CHU3" s="10" t="s">
        <v>67</v>
      </c>
      <c r="CHV3" s="10" t="s">
        <v>68</v>
      </c>
      <c r="CHW3" s="10" t="s">
        <v>67</v>
      </c>
      <c r="CHX3" s="10" t="s">
        <v>68</v>
      </c>
      <c r="CHY3" s="10" t="s">
        <v>67</v>
      </c>
      <c r="CHZ3" s="10" t="s">
        <v>68</v>
      </c>
      <c r="CIA3" s="10" t="s">
        <v>67</v>
      </c>
      <c r="CIB3" s="10" t="s">
        <v>68</v>
      </c>
      <c r="CIC3" s="10" t="s">
        <v>67</v>
      </c>
      <c r="CID3" s="10" t="s">
        <v>68</v>
      </c>
      <c r="CIE3" s="10" t="s">
        <v>67</v>
      </c>
      <c r="CIF3" s="10" t="s">
        <v>68</v>
      </c>
      <c r="CIG3" s="10" t="s">
        <v>67</v>
      </c>
      <c r="CIH3" s="10" t="s">
        <v>68</v>
      </c>
      <c r="CII3" s="10" t="s">
        <v>67</v>
      </c>
      <c r="CIJ3" s="10" t="s">
        <v>68</v>
      </c>
      <c r="CIK3" s="10" t="s">
        <v>67</v>
      </c>
      <c r="CIL3" s="10" t="s">
        <v>68</v>
      </c>
      <c r="CIM3" s="10" t="s">
        <v>67</v>
      </c>
      <c r="CIN3" s="10" t="s">
        <v>68</v>
      </c>
      <c r="CIO3" s="10" t="s">
        <v>67</v>
      </c>
      <c r="CIP3" s="10" t="s">
        <v>68</v>
      </c>
      <c r="CIQ3" s="10" t="s">
        <v>67</v>
      </c>
      <c r="CIR3" s="10" t="s">
        <v>68</v>
      </c>
      <c r="CIS3" s="10" t="s">
        <v>67</v>
      </c>
      <c r="CIT3" s="10" t="s">
        <v>68</v>
      </c>
      <c r="CIU3" s="10" t="s">
        <v>67</v>
      </c>
      <c r="CIV3" s="10" t="s">
        <v>68</v>
      </c>
      <c r="CIW3" s="10" t="s">
        <v>67</v>
      </c>
      <c r="CIX3" s="10" t="s">
        <v>68</v>
      </c>
      <c r="CIY3" s="10" t="s">
        <v>67</v>
      </c>
      <c r="CIZ3" s="10" t="s">
        <v>68</v>
      </c>
      <c r="CJA3" s="10" t="s">
        <v>67</v>
      </c>
      <c r="CJB3" s="10" t="s">
        <v>68</v>
      </c>
      <c r="CJC3" s="10" t="s">
        <v>67</v>
      </c>
      <c r="CJD3" s="10" t="s">
        <v>68</v>
      </c>
      <c r="CJE3" s="10" t="s">
        <v>67</v>
      </c>
      <c r="CJF3" s="10" t="s">
        <v>68</v>
      </c>
      <c r="CJG3" s="10" t="s">
        <v>67</v>
      </c>
      <c r="CJH3" s="10" t="s">
        <v>68</v>
      </c>
      <c r="CJI3" s="10" t="s">
        <v>67</v>
      </c>
      <c r="CJJ3" s="10" t="s">
        <v>68</v>
      </c>
      <c r="CJK3" s="10" t="s">
        <v>67</v>
      </c>
      <c r="CJL3" s="10" t="s">
        <v>68</v>
      </c>
      <c r="CJM3" s="10" t="s">
        <v>67</v>
      </c>
      <c r="CJN3" s="10" t="s">
        <v>68</v>
      </c>
      <c r="CJO3" s="10" t="s">
        <v>67</v>
      </c>
      <c r="CJP3" s="10" t="s">
        <v>68</v>
      </c>
      <c r="CJQ3" s="10" t="s">
        <v>67</v>
      </c>
      <c r="CJR3" s="10" t="s">
        <v>68</v>
      </c>
      <c r="CJS3" s="10" t="s">
        <v>67</v>
      </c>
      <c r="CJT3" s="10" t="s">
        <v>68</v>
      </c>
      <c r="CJU3" s="10" t="s">
        <v>67</v>
      </c>
      <c r="CJV3" s="10" t="s">
        <v>68</v>
      </c>
      <c r="CJW3" s="10" t="s">
        <v>67</v>
      </c>
      <c r="CJX3" s="10" t="s">
        <v>68</v>
      </c>
      <c r="CJY3" s="10" t="s">
        <v>67</v>
      </c>
      <c r="CJZ3" s="10" t="s">
        <v>68</v>
      </c>
      <c r="CKA3" s="10" t="s">
        <v>67</v>
      </c>
      <c r="CKB3" s="10" t="s">
        <v>68</v>
      </c>
      <c r="CKC3" s="10" t="s">
        <v>67</v>
      </c>
      <c r="CKD3" s="10" t="s">
        <v>68</v>
      </c>
      <c r="CKE3" s="10" t="s">
        <v>67</v>
      </c>
      <c r="CKF3" s="10" t="s">
        <v>68</v>
      </c>
      <c r="CKG3" s="10" t="s">
        <v>67</v>
      </c>
      <c r="CKH3" s="10" t="s">
        <v>68</v>
      </c>
      <c r="CKI3" s="10" t="s">
        <v>67</v>
      </c>
      <c r="CKJ3" s="10" t="s">
        <v>68</v>
      </c>
      <c r="CKK3" s="10" t="s">
        <v>67</v>
      </c>
      <c r="CKL3" s="10" t="s">
        <v>68</v>
      </c>
      <c r="CKM3" s="10" t="s">
        <v>67</v>
      </c>
      <c r="CKN3" s="10" t="s">
        <v>68</v>
      </c>
      <c r="CKO3" s="10" t="s">
        <v>67</v>
      </c>
      <c r="CKP3" s="10" t="s">
        <v>68</v>
      </c>
      <c r="CKQ3" s="10" t="s">
        <v>67</v>
      </c>
      <c r="CKR3" s="10" t="s">
        <v>68</v>
      </c>
      <c r="CKS3" s="10" t="s">
        <v>67</v>
      </c>
      <c r="CKT3" s="10" t="s">
        <v>68</v>
      </c>
      <c r="CKU3" s="10" t="s">
        <v>67</v>
      </c>
      <c r="CKV3" s="10" t="s">
        <v>68</v>
      </c>
      <c r="CKW3" s="10" t="s">
        <v>67</v>
      </c>
      <c r="CKX3" s="10" t="s">
        <v>68</v>
      </c>
      <c r="CKY3" s="10" t="s">
        <v>67</v>
      </c>
      <c r="CKZ3" s="10" t="s">
        <v>68</v>
      </c>
      <c r="CLA3" s="10" t="s">
        <v>67</v>
      </c>
      <c r="CLB3" s="10" t="s">
        <v>68</v>
      </c>
      <c r="CLC3" s="10" t="s">
        <v>67</v>
      </c>
      <c r="CLD3" s="10" t="s">
        <v>68</v>
      </c>
      <c r="CLE3" s="10" t="s">
        <v>67</v>
      </c>
      <c r="CLF3" s="10" t="s">
        <v>68</v>
      </c>
      <c r="CLG3" s="10" t="s">
        <v>67</v>
      </c>
      <c r="CLH3" s="10" t="s">
        <v>68</v>
      </c>
      <c r="CLI3" s="10" t="s">
        <v>67</v>
      </c>
      <c r="CLJ3" s="10" t="s">
        <v>68</v>
      </c>
      <c r="CLK3" s="10" t="s">
        <v>67</v>
      </c>
      <c r="CLL3" s="10" t="s">
        <v>68</v>
      </c>
      <c r="CLM3" s="10" t="s">
        <v>67</v>
      </c>
      <c r="CLN3" s="10" t="s">
        <v>68</v>
      </c>
      <c r="CLO3" s="10" t="s">
        <v>67</v>
      </c>
      <c r="CLP3" s="10" t="s">
        <v>68</v>
      </c>
      <c r="CLQ3" s="10" t="s">
        <v>67</v>
      </c>
      <c r="CLR3" s="10" t="s">
        <v>68</v>
      </c>
      <c r="CLS3" s="10" t="s">
        <v>67</v>
      </c>
      <c r="CLT3" s="10" t="s">
        <v>68</v>
      </c>
      <c r="CLU3" s="10" t="s">
        <v>67</v>
      </c>
      <c r="CLV3" s="10" t="s">
        <v>68</v>
      </c>
      <c r="CLW3" s="10" t="s">
        <v>67</v>
      </c>
      <c r="CLX3" s="10" t="s">
        <v>68</v>
      </c>
      <c r="CLY3" s="10" t="s">
        <v>67</v>
      </c>
      <c r="CLZ3" s="10" t="s">
        <v>68</v>
      </c>
      <c r="CMA3" s="10" t="s">
        <v>67</v>
      </c>
      <c r="CMB3" s="10" t="s">
        <v>68</v>
      </c>
      <c r="CMC3" s="10" t="s">
        <v>67</v>
      </c>
      <c r="CMD3" s="10" t="s">
        <v>68</v>
      </c>
      <c r="CME3" s="10" t="s">
        <v>67</v>
      </c>
      <c r="CMF3" s="10" t="s">
        <v>68</v>
      </c>
      <c r="CMG3" s="10" t="s">
        <v>67</v>
      </c>
      <c r="CMH3" s="10" t="s">
        <v>68</v>
      </c>
      <c r="CMI3" s="10" t="s">
        <v>67</v>
      </c>
      <c r="CMJ3" s="10" t="s">
        <v>68</v>
      </c>
      <c r="CMK3" s="10" t="s">
        <v>67</v>
      </c>
      <c r="CML3" s="10" t="s">
        <v>68</v>
      </c>
      <c r="CMM3" s="10" t="s">
        <v>67</v>
      </c>
      <c r="CMN3" s="10" t="s">
        <v>68</v>
      </c>
      <c r="CMO3" s="10" t="s">
        <v>67</v>
      </c>
      <c r="CMP3" s="10" t="s">
        <v>68</v>
      </c>
      <c r="CMQ3" s="10" t="s">
        <v>67</v>
      </c>
      <c r="CMR3" s="10" t="s">
        <v>68</v>
      </c>
      <c r="CMS3" s="10" t="s">
        <v>67</v>
      </c>
      <c r="CMT3" s="10" t="s">
        <v>68</v>
      </c>
      <c r="CMU3" s="10" t="s">
        <v>67</v>
      </c>
      <c r="CMV3" s="10" t="s">
        <v>68</v>
      </c>
      <c r="CMW3" s="10" t="s">
        <v>67</v>
      </c>
      <c r="CMX3" s="10" t="s">
        <v>68</v>
      </c>
      <c r="CMY3" s="10" t="s">
        <v>67</v>
      </c>
      <c r="CMZ3" s="10" t="s">
        <v>68</v>
      </c>
      <c r="CNA3" s="10" t="s">
        <v>67</v>
      </c>
      <c r="CNB3" s="10" t="s">
        <v>68</v>
      </c>
      <c r="CNC3" s="10" t="s">
        <v>67</v>
      </c>
      <c r="CND3" s="10" t="s">
        <v>68</v>
      </c>
      <c r="CNE3" s="10" t="s">
        <v>67</v>
      </c>
      <c r="CNF3" s="10" t="s">
        <v>68</v>
      </c>
      <c r="CNG3" s="10" t="s">
        <v>67</v>
      </c>
      <c r="CNH3" s="10" t="s">
        <v>68</v>
      </c>
      <c r="CNI3" s="10" t="s">
        <v>67</v>
      </c>
      <c r="CNJ3" s="10" t="s">
        <v>68</v>
      </c>
      <c r="CNK3" s="10" t="s">
        <v>67</v>
      </c>
      <c r="CNL3" s="10" t="s">
        <v>68</v>
      </c>
      <c r="CNM3" s="10" t="s">
        <v>67</v>
      </c>
      <c r="CNN3" s="10" t="s">
        <v>68</v>
      </c>
      <c r="CNO3" s="10" t="s">
        <v>67</v>
      </c>
      <c r="CNP3" s="10" t="s">
        <v>68</v>
      </c>
      <c r="CNQ3" s="10" t="s">
        <v>67</v>
      </c>
      <c r="CNR3" s="10" t="s">
        <v>68</v>
      </c>
      <c r="CNS3" s="10" t="s">
        <v>67</v>
      </c>
      <c r="CNT3" s="10" t="s">
        <v>68</v>
      </c>
      <c r="CNU3" s="10" t="s">
        <v>67</v>
      </c>
      <c r="CNV3" s="10" t="s">
        <v>68</v>
      </c>
      <c r="CNW3" s="10" t="s">
        <v>67</v>
      </c>
      <c r="CNX3" s="10" t="s">
        <v>68</v>
      </c>
      <c r="CNY3" s="10" t="s">
        <v>67</v>
      </c>
      <c r="CNZ3" s="10" t="s">
        <v>68</v>
      </c>
      <c r="COA3" s="10" t="s">
        <v>67</v>
      </c>
      <c r="COB3" s="10" t="s">
        <v>68</v>
      </c>
      <c r="COC3" s="10" t="s">
        <v>67</v>
      </c>
      <c r="COD3" s="10" t="s">
        <v>68</v>
      </c>
      <c r="COE3" s="10" t="s">
        <v>67</v>
      </c>
      <c r="COF3" s="10" t="s">
        <v>68</v>
      </c>
      <c r="COG3" s="10" t="s">
        <v>67</v>
      </c>
      <c r="COH3" s="10" t="s">
        <v>68</v>
      </c>
      <c r="COI3" s="10" t="s">
        <v>67</v>
      </c>
      <c r="COJ3" s="10" t="s">
        <v>68</v>
      </c>
      <c r="COK3" s="10" t="s">
        <v>67</v>
      </c>
      <c r="COL3" s="10" t="s">
        <v>68</v>
      </c>
      <c r="COM3" s="10" t="s">
        <v>67</v>
      </c>
      <c r="CON3" s="10" t="s">
        <v>68</v>
      </c>
      <c r="COO3" s="10" t="s">
        <v>67</v>
      </c>
      <c r="COP3" s="10" t="s">
        <v>68</v>
      </c>
      <c r="COQ3" s="10" t="s">
        <v>67</v>
      </c>
      <c r="COR3" s="10" t="s">
        <v>68</v>
      </c>
      <c r="COS3" s="10" t="s">
        <v>67</v>
      </c>
      <c r="COT3" s="10" t="s">
        <v>68</v>
      </c>
      <c r="COU3" s="10" t="s">
        <v>67</v>
      </c>
      <c r="COV3" s="10" t="s">
        <v>68</v>
      </c>
      <c r="COW3" s="10" t="s">
        <v>67</v>
      </c>
      <c r="COX3" s="10" t="s">
        <v>68</v>
      </c>
      <c r="COY3" s="10" t="s">
        <v>67</v>
      </c>
      <c r="COZ3" s="10" t="s">
        <v>68</v>
      </c>
      <c r="CPA3" s="10" t="s">
        <v>67</v>
      </c>
      <c r="CPB3" s="10" t="s">
        <v>68</v>
      </c>
      <c r="CPC3" s="10" t="s">
        <v>67</v>
      </c>
      <c r="CPD3" s="10" t="s">
        <v>68</v>
      </c>
      <c r="CPE3" s="10" t="s">
        <v>67</v>
      </c>
      <c r="CPF3" s="10" t="s">
        <v>68</v>
      </c>
      <c r="CPG3" s="10" t="s">
        <v>67</v>
      </c>
      <c r="CPH3" s="10" t="s">
        <v>68</v>
      </c>
      <c r="CPI3" s="10" t="s">
        <v>67</v>
      </c>
      <c r="CPJ3" s="10" t="s">
        <v>68</v>
      </c>
      <c r="CPK3" s="10" t="s">
        <v>67</v>
      </c>
      <c r="CPL3" s="10" t="s">
        <v>68</v>
      </c>
      <c r="CPM3" s="10" t="s">
        <v>67</v>
      </c>
      <c r="CPN3" s="10" t="s">
        <v>68</v>
      </c>
      <c r="CPO3" s="10" t="s">
        <v>67</v>
      </c>
      <c r="CPP3" s="10" t="s">
        <v>68</v>
      </c>
      <c r="CPQ3" s="10" t="s">
        <v>67</v>
      </c>
      <c r="CPR3" s="10" t="s">
        <v>68</v>
      </c>
      <c r="CPS3" s="10" t="s">
        <v>67</v>
      </c>
      <c r="CPT3" s="10" t="s">
        <v>68</v>
      </c>
      <c r="CPU3" s="10" t="s">
        <v>67</v>
      </c>
      <c r="CPV3" s="10" t="s">
        <v>68</v>
      </c>
      <c r="CPW3" s="10" t="s">
        <v>67</v>
      </c>
      <c r="CPX3" s="10" t="s">
        <v>68</v>
      </c>
      <c r="CPY3" s="10" t="s">
        <v>67</v>
      </c>
      <c r="CPZ3" s="10" t="s">
        <v>68</v>
      </c>
      <c r="CQA3" s="10" t="s">
        <v>67</v>
      </c>
      <c r="CQB3" s="10" t="s">
        <v>68</v>
      </c>
      <c r="CQC3" s="10" t="s">
        <v>67</v>
      </c>
      <c r="CQD3" s="10" t="s">
        <v>68</v>
      </c>
      <c r="CQE3" s="10" t="s">
        <v>67</v>
      </c>
      <c r="CQF3" s="10" t="s">
        <v>68</v>
      </c>
      <c r="CQG3" s="10" t="s">
        <v>67</v>
      </c>
      <c r="CQH3" s="10" t="s">
        <v>68</v>
      </c>
      <c r="CQI3" s="10" t="s">
        <v>67</v>
      </c>
      <c r="CQJ3" s="10" t="s">
        <v>68</v>
      </c>
      <c r="CQK3" s="10" t="s">
        <v>67</v>
      </c>
      <c r="CQL3" s="10" t="s">
        <v>68</v>
      </c>
      <c r="CQM3" s="10" t="s">
        <v>67</v>
      </c>
      <c r="CQN3" s="10" t="s">
        <v>68</v>
      </c>
      <c r="CQO3" s="10" t="s">
        <v>67</v>
      </c>
      <c r="CQP3" s="10" t="s">
        <v>68</v>
      </c>
      <c r="CQQ3" s="10" t="s">
        <v>67</v>
      </c>
      <c r="CQR3" s="10" t="s">
        <v>68</v>
      </c>
      <c r="CQS3" s="10" t="s">
        <v>67</v>
      </c>
      <c r="CQT3" s="10" t="s">
        <v>68</v>
      </c>
      <c r="CQU3" s="10" t="s">
        <v>67</v>
      </c>
      <c r="CQV3" s="10" t="s">
        <v>68</v>
      </c>
      <c r="CQW3" s="10" t="s">
        <v>67</v>
      </c>
      <c r="CQX3" s="10" t="s">
        <v>68</v>
      </c>
      <c r="CQY3" s="10" t="s">
        <v>67</v>
      </c>
      <c r="CQZ3" s="10" t="s">
        <v>68</v>
      </c>
      <c r="CRA3" s="10" t="s">
        <v>67</v>
      </c>
      <c r="CRB3" s="10" t="s">
        <v>68</v>
      </c>
      <c r="CRC3" s="10" t="s">
        <v>67</v>
      </c>
      <c r="CRD3" s="10" t="s">
        <v>68</v>
      </c>
      <c r="CRE3" s="10" t="s">
        <v>67</v>
      </c>
      <c r="CRF3" s="10" t="s">
        <v>68</v>
      </c>
      <c r="CRG3" s="10" t="s">
        <v>67</v>
      </c>
      <c r="CRH3" s="10" t="s">
        <v>68</v>
      </c>
      <c r="CRI3" s="10" t="s">
        <v>67</v>
      </c>
      <c r="CRJ3" s="10" t="s">
        <v>68</v>
      </c>
      <c r="CRK3" s="10" t="s">
        <v>67</v>
      </c>
      <c r="CRL3" s="10" t="s">
        <v>68</v>
      </c>
      <c r="CRM3" s="10" t="s">
        <v>67</v>
      </c>
      <c r="CRN3" s="10" t="s">
        <v>68</v>
      </c>
      <c r="CRO3" s="10" t="s">
        <v>67</v>
      </c>
      <c r="CRP3" s="10" t="s">
        <v>68</v>
      </c>
      <c r="CRQ3" s="10" t="s">
        <v>67</v>
      </c>
      <c r="CRR3" s="10" t="s">
        <v>68</v>
      </c>
      <c r="CRS3" s="10" t="s">
        <v>67</v>
      </c>
      <c r="CRT3" s="10" t="s">
        <v>68</v>
      </c>
      <c r="CRU3" s="10" t="s">
        <v>67</v>
      </c>
      <c r="CRV3" s="10" t="s">
        <v>68</v>
      </c>
      <c r="CRW3" s="10" t="s">
        <v>67</v>
      </c>
      <c r="CRX3" s="10" t="s">
        <v>68</v>
      </c>
      <c r="CRY3" s="10" t="s">
        <v>67</v>
      </c>
      <c r="CRZ3" s="10" t="s">
        <v>68</v>
      </c>
      <c r="CSA3" s="10" t="s">
        <v>67</v>
      </c>
      <c r="CSB3" s="10" t="s">
        <v>68</v>
      </c>
      <c r="CSC3" s="10" t="s">
        <v>67</v>
      </c>
      <c r="CSD3" s="10" t="s">
        <v>68</v>
      </c>
      <c r="CSE3" s="10" t="s">
        <v>67</v>
      </c>
      <c r="CSF3" s="10" t="s">
        <v>68</v>
      </c>
      <c r="CSG3" s="10" t="s">
        <v>67</v>
      </c>
      <c r="CSH3" s="10" t="s">
        <v>68</v>
      </c>
      <c r="CSI3" s="10" t="s">
        <v>67</v>
      </c>
      <c r="CSJ3" s="10" t="s">
        <v>68</v>
      </c>
      <c r="CSK3" s="10" t="s">
        <v>67</v>
      </c>
      <c r="CSL3" s="10" t="s">
        <v>68</v>
      </c>
      <c r="CSM3" s="10" t="s">
        <v>67</v>
      </c>
      <c r="CSN3" s="10" t="s">
        <v>68</v>
      </c>
      <c r="CSO3" s="10" t="s">
        <v>67</v>
      </c>
      <c r="CSP3" s="10" t="s">
        <v>68</v>
      </c>
      <c r="CSQ3" s="10" t="s">
        <v>67</v>
      </c>
      <c r="CSR3" s="10" t="s">
        <v>68</v>
      </c>
      <c r="CSS3" s="10" t="s">
        <v>67</v>
      </c>
      <c r="CST3" s="10" t="s">
        <v>68</v>
      </c>
      <c r="CSU3" s="10" t="s">
        <v>67</v>
      </c>
      <c r="CSV3" s="10" t="s">
        <v>68</v>
      </c>
      <c r="CSW3" s="10" t="s">
        <v>67</v>
      </c>
      <c r="CSX3" s="10" t="s">
        <v>68</v>
      </c>
      <c r="CSY3" s="10" t="s">
        <v>67</v>
      </c>
      <c r="CSZ3" s="10" t="s">
        <v>68</v>
      </c>
      <c r="CTA3" s="10" t="s">
        <v>67</v>
      </c>
      <c r="CTB3" s="10" t="s">
        <v>68</v>
      </c>
      <c r="CTC3" s="10" t="s">
        <v>67</v>
      </c>
      <c r="CTD3" s="10" t="s">
        <v>68</v>
      </c>
      <c r="CTE3" s="10" t="s">
        <v>67</v>
      </c>
      <c r="CTF3" s="10" t="s">
        <v>68</v>
      </c>
      <c r="CTG3" s="10" t="s">
        <v>67</v>
      </c>
      <c r="CTH3" s="10" t="s">
        <v>68</v>
      </c>
      <c r="CTI3" s="10" t="s">
        <v>67</v>
      </c>
      <c r="CTJ3" s="10" t="s">
        <v>68</v>
      </c>
      <c r="CTK3" s="10" t="s">
        <v>67</v>
      </c>
      <c r="CTL3" s="10" t="s">
        <v>68</v>
      </c>
      <c r="CTM3" s="10" t="s">
        <v>67</v>
      </c>
      <c r="CTN3" s="10" t="s">
        <v>68</v>
      </c>
      <c r="CTO3" s="10" t="s">
        <v>67</v>
      </c>
      <c r="CTP3" s="10" t="s">
        <v>68</v>
      </c>
      <c r="CTQ3" s="10" t="s">
        <v>67</v>
      </c>
      <c r="CTR3" s="10" t="s">
        <v>68</v>
      </c>
      <c r="CTS3" s="10" t="s">
        <v>67</v>
      </c>
      <c r="CTT3" s="10" t="s">
        <v>68</v>
      </c>
      <c r="CTU3" s="10" t="s">
        <v>67</v>
      </c>
      <c r="CTV3" s="10" t="s">
        <v>68</v>
      </c>
      <c r="CTW3" s="10" t="s">
        <v>67</v>
      </c>
      <c r="CTX3" s="10" t="s">
        <v>68</v>
      </c>
      <c r="CTY3" s="10" t="s">
        <v>67</v>
      </c>
      <c r="CTZ3" s="10" t="s">
        <v>68</v>
      </c>
      <c r="CUA3" s="10" t="s">
        <v>67</v>
      </c>
      <c r="CUB3" s="10" t="s">
        <v>68</v>
      </c>
      <c r="CUC3" s="10" t="s">
        <v>67</v>
      </c>
      <c r="CUD3" s="10" t="s">
        <v>68</v>
      </c>
      <c r="CUE3" s="10" t="s">
        <v>67</v>
      </c>
      <c r="CUF3" s="10" t="s">
        <v>68</v>
      </c>
      <c r="CUG3" s="10" t="s">
        <v>67</v>
      </c>
      <c r="CUH3" s="10" t="s">
        <v>68</v>
      </c>
      <c r="CUI3" s="10" t="s">
        <v>67</v>
      </c>
      <c r="CUJ3" s="10" t="s">
        <v>68</v>
      </c>
      <c r="CUK3" s="10" t="s">
        <v>67</v>
      </c>
      <c r="CUL3" s="10" t="s">
        <v>68</v>
      </c>
      <c r="CUM3" s="10" t="s">
        <v>67</v>
      </c>
      <c r="CUN3" s="10" t="s">
        <v>68</v>
      </c>
      <c r="CUO3" s="10" t="s">
        <v>67</v>
      </c>
      <c r="CUP3" s="10" t="s">
        <v>68</v>
      </c>
      <c r="CUQ3" s="10" t="s">
        <v>67</v>
      </c>
      <c r="CUR3" s="10" t="s">
        <v>68</v>
      </c>
      <c r="CUS3" s="10" t="s">
        <v>67</v>
      </c>
      <c r="CUT3" s="10" t="s">
        <v>68</v>
      </c>
      <c r="CUU3" s="10" t="s">
        <v>67</v>
      </c>
      <c r="CUV3" s="10" t="s">
        <v>68</v>
      </c>
      <c r="CUW3" s="10" t="s">
        <v>67</v>
      </c>
      <c r="CUX3" s="10" t="s">
        <v>68</v>
      </c>
      <c r="CUY3" s="10" t="s">
        <v>67</v>
      </c>
      <c r="CUZ3" s="10" t="s">
        <v>68</v>
      </c>
      <c r="CVA3" s="10" t="s">
        <v>67</v>
      </c>
      <c r="CVB3" s="10" t="s">
        <v>68</v>
      </c>
      <c r="CVC3" s="10" t="s">
        <v>67</v>
      </c>
      <c r="CVD3" s="10" t="s">
        <v>68</v>
      </c>
      <c r="CVE3" s="10" t="s">
        <v>67</v>
      </c>
      <c r="CVF3" s="10" t="s">
        <v>68</v>
      </c>
      <c r="CVG3" s="10" t="s">
        <v>67</v>
      </c>
      <c r="CVH3" s="10" t="s">
        <v>68</v>
      </c>
      <c r="CVI3" s="10" t="s">
        <v>67</v>
      </c>
      <c r="CVJ3" s="10" t="s">
        <v>68</v>
      </c>
      <c r="CVK3" s="10" t="s">
        <v>67</v>
      </c>
      <c r="CVL3" s="10" t="s">
        <v>68</v>
      </c>
      <c r="CVM3" s="10" t="s">
        <v>67</v>
      </c>
      <c r="CVN3" s="10" t="s">
        <v>68</v>
      </c>
      <c r="CVO3" s="10" t="s">
        <v>67</v>
      </c>
      <c r="CVP3" s="10" t="s">
        <v>68</v>
      </c>
      <c r="CVQ3" s="10" t="s">
        <v>67</v>
      </c>
      <c r="CVR3" s="10" t="s">
        <v>68</v>
      </c>
      <c r="CVS3" s="10" t="s">
        <v>67</v>
      </c>
      <c r="CVT3" s="10" t="s">
        <v>68</v>
      </c>
      <c r="CVU3" s="10" t="s">
        <v>67</v>
      </c>
      <c r="CVV3" s="10" t="s">
        <v>68</v>
      </c>
      <c r="CVW3" s="10" t="s">
        <v>67</v>
      </c>
      <c r="CVX3" s="10" t="s">
        <v>68</v>
      </c>
      <c r="CVY3" s="10" t="s">
        <v>67</v>
      </c>
      <c r="CVZ3" s="10" t="s">
        <v>68</v>
      </c>
      <c r="CWA3" s="10" t="s">
        <v>67</v>
      </c>
      <c r="CWB3" s="10" t="s">
        <v>68</v>
      </c>
      <c r="CWC3" s="10" t="s">
        <v>67</v>
      </c>
      <c r="CWD3" s="10" t="s">
        <v>68</v>
      </c>
      <c r="CWE3" s="10" t="s">
        <v>67</v>
      </c>
      <c r="CWF3" s="10" t="s">
        <v>68</v>
      </c>
      <c r="CWG3" s="10" t="s">
        <v>67</v>
      </c>
      <c r="CWH3" s="10" t="s">
        <v>68</v>
      </c>
      <c r="CWI3" s="10" t="s">
        <v>67</v>
      </c>
      <c r="CWJ3" s="10" t="s">
        <v>68</v>
      </c>
      <c r="CWK3" s="10" t="s">
        <v>67</v>
      </c>
      <c r="CWL3" s="10" t="s">
        <v>68</v>
      </c>
      <c r="CWM3" s="10" t="s">
        <v>67</v>
      </c>
      <c r="CWN3" s="10" t="s">
        <v>68</v>
      </c>
      <c r="CWO3" s="10" t="s">
        <v>67</v>
      </c>
      <c r="CWP3" s="10" t="s">
        <v>68</v>
      </c>
      <c r="CWQ3" s="10" t="s">
        <v>67</v>
      </c>
      <c r="CWR3" s="10" t="s">
        <v>68</v>
      </c>
      <c r="CWS3" s="10" t="s">
        <v>67</v>
      </c>
      <c r="CWT3" s="10" t="s">
        <v>68</v>
      </c>
      <c r="CWU3" s="10" t="s">
        <v>67</v>
      </c>
      <c r="CWV3" s="10" t="s">
        <v>68</v>
      </c>
      <c r="CWW3" s="10" t="s">
        <v>67</v>
      </c>
      <c r="CWX3" s="10" t="s">
        <v>68</v>
      </c>
      <c r="CWY3" s="10" t="s">
        <v>67</v>
      </c>
      <c r="CWZ3" s="10" t="s">
        <v>68</v>
      </c>
      <c r="CXA3" s="10" t="s">
        <v>67</v>
      </c>
      <c r="CXB3" s="10" t="s">
        <v>68</v>
      </c>
      <c r="CXC3" s="10" t="s">
        <v>67</v>
      </c>
      <c r="CXD3" s="10" t="s">
        <v>68</v>
      </c>
      <c r="CXE3" s="10" t="s">
        <v>67</v>
      </c>
      <c r="CXF3" s="10" t="s">
        <v>68</v>
      </c>
      <c r="CXG3" s="10" t="s">
        <v>67</v>
      </c>
      <c r="CXH3" s="10" t="s">
        <v>68</v>
      </c>
      <c r="CXI3" s="10" t="s">
        <v>67</v>
      </c>
      <c r="CXJ3" s="10" t="s">
        <v>68</v>
      </c>
      <c r="CXK3" s="10" t="s">
        <v>67</v>
      </c>
      <c r="CXL3" s="10" t="s">
        <v>68</v>
      </c>
      <c r="CXM3" s="10" t="s">
        <v>67</v>
      </c>
      <c r="CXN3" s="10" t="s">
        <v>68</v>
      </c>
      <c r="CXO3" s="10" t="s">
        <v>67</v>
      </c>
      <c r="CXP3" s="10" t="s">
        <v>68</v>
      </c>
      <c r="CXQ3" s="10" t="s">
        <v>67</v>
      </c>
      <c r="CXR3" s="10" t="s">
        <v>68</v>
      </c>
      <c r="CXS3" s="10" t="s">
        <v>67</v>
      </c>
      <c r="CXT3" s="10" t="s">
        <v>68</v>
      </c>
      <c r="CXU3" s="10" t="s">
        <v>67</v>
      </c>
      <c r="CXV3" s="10" t="s">
        <v>68</v>
      </c>
      <c r="CXW3" s="10" t="s">
        <v>67</v>
      </c>
      <c r="CXX3" s="10" t="s">
        <v>68</v>
      </c>
      <c r="CXY3" s="10" t="s">
        <v>67</v>
      </c>
      <c r="CXZ3" s="10" t="s">
        <v>68</v>
      </c>
      <c r="CYA3" s="10" t="s">
        <v>67</v>
      </c>
      <c r="CYB3" s="10" t="s">
        <v>68</v>
      </c>
      <c r="CYC3" s="10" t="s">
        <v>67</v>
      </c>
      <c r="CYD3" s="10" t="s">
        <v>68</v>
      </c>
      <c r="CYE3" s="10" t="s">
        <v>67</v>
      </c>
      <c r="CYF3" s="10" t="s">
        <v>68</v>
      </c>
      <c r="CYG3" s="10" t="s">
        <v>67</v>
      </c>
      <c r="CYH3" s="10" t="s">
        <v>68</v>
      </c>
      <c r="CYI3" s="10" t="s">
        <v>67</v>
      </c>
      <c r="CYJ3" s="10" t="s">
        <v>68</v>
      </c>
      <c r="CYK3" s="10" t="s">
        <v>67</v>
      </c>
      <c r="CYL3" s="10" t="s">
        <v>68</v>
      </c>
      <c r="CYM3" s="10" t="s">
        <v>67</v>
      </c>
      <c r="CYN3" s="10" t="s">
        <v>68</v>
      </c>
      <c r="CYO3" s="10" t="s">
        <v>67</v>
      </c>
      <c r="CYP3" s="10" t="s">
        <v>68</v>
      </c>
      <c r="CYQ3" s="10" t="s">
        <v>67</v>
      </c>
      <c r="CYR3" s="10" t="s">
        <v>68</v>
      </c>
      <c r="CYS3" s="10" t="s">
        <v>67</v>
      </c>
      <c r="CYT3" s="10" t="s">
        <v>68</v>
      </c>
      <c r="CYU3" s="10" t="s">
        <v>67</v>
      </c>
      <c r="CYV3" s="10" t="s">
        <v>68</v>
      </c>
      <c r="CYW3" s="10" t="s">
        <v>67</v>
      </c>
      <c r="CYX3" s="10" t="s">
        <v>68</v>
      </c>
      <c r="CYY3" s="10" t="s">
        <v>67</v>
      </c>
      <c r="CYZ3" s="10" t="s">
        <v>68</v>
      </c>
      <c r="CZA3" s="10" t="s">
        <v>67</v>
      </c>
      <c r="CZB3" s="10" t="s">
        <v>68</v>
      </c>
      <c r="CZC3" s="10" t="s">
        <v>67</v>
      </c>
      <c r="CZD3" s="10" t="s">
        <v>68</v>
      </c>
      <c r="CZE3" s="10" t="s">
        <v>67</v>
      </c>
      <c r="CZF3" s="10" t="s">
        <v>68</v>
      </c>
      <c r="CZG3" s="10" t="s">
        <v>67</v>
      </c>
      <c r="CZH3" s="10" t="s">
        <v>68</v>
      </c>
      <c r="CZI3" s="10" t="s">
        <v>67</v>
      </c>
      <c r="CZJ3" s="10" t="s">
        <v>68</v>
      </c>
      <c r="CZK3" s="10" t="s">
        <v>67</v>
      </c>
      <c r="CZL3" s="10" t="s">
        <v>68</v>
      </c>
      <c r="CZM3" s="10" t="s">
        <v>67</v>
      </c>
      <c r="CZN3" s="10" t="s">
        <v>68</v>
      </c>
      <c r="CZO3" s="10" t="s">
        <v>67</v>
      </c>
      <c r="CZP3" s="10" t="s">
        <v>68</v>
      </c>
      <c r="CZQ3" s="10" t="s">
        <v>67</v>
      </c>
      <c r="CZR3" s="10" t="s">
        <v>68</v>
      </c>
      <c r="CZS3" s="10" t="s">
        <v>67</v>
      </c>
      <c r="CZT3" s="10" t="s">
        <v>68</v>
      </c>
      <c r="CZU3" s="10" t="s">
        <v>67</v>
      </c>
      <c r="CZV3" s="10" t="s">
        <v>68</v>
      </c>
      <c r="CZW3" s="10" t="s">
        <v>67</v>
      </c>
      <c r="CZX3" s="10" t="s">
        <v>68</v>
      </c>
      <c r="CZY3" s="10" t="s">
        <v>67</v>
      </c>
      <c r="CZZ3" s="10" t="s">
        <v>68</v>
      </c>
      <c r="DAA3" s="10" t="s">
        <v>67</v>
      </c>
      <c r="DAB3" s="10" t="s">
        <v>68</v>
      </c>
      <c r="DAC3" s="10" t="s">
        <v>67</v>
      </c>
      <c r="DAD3" s="10" t="s">
        <v>68</v>
      </c>
      <c r="DAE3" s="10" t="s">
        <v>67</v>
      </c>
      <c r="DAF3" s="10" t="s">
        <v>68</v>
      </c>
      <c r="DAG3" s="10" t="s">
        <v>67</v>
      </c>
      <c r="DAH3" s="10" t="s">
        <v>68</v>
      </c>
      <c r="DAI3" s="10" t="s">
        <v>67</v>
      </c>
      <c r="DAJ3" s="10" t="s">
        <v>68</v>
      </c>
      <c r="DAK3" s="10" t="s">
        <v>67</v>
      </c>
      <c r="DAL3" s="10" t="s">
        <v>68</v>
      </c>
      <c r="DAM3" s="10" t="s">
        <v>67</v>
      </c>
      <c r="DAN3" s="10" t="s">
        <v>68</v>
      </c>
      <c r="DAO3" s="10" t="s">
        <v>67</v>
      </c>
      <c r="DAP3" s="10" t="s">
        <v>68</v>
      </c>
      <c r="DAQ3" s="10" t="s">
        <v>67</v>
      </c>
      <c r="DAR3" s="10" t="s">
        <v>68</v>
      </c>
      <c r="DAS3" s="10" t="s">
        <v>67</v>
      </c>
      <c r="DAT3" s="10" t="s">
        <v>68</v>
      </c>
      <c r="DAU3" s="10" t="s">
        <v>67</v>
      </c>
      <c r="DAV3" s="10" t="s">
        <v>68</v>
      </c>
      <c r="DAW3" s="10" t="s">
        <v>67</v>
      </c>
      <c r="DAX3" s="10" t="s">
        <v>68</v>
      </c>
      <c r="DAY3" s="10" t="s">
        <v>67</v>
      </c>
      <c r="DAZ3" s="10" t="s">
        <v>68</v>
      </c>
      <c r="DBA3" s="10" t="s">
        <v>67</v>
      </c>
      <c r="DBB3" s="10" t="s">
        <v>68</v>
      </c>
      <c r="DBC3" s="10" t="s">
        <v>67</v>
      </c>
      <c r="DBD3" s="10" t="s">
        <v>68</v>
      </c>
      <c r="DBE3" s="10" t="s">
        <v>67</v>
      </c>
      <c r="DBF3" s="10" t="s">
        <v>68</v>
      </c>
      <c r="DBG3" s="10" t="s">
        <v>67</v>
      </c>
      <c r="DBH3" s="10" t="s">
        <v>68</v>
      </c>
      <c r="DBI3" s="10" t="s">
        <v>67</v>
      </c>
      <c r="DBJ3" s="10" t="s">
        <v>68</v>
      </c>
      <c r="DBK3" s="10" t="s">
        <v>67</v>
      </c>
      <c r="DBL3" s="10" t="s">
        <v>68</v>
      </c>
      <c r="DBM3" s="10" t="s">
        <v>67</v>
      </c>
      <c r="DBN3" s="10" t="s">
        <v>68</v>
      </c>
      <c r="DBO3" s="10" t="s">
        <v>67</v>
      </c>
      <c r="DBP3" s="10" t="s">
        <v>68</v>
      </c>
      <c r="DBQ3" s="10" t="s">
        <v>67</v>
      </c>
      <c r="DBR3" s="10" t="s">
        <v>68</v>
      </c>
      <c r="DBS3" s="10" t="s">
        <v>67</v>
      </c>
      <c r="DBT3" s="10" t="s">
        <v>68</v>
      </c>
      <c r="DBU3" s="10" t="s">
        <v>67</v>
      </c>
      <c r="DBV3" s="10" t="s">
        <v>68</v>
      </c>
      <c r="DBW3" s="10" t="s">
        <v>67</v>
      </c>
      <c r="DBX3" s="10" t="s">
        <v>68</v>
      </c>
      <c r="DBY3" s="10" t="s">
        <v>67</v>
      </c>
      <c r="DBZ3" s="10" t="s">
        <v>68</v>
      </c>
      <c r="DCA3" s="10" t="s">
        <v>67</v>
      </c>
      <c r="DCB3" s="10" t="s">
        <v>68</v>
      </c>
      <c r="DCC3" s="10" t="s">
        <v>67</v>
      </c>
      <c r="DCD3" s="10" t="s">
        <v>68</v>
      </c>
      <c r="DCE3" s="10" t="s">
        <v>67</v>
      </c>
      <c r="DCF3" s="10" t="s">
        <v>68</v>
      </c>
      <c r="DCG3" s="10" t="s">
        <v>67</v>
      </c>
      <c r="DCH3" s="10" t="s">
        <v>68</v>
      </c>
      <c r="DCI3" s="10" t="s">
        <v>67</v>
      </c>
      <c r="DCJ3" s="10" t="s">
        <v>68</v>
      </c>
      <c r="DCK3" s="10" t="s">
        <v>67</v>
      </c>
      <c r="DCL3" s="10" t="s">
        <v>68</v>
      </c>
      <c r="DCM3" s="10" t="s">
        <v>67</v>
      </c>
      <c r="DCN3" s="10" t="s">
        <v>68</v>
      </c>
      <c r="DCO3" s="10" t="s">
        <v>67</v>
      </c>
      <c r="DCP3" s="10" t="s">
        <v>68</v>
      </c>
      <c r="DCQ3" s="10" t="s">
        <v>67</v>
      </c>
      <c r="DCR3" s="10" t="s">
        <v>68</v>
      </c>
      <c r="DCS3" s="10" t="s">
        <v>67</v>
      </c>
      <c r="DCT3" s="10" t="s">
        <v>68</v>
      </c>
      <c r="DCU3" s="10" t="s">
        <v>67</v>
      </c>
      <c r="DCV3" s="10" t="s">
        <v>68</v>
      </c>
      <c r="DCW3" s="10" t="s">
        <v>67</v>
      </c>
      <c r="DCX3" s="10" t="s">
        <v>68</v>
      </c>
      <c r="DCY3" s="10" t="s">
        <v>67</v>
      </c>
      <c r="DCZ3" s="10" t="s">
        <v>68</v>
      </c>
      <c r="DDA3" s="10" t="s">
        <v>67</v>
      </c>
      <c r="DDB3" s="10" t="s">
        <v>68</v>
      </c>
      <c r="DDC3" s="10" t="s">
        <v>67</v>
      </c>
      <c r="DDD3" s="10" t="s">
        <v>68</v>
      </c>
      <c r="DDE3" s="10" t="s">
        <v>67</v>
      </c>
      <c r="DDF3" s="10" t="s">
        <v>68</v>
      </c>
      <c r="DDG3" s="10" t="s">
        <v>67</v>
      </c>
      <c r="DDH3" s="10" t="s">
        <v>68</v>
      </c>
      <c r="DDI3" s="10" t="s">
        <v>67</v>
      </c>
      <c r="DDJ3" s="10" t="s">
        <v>68</v>
      </c>
      <c r="DDK3" s="10" t="s">
        <v>67</v>
      </c>
      <c r="DDL3" s="10" t="s">
        <v>68</v>
      </c>
      <c r="DDM3" s="10" t="s">
        <v>67</v>
      </c>
      <c r="DDN3" s="10" t="s">
        <v>68</v>
      </c>
      <c r="DDO3" s="10" t="s">
        <v>67</v>
      </c>
      <c r="DDP3" s="10" t="s">
        <v>68</v>
      </c>
      <c r="DDQ3" s="10" t="s">
        <v>67</v>
      </c>
      <c r="DDR3" s="10" t="s">
        <v>68</v>
      </c>
      <c r="DDS3" s="10" t="s">
        <v>67</v>
      </c>
      <c r="DDT3" s="10" t="s">
        <v>68</v>
      </c>
      <c r="DDU3" s="10" t="s">
        <v>67</v>
      </c>
      <c r="DDV3" s="10" t="s">
        <v>68</v>
      </c>
      <c r="DDW3" s="10" t="s">
        <v>67</v>
      </c>
      <c r="DDX3" s="10" t="s">
        <v>68</v>
      </c>
      <c r="DDY3" s="10" t="s">
        <v>67</v>
      </c>
      <c r="DDZ3" s="10" t="s">
        <v>68</v>
      </c>
      <c r="DEA3" s="10" t="s">
        <v>67</v>
      </c>
      <c r="DEB3" s="10" t="s">
        <v>68</v>
      </c>
      <c r="DEC3" s="10" t="s">
        <v>67</v>
      </c>
      <c r="DED3" s="10" t="s">
        <v>68</v>
      </c>
      <c r="DEE3" s="10" t="s">
        <v>67</v>
      </c>
      <c r="DEF3" s="10" t="s">
        <v>68</v>
      </c>
      <c r="DEG3" s="10" t="s">
        <v>67</v>
      </c>
      <c r="DEH3" s="10" t="s">
        <v>68</v>
      </c>
      <c r="DEI3" s="10" t="s">
        <v>67</v>
      </c>
      <c r="DEJ3" s="10" t="s">
        <v>68</v>
      </c>
      <c r="DEK3" s="10" t="s">
        <v>67</v>
      </c>
      <c r="DEL3" s="10" t="s">
        <v>68</v>
      </c>
      <c r="DEM3" s="10" t="s">
        <v>67</v>
      </c>
      <c r="DEN3" s="10" t="s">
        <v>68</v>
      </c>
      <c r="DEO3" s="10" t="s">
        <v>67</v>
      </c>
      <c r="DEP3" s="10" t="s">
        <v>68</v>
      </c>
      <c r="DEQ3" s="10" t="s">
        <v>67</v>
      </c>
      <c r="DER3" s="10" t="s">
        <v>68</v>
      </c>
      <c r="DES3" s="10" t="s">
        <v>67</v>
      </c>
      <c r="DET3" s="10" t="s">
        <v>68</v>
      </c>
      <c r="DEU3" s="10" t="s">
        <v>67</v>
      </c>
      <c r="DEV3" s="10" t="s">
        <v>68</v>
      </c>
      <c r="DEW3" s="10" t="s">
        <v>67</v>
      </c>
      <c r="DEX3" s="10" t="s">
        <v>68</v>
      </c>
      <c r="DEY3" s="10" t="s">
        <v>67</v>
      </c>
      <c r="DEZ3" s="10" t="s">
        <v>68</v>
      </c>
      <c r="DFA3" s="10" t="s">
        <v>67</v>
      </c>
      <c r="DFB3" s="10" t="s">
        <v>68</v>
      </c>
      <c r="DFC3" s="10" t="s">
        <v>67</v>
      </c>
      <c r="DFD3" s="10" t="s">
        <v>68</v>
      </c>
      <c r="DFE3" s="10" t="s">
        <v>67</v>
      </c>
      <c r="DFF3" s="10" t="s">
        <v>68</v>
      </c>
      <c r="DFG3" s="10" t="s">
        <v>67</v>
      </c>
      <c r="DFH3" s="10" t="s">
        <v>68</v>
      </c>
      <c r="DFI3" s="10" t="s">
        <v>67</v>
      </c>
      <c r="DFJ3" s="10" t="s">
        <v>68</v>
      </c>
      <c r="DFK3" s="10" t="s">
        <v>67</v>
      </c>
      <c r="DFL3" s="10" t="s">
        <v>68</v>
      </c>
      <c r="DFM3" s="10" t="s">
        <v>67</v>
      </c>
      <c r="DFN3" s="10" t="s">
        <v>68</v>
      </c>
      <c r="DFO3" s="10" t="s">
        <v>67</v>
      </c>
      <c r="DFP3" s="10" t="s">
        <v>68</v>
      </c>
      <c r="DFQ3" s="10" t="s">
        <v>67</v>
      </c>
      <c r="DFR3" s="10" t="s">
        <v>68</v>
      </c>
      <c r="DFS3" s="10" t="s">
        <v>67</v>
      </c>
      <c r="DFT3" s="10" t="s">
        <v>68</v>
      </c>
      <c r="DFU3" s="10" t="s">
        <v>67</v>
      </c>
      <c r="DFV3" s="10" t="s">
        <v>68</v>
      </c>
      <c r="DFW3" s="10" t="s">
        <v>67</v>
      </c>
      <c r="DFX3" s="10" t="s">
        <v>68</v>
      </c>
      <c r="DFY3" s="10" t="s">
        <v>67</v>
      </c>
      <c r="DFZ3" s="10" t="s">
        <v>68</v>
      </c>
      <c r="DGA3" s="10" t="s">
        <v>67</v>
      </c>
      <c r="DGB3" s="10" t="s">
        <v>68</v>
      </c>
      <c r="DGC3" s="10" t="s">
        <v>67</v>
      </c>
      <c r="DGD3" s="10" t="s">
        <v>68</v>
      </c>
      <c r="DGE3" s="10" t="s">
        <v>67</v>
      </c>
      <c r="DGF3" s="10" t="s">
        <v>68</v>
      </c>
      <c r="DGG3" s="10" t="s">
        <v>67</v>
      </c>
      <c r="DGH3" s="10" t="s">
        <v>68</v>
      </c>
      <c r="DGI3" s="10" t="s">
        <v>67</v>
      </c>
      <c r="DGJ3" s="10" t="s">
        <v>68</v>
      </c>
      <c r="DGK3" s="10" t="s">
        <v>67</v>
      </c>
      <c r="DGL3" s="10" t="s">
        <v>68</v>
      </c>
      <c r="DGM3" s="10" t="s">
        <v>67</v>
      </c>
      <c r="DGN3" s="10" t="s">
        <v>68</v>
      </c>
      <c r="DGO3" s="10" t="s">
        <v>67</v>
      </c>
      <c r="DGP3" s="10" t="s">
        <v>68</v>
      </c>
      <c r="DGQ3" s="10" t="s">
        <v>67</v>
      </c>
      <c r="DGR3" s="10" t="s">
        <v>68</v>
      </c>
      <c r="DGS3" s="10" t="s">
        <v>67</v>
      </c>
      <c r="DGT3" s="10" t="s">
        <v>68</v>
      </c>
      <c r="DGU3" s="10" t="s">
        <v>67</v>
      </c>
      <c r="DGV3" s="10" t="s">
        <v>68</v>
      </c>
      <c r="DGW3" s="10" t="s">
        <v>67</v>
      </c>
      <c r="DGX3" s="10" t="s">
        <v>68</v>
      </c>
      <c r="DGY3" s="10" t="s">
        <v>67</v>
      </c>
      <c r="DGZ3" s="10" t="s">
        <v>68</v>
      </c>
      <c r="DHA3" s="10" t="s">
        <v>67</v>
      </c>
      <c r="DHB3" s="10" t="s">
        <v>68</v>
      </c>
      <c r="DHC3" s="10" t="s">
        <v>67</v>
      </c>
      <c r="DHD3" s="10" t="s">
        <v>68</v>
      </c>
      <c r="DHE3" s="10" t="s">
        <v>67</v>
      </c>
      <c r="DHF3" s="10" t="s">
        <v>68</v>
      </c>
      <c r="DHG3" s="10" t="s">
        <v>67</v>
      </c>
      <c r="DHH3" s="10" t="s">
        <v>68</v>
      </c>
      <c r="DHI3" s="10" t="s">
        <v>67</v>
      </c>
      <c r="DHJ3" s="10" t="s">
        <v>68</v>
      </c>
      <c r="DHK3" s="10" t="s">
        <v>67</v>
      </c>
      <c r="DHL3" s="10" t="s">
        <v>68</v>
      </c>
      <c r="DHM3" s="10" t="s">
        <v>67</v>
      </c>
      <c r="DHN3" s="10" t="s">
        <v>68</v>
      </c>
      <c r="DHO3" s="10" t="s">
        <v>67</v>
      </c>
      <c r="DHP3" s="10" t="s">
        <v>68</v>
      </c>
      <c r="DHQ3" s="10" t="s">
        <v>67</v>
      </c>
      <c r="DHR3" s="10" t="s">
        <v>68</v>
      </c>
      <c r="DHS3" s="10" t="s">
        <v>67</v>
      </c>
      <c r="DHT3" s="10" t="s">
        <v>68</v>
      </c>
      <c r="DHU3" s="10" t="s">
        <v>67</v>
      </c>
      <c r="DHV3" s="10" t="s">
        <v>68</v>
      </c>
      <c r="DHW3" s="10" t="s">
        <v>67</v>
      </c>
      <c r="DHX3" s="10" t="s">
        <v>68</v>
      </c>
      <c r="DHY3" s="10" t="s">
        <v>67</v>
      </c>
      <c r="DHZ3" s="10" t="s">
        <v>68</v>
      </c>
      <c r="DIA3" s="10" t="s">
        <v>67</v>
      </c>
      <c r="DIB3" s="10" t="s">
        <v>68</v>
      </c>
      <c r="DIC3" s="10" t="s">
        <v>67</v>
      </c>
      <c r="DID3" s="10" t="s">
        <v>68</v>
      </c>
      <c r="DIE3" s="10" t="s">
        <v>67</v>
      </c>
      <c r="DIF3" s="10" t="s">
        <v>68</v>
      </c>
      <c r="DIG3" s="10" t="s">
        <v>67</v>
      </c>
      <c r="DIH3" s="10" t="s">
        <v>68</v>
      </c>
      <c r="DII3" s="10" t="s">
        <v>67</v>
      </c>
      <c r="DIJ3" s="10" t="s">
        <v>68</v>
      </c>
      <c r="DIK3" s="10" t="s">
        <v>67</v>
      </c>
      <c r="DIL3" s="10" t="s">
        <v>68</v>
      </c>
      <c r="DIM3" s="10" t="s">
        <v>67</v>
      </c>
      <c r="DIN3" s="10" t="s">
        <v>68</v>
      </c>
      <c r="DIO3" s="10" t="s">
        <v>67</v>
      </c>
      <c r="DIP3" s="10" t="s">
        <v>68</v>
      </c>
      <c r="DIQ3" s="10" t="s">
        <v>67</v>
      </c>
      <c r="DIR3" s="10" t="s">
        <v>68</v>
      </c>
      <c r="DIS3" s="10" t="s">
        <v>67</v>
      </c>
      <c r="DIT3" s="10" t="s">
        <v>68</v>
      </c>
      <c r="DIU3" s="10" t="s">
        <v>67</v>
      </c>
      <c r="DIV3" s="10" t="s">
        <v>68</v>
      </c>
      <c r="DIW3" s="10" t="s">
        <v>67</v>
      </c>
      <c r="DIX3" s="10" t="s">
        <v>68</v>
      </c>
      <c r="DIY3" s="10" t="s">
        <v>67</v>
      </c>
      <c r="DIZ3" s="10" t="s">
        <v>68</v>
      </c>
      <c r="DJA3" s="10" t="s">
        <v>67</v>
      </c>
      <c r="DJB3" s="10" t="s">
        <v>68</v>
      </c>
      <c r="DJC3" s="10" t="s">
        <v>67</v>
      </c>
      <c r="DJD3" s="10" t="s">
        <v>68</v>
      </c>
      <c r="DJE3" s="10" t="s">
        <v>67</v>
      </c>
      <c r="DJF3" s="10" t="s">
        <v>68</v>
      </c>
      <c r="DJG3" s="10" t="s">
        <v>67</v>
      </c>
      <c r="DJH3" s="10" t="s">
        <v>68</v>
      </c>
      <c r="DJI3" s="10" t="s">
        <v>67</v>
      </c>
      <c r="DJJ3" s="10" t="s">
        <v>68</v>
      </c>
      <c r="DJK3" s="10" t="s">
        <v>67</v>
      </c>
      <c r="DJL3" s="10" t="s">
        <v>68</v>
      </c>
      <c r="DJM3" s="10" t="s">
        <v>67</v>
      </c>
      <c r="DJN3" s="10" t="s">
        <v>68</v>
      </c>
      <c r="DJO3" s="10" t="s">
        <v>67</v>
      </c>
      <c r="DJP3" s="10" t="s">
        <v>68</v>
      </c>
      <c r="DJQ3" s="10" t="s">
        <v>67</v>
      </c>
      <c r="DJR3" s="10" t="s">
        <v>68</v>
      </c>
      <c r="DJS3" s="10" t="s">
        <v>67</v>
      </c>
      <c r="DJT3" s="10" t="s">
        <v>68</v>
      </c>
      <c r="DJU3" s="10" t="s">
        <v>67</v>
      </c>
      <c r="DJV3" s="10" t="s">
        <v>68</v>
      </c>
      <c r="DJW3" s="10" t="s">
        <v>67</v>
      </c>
      <c r="DJX3" s="10" t="s">
        <v>68</v>
      </c>
      <c r="DJY3" s="10" t="s">
        <v>67</v>
      </c>
      <c r="DJZ3" s="10" t="s">
        <v>68</v>
      </c>
      <c r="DKA3" s="10" t="s">
        <v>67</v>
      </c>
      <c r="DKB3" s="10" t="s">
        <v>68</v>
      </c>
      <c r="DKC3" s="10" t="s">
        <v>67</v>
      </c>
      <c r="DKD3" s="10" t="s">
        <v>68</v>
      </c>
      <c r="DKE3" s="10" t="s">
        <v>67</v>
      </c>
      <c r="DKF3" s="10" t="s">
        <v>68</v>
      </c>
      <c r="DKG3" s="10" t="s">
        <v>67</v>
      </c>
      <c r="DKH3" s="10" t="s">
        <v>68</v>
      </c>
      <c r="DKI3" s="10" t="s">
        <v>67</v>
      </c>
      <c r="DKJ3" s="10" t="s">
        <v>68</v>
      </c>
      <c r="DKK3" s="10" t="s">
        <v>67</v>
      </c>
      <c r="DKL3" s="10" t="s">
        <v>68</v>
      </c>
      <c r="DKM3" s="10" t="s">
        <v>67</v>
      </c>
      <c r="DKN3" s="10" t="s">
        <v>68</v>
      </c>
      <c r="DKO3" s="10" t="s">
        <v>67</v>
      </c>
      <c r="DKP3" s="10" t="s">
        <v>68</v>
      </c>
      <c r="DKQ3" s="10" t="s">
        <v>67</v>
      </c>
      <c r="DKR3" s="10" t="s">
        <v>68</v>
      </c>
      <c r="DKS3" s="10" t="s">
        <v>67</v>
      </c>
      <c r="DKT3" s="10" t="s">
        <v>68</v>
      </c>
      <c r="DKU3" s="10" t="s">
        <v>67</v>
      </c>
      <c r="DKV3" s="10" t="s">
        <v>68</v>
      </c>
      <c r="DKW3" s="10" t="s">
        <v>67</v>
      </c>
      <c r="DKX3" s="10" t="s">
        <v>68</v>
      </c>
      <c r="DKY3" s="10" t="s">
        <v>67</v>
      </c>
      <c r="DKZ3" s="10" t="s">
        <v>68</v>
      </c>
      <c r="DLA3" s="10" t="s">
        <v>67</v>
      </c>
      <c r="DLB3" s="10" t="s">
        <v>68</v>
      </c>
      <c r="DLC3" s="10" t="s">
        <v>67</v>
      </c>
      <c r="DLD3" s="10" t="s">
        <v>68</v>
      </c>
      <c r="DLE3" s="10" t="s">
        <v>67</v>
      </c>
      <c r="DLF3" s="10" t="s">
        <v>68</v>
      </c>
      <c r="DLG3" s="10" t="s">
        <v>67</v>
      </c>
      <c r="DLH3" s="10" t="s">
        <v>68</v>
      </c>
      <c r="DLI3" s="10" t="s">
        <v>67</v>
      </c>
      <c r="DLJ3" s="10" t="s">
        <v>68</v>
      </c>
      <c r="DLK3" s="10" t="s">
        <v>67</v>
      </c>
      <c r="DLL3" s="10" t="s">
        <v>68</v>
      </c>
      <c r="DLM3" s="10" t="s">
        <v>67</v>
      </c>
      <c r="DLN3" s="10" t="s">
        <v>68</v>
      </c>
      <c r="DLO3" s="10" t="s">
        <v>67</v>
      </c>
      <c r="DLP3" s="10" t="s">
        <v>68</v>
      </c>
      <c r="DLQ3" s="10" t="s">
        <v>67</v>
      </c>
      <c r="DLR3" s="10" t="s">
        <v>68</v>
      </c>
      <c r="DLS3" s="10" t="s">
        <v>67</v>
      </c>
      <c r="DLT3" s="10" t="s">
        <v>68</v>
      </c>
      <c r="DLU3" s="10" t="s">
        <v>67</v>
      </c>
      <c r="DLV3" s="10" t="s">
        <v>68</v>
      </c>
      <c r="DLW3" s="10" t="s">
        <v>67</v>
      </c>
      <c r="DLX3" s="10" t="s">
        <v>68</v>
      </c>
      <c r="DLY3" s="10" t="s">
        <v>67</v>
      </c>
      <c r="DLZ3" s="10" t="s">
        <v>68</v>
      </c>
      <c r="DMA3" s="10" t="s">
        <v>67</v>
      </c>
      <c r="DMB3" s="10" t="s">
        <v>68</v>
      </c>
      <c r="DMC3" s="10" t="s">
        <v>67</v>
      </c>
      <c r="DMD3" s="10" t="s">
        <v>68</v>
      </c>
      <c r="DME3" s="10" t="s">
        <v>67</v>
      </c>
      <c r="DMF3" s="10" t="s">
        <v>68</v>
      </c>
      <c r="DMG3" s="10" t="s">
        <v>67</v>
      </c>
      <c r="DMH3" s="10" t="s">
        <v>68</v>
      </c>
      <c r="DMI3" s="10" t="s">
        <v>67</v>
      </c>
      <c r="DMJ3" s="10" t="s">
        <v>68</v>
      </c>
      <c r="DMK3" s="10" t="s">
        <v>67</v>
      </c>
      <c r="DML3" s="10" t="s">
        <v>68</v>
      </c>
      <c r="DMM3" s="10" t="s">
        <v>67</v>
      </c>
      <c r="DMN3" s="10" t="s">
        <v>68</v>
      </c>
      <c r="DMO3" s="10" t="s">
        <v>67</v>
      </c>
      <c r="DMP3" s="10" t="s">
        <v>68</v>
      </c>
      <c r="DMQ3" s="10" t="s">
        <v>67</v>
      </c>
      <c r="DMR3" s="10" t="s">
        <v>68</v>
      </c>
      <c r="DMS3" s="10" t="s">
        <v>67</v>
      </c>
      <c r="DMT3" s="10" t="s">
        <v>68</v>
      </c>
      <c r="DMU3" s="10" t="s">
        <v>67</v>
      </c>
      <c r="DMV3" s="10" t="s">
        <v>68</v>
      </c>
      <c r="DMW3" s="10" t="s">
        <v>67</v>
      </c>
      <c r="DMX3" s="10" t="s">
        <v>68</v>
      </c>
      <c r="DMY3" s="10" t="s">
        <v>67</v>
      </c>
      <c r="DMZ3" s="10" t="s">
        <v>68</v>
      </c>
      <c r="DNA3" s="10" t="s">
        <v>67</v>
      </c>
      <c r="DNB3" s="10" t="s">
        <v>68</v>
      </c>
      <c r="DNC3" s="10" t="s">
        <v>67</v>
      </c>
      <c r="DND3" s="10" t="s">
        <v>68</v>
      </c>
      <c r="DNE3" s="10" t="s">
        <v>67</v>
      </c>
      <c r="DNF3" s="10" t="s">
        <v>68</v>
      </c>
      <c r="DNG3" s="10" t="s">
        <v>67</v>
      </c>
      <c r="DNH3" s="10" t="s">
        <v>68</v>
      </c>
      <c r="DNI3" s="10" t="s">
        <v>67</v>
      </c>
      <c r="DNJ3" s="10" t="s">
        <v>68</v>
      </c>
      <c r="DNK3" s="10" t="s">
        <v>67</v>
      </c>
      <c r="DNL3" s="10" t="s">
        <v>68</v>
      </c>
      <c r="DNM3" s="10" t="s">
        <v>67</v>
      </c>
      <c r="DNN3" s="10" t="s">
        <v>68</v>
      </c>
      <c r="DNO3" s="10" t="s">
        <v>67</v>
      </c>
      <c r="DNP3" s="10" t="s">
        <v>68</v>
      </c>
      <c r="DNQ3" s="10" t="s">
        <v>67</v>
      </c>
      <c r="DNR3" s="10" t="s">
        <v>68</v>
      </c>
      <c r="DNS3" s="10" t="s">
        <v>67</v>
      </c>
      <c r="DNT3" s="10" t="s">
        <v>68</v>
      </c>
      <c r="DNU3" s="10" t="s">
        <v>67</v>
      </c>
      <c r="DNV3" s="10" t="s">
        <v>68</v>
      </c>
      <c r="DNW3" s="10" t="s">
        <v>67</v>
      </c>
      <c r="DNX3" s="10" t="s">
        <v>68</v>
      </c>
      <c r="DNY3" s="10" t="s">
        <v>67</v>
      </c>
      <c r="DNZ3" s="10" t="s">
        <v>68</v>
      </c>
      <c r="DOA3" s="10" t="s">
        <v>67</v>
      </c>
      <c r="DOB3" s="10" t="s">
        <v>68</v>
      </c>
      <c r="DOC3" s="10" t="s">
        <v>67</v>
      </c>
      <c r="DOD3" s="10" t="s">
        <v>68</v>
      </c>
      <c r="DOE3" s="10" t="s">
        <v>67</v>
      </c>
      <c r="DOF3" s="10" t="s">
        <v>68</v>
      </c>
      <c r="DOG3" s="10" t="s">
        <v>67</v>
      </c>
      <c r="DOH3" s="10" t="s">
        <v>68</v>
      </c>
      <c r="DOI3" s="10" t="s">
        <v>67</v>
      </c>
      <c r="DOJ3" s="10" t="s">
        <v>68</v>
      </c>
      <c r="DOK3" s="10" t="s">
        <v>67</v>
      </c>
      <c r="DOL3" s="10" t="s">
        <v>68</v>
      </c>
      <c r="DOM3" s="10" t="s">
        <v>67</v>
      </c>
      <c r="DON3" s="10" t="s">
        <v>68</v>
      </c>
      <c r="DOO3" s="10" t="s">
        <v>67</v>
      </c>
      <c r="DOP3" s="10" t="s">
        <v>68</v>
      </c>
      <c r="DOQ3" s="10" t="s">
        <v>67</v>
      </c>
      <c r="DOR3" s="10" t="s">
        <v>68</v>
      </c>
      <c r="DOS3" s="10" t="s">
        <v>67</v>
      </c>
      <c r="DOT3" s="10" t="s">
        <v>68</v>
      </c>
      <c r="DOU3" s="10" t="s">
        <v>67</v>
      </c>
      <c r="DOV3" s="10" t="s">
        <v>68</v>
      </c>
      <c r="DOW3" s="10" t="s">
        <v>67</v>
      </c>
      <c r="DOX3" s="10" t="s">
        <v>68</v>
      </c>
      <c r="DOY3" s="10" t="s">
        <v>67</v>
      </c>
      <c r="DOZ3" s="10" t="s">
        <v>68</v>
      </c>
      <c r="DPA3" s="10" t="s">
        <v>67</v>
      </c>
      <c r="DPB3" s="10" t="s">
        <v>68</v>
      </c>
      <c r="DPC3" s="10" t="s">
        <v>67</v>
      </c>
      <c r="DPD3" s="10" t="s">
        <v>68</v>
      </c>
      <c r="DPE3" s="10" t="s">
        <v>67</v>
      </c>
      <c r="DPF3" s="10" t="s">
        <v>68</v>
      </c>
      <c r="DPG3" s="10" t="s">
        <v>67</v>
      </c>
      <c r="DPH3" s="10" t="s">
        <v>68</v>
      </c>
      <c r="DPI3" s="10" t="s">
        <v>67</v>
      </c>
      <c r="DPJ3" s="10" t="s">
        <v>68</v>
      </c>
      <c r="DPK3" s="10" t="s">
        <v>67</v>
      </c>
      <c r="DPL3" s="10" t="s">
        <v>68</v>
      </c>
      <c r="DPM3" s="10" t="s">
        <v>67</v>
      </c>
      <c r="DPN3" s="10" t="s">
        <v>68</v>
      </c>
      <c r="DPO3" s="10" t="s">
        <v>67</v>
      </c>
      <c r="DPP3" s="10" t="s">
        <v>68</v>
      </c>
      <c r="DPQ3" s="10" t="s">
        <v>67</v>
      </c>
      <c r="DPR3" s="10" t="s">
        <v>68</v>
      </c>
      <c r="DPS3" s="10" t="s">
        <v>67</v>
      </c>
      <c r="DPT3" s="10" t="s">
        <v>68</v>
      </c>
      <c r="DPU3" s="10" t="s">
        <v>67</v>
      </c>
      <c r="DPV3" s="10" t="s">
        <v>68</v>
      </c>
      <c r="DPW3" s="10" t="s">
        <v>67</v>
      </c>
      <c r="DPX3" s="10" t="s">
        <v>68</v>
      </c>
      <c r="DPY3" s="10" t="s">
        <v>67</v>
      </c>
      <c r="DPZ3" s="10" t="s">
        <v>68</v>
      </c>
      <c r="DQA3" s="10" t="s">
        <v>67</v>
      </c>
      <c r="DQB3" s="10" t="s">
        <v>68</v>
      </c>
      <c r="DQC3" s="10" t="s">
        <v>67</v>
      </c>
      <c r="DQD3" s="10" t="s">
        <v>68</v>
      </c>
      <c r="DQE3" s="10" t="s">
        <v>67</v>
      </c>
      <c r="DQF3" s="10" t="s">
        <v>68</v>
      </c>
      <c r="DQG3" s="10" t="s">
        <v>67</v>
      </c>
      <c r="DQH3" s="10" t="s">
        <v>68</v>
      </c>
      <c r="DQI3" s="10" t="s">
        <v>67</v>
      </c>
      <c r="DQJ3" s="10" t="s">
        <v>68</v>
      </c>
      <c r="DQK3" s="10" t="s">
        <v>67</v>
      </c>
      <c r="DQL3" s="10" t="s">
        <v>68</v>
      </c>
      <c r="DQM3" s="10" t="s">
        <v>67</v>
      </c>
      <c r="DQN3" s="10" t="s">
        <v>68</v>
      </c>
      <c r="DQO3" s="10" t="s">
        <v>67</v>
      </c>
      <c r="DQP3" s="10" t="s">
        <v>68</v>
      </c>
      <c r="DQQ3" s="10" t="s">
        <v>67</v>
      </c>
      <c r="DQR3" s="10" t="s">
        <v>68</v>
      </c>
      <c r="DQS3" s="10" t="s">
        <v>67</v>
      </c>
      <c r="DQT3" s="10" t="s">
        <v>68</v>
      </c>
      <c r="DQU3" s="10" t="s">
        <v>67</v>
      </c>
      <c r="DQV3" s="10" t="s">
        <v>68</v>
      </c>
      <c r="DQW3" s="10" t="s">
        <v>67</v>
      </c>
      <c r="DQX3" s="10" t="s">
        <v>68</v>
      </c>
      <c r="DQY3" s="10" t="s">
        <v>67</v>
      </c>
      <c r="DQZ3" s="10" t="s">
        <v>68</v>
      </c>
      <c r="DRA3" s="10" t="s">
        <v>67</v>
      </c>
      <c r="DRB3" s="10" t="s">
        <v>68</v>
      </c>
      <c r="DRC3" s="10" t="s">
        <v>67</v>
      </c>
      <c r="DRD3" s="10" t="s">
        <v>68</v>
      </c>
      <c r="DRE3" s="10" t="s">
        <v>67</v>
      </c>
      <c r="DRF3" s="10" t="s">
        <v>68</v>
      </c>
      <c r="DRG3" s="10" t="s">
        <v>67</v>
      </c>
      <c r="DRH3" s="10" t="s">
        <v>68</v>
      </c>
      <c r="DRI3" s="10" t="s">
        <v>67</v>
      </c>
      <c r="DRJ3" s="10" t="s">
        <v>68</v>
      </c>
      <c r="DRK3" s="10" t="s">
        <v>67</v>
      </c>
      <c r="DRL3" s="10" t="s">
        <v>68</v>
      </c>
      <c r="DRM3" s="10" t="s">
        <v>67</v>
      </c>
      <c r="DRN3" s="10" t="s">
        <v>68</v>
      </c>
      <c r="DRO3" s="10" t="s">
        <v>67</v>
      </c>
      <c r="DRP3" s="10" t="s">
        <v>68</v>
      </c>
      <c r="DRQ3" s="10" t="s">
        <v>67</v>
      </c>
      <c r="DRR3" s="10" t="s">
        <v>68</v>
      </c>
      <c r="DRS3" s="10" t="s">
        <v>67</v>
      </c>
      <c r="DRT3" s="10" t="s">
        <v>68</v>
      </c>
      <c r="DRU3" s="10" t="s">
        <v>67</v>
      </c>
      <c r="DRV3" s="10" t="s">
        <v>68</v>
      </c>
      <c r="DRW3" s="10" t="s">
        <v>67</v>
      </c>
      <c r="DRX3" s="10" t="s">
        <v>68</v>
      </c>
      <c r="DRY3" s="10" t="s">
        <v>67</v>
      </c>
      <c r="DRZ3" s="10" t="s">
        <v>68</v>
      </c>
      <c r="DSA3" s="10" t="s">
        <v>67</v>
      </c>
      <c r="DSB3" s="10" t="s">
        <v>68</v>
      </c>
      <c r="DSC3" s="10" t="s">
        <v>67</v>
      </c>
      <c r="DSD3" s="10" t="s">
        <v>68</v>
      </c>
      <c r="DSE3" s="10" t="s">
        <v>67</v>
      </c>
      <c r="DSF3" s="10" t="s">
        <v>68</v>
      </c>
      <c r="DSG3" s="10" t="s">
        <v>67</v>
      </c>
      <c r="DSH3" s="10" t="s">
        <v>68</v>
      </c>
      <c r="DSI3" s="10" t="s">
        <v>67</v>
      </c>
      <c r="DSJ3" s="10" t="s">
        <v>68</v>
      </c>
      <c r="DSK3" s="10" t="s">
        <v>67</v>
      </c>
      <c r="DSL3" s="10" t="s">
        <v>68</v>
      </c>
      <c r="DSM3" s="10" t="s">
        <v>67</v>
      </c>
      <c r="DSN3" s="10" t="s">
        <v>68</v>
      </c>
      <c r="DSO3" s="10" t="s">
        <v>67</v>
      </c>
      <c r="DSP3" s="10" t="s">
        <v>68</v>
      </c>
      <c r="DSQ3" s="10" t="s">
        <v>67</v>
      </c>
      <c r="DSR3" s="10" t="s">
        <v>68</v>
      </c>
      <c r="DSS3" s="10" t="s">
        <v>67</v>
      </c>
      <c r="DST3" s="10" t="s">
        <v>68</v>
      </c>
      <c r="DSU3" s="10" t="s">
        <v>67</v>
      </c>
      <c r="DSV3" s="10" t="s">
        <v>68</v>
      </c>
      <c r="DSW3" s="10" t="s">
        <v>67</v>
      </c>
      <c r="DSX3" s="10" t="s">
        <v>68</v>
      </c>
      <c r="DSY3" s="10" t="s">
        <v>67</v>
      </c>
      <c r="DSZ3" s="10" t="s">
        <v>68</v>
      </c>
      <c r="DTA3" s="10" t="s">
        <v>67</v>
      </c>
      <c r="DTB3" s="10" t="s">
        <v>68</v>
      </c>
      <c r="DTC3" s="10" t="s">
        <v>67</v>
      </c>
      <c r="DTD3" s="10" t="s">
        <v>68</v>
      </c>
      <c r="DTE3" s="10" t="s">
        <v>67</v>
      </c>
      <c r="DTF3" s="10" t="s">
        <v>68</v>
      </c>
      <c r="DTG3" s="10" t="s">
        <v>67</v>
      </c>
      <c r="DTH3" s="10" t="s">
        <v>68</v>
      </c>
      <c r="DTI3" s="10" t="s">
        <v>67</v>
      </c>
      <c r="DTJ3" s="10" t="s">
        <v>68</v>
      </c>
      <c r="DTK3" s="10" t="s">
        <v>67</v>
      </c>
      <c r="DTL3" s="10" t="s">
        <v>68</v>
      </c>
      <c r="DTM3" s="10" t="s">
        <v>67</v>
      </c>
      <c r="DTN3" s="10" t="s">
        <v>68</v>
      </c>
      <c r="DTO3" s="10" t="s">
        <v>67</v>
      </c>
      <c r="DTP3" s="10" t="s">
        <v>68</v>
      </c>
      <c r="DTQ3" s="10" t="s">
        <v>67</v>
      </c>
      <c r="DTR3" s="10" t="s">
        <v>68</v>
      </c>
      <c r="DTS3" s="10" t="s">
        <v>67</v>
      </c>
      <c r="DTT3" s="10" t="s">
        <v>68</v>
      </c>
      <c r="DTU3" s="10" t="s">
        <v>67</v>
      </c>
      <c r="DTV3" s="10" t="s">
        <v>68</v>
      </c>
      <c r="DTW3" s="10" t="s">
        <v>67</v>
      </c>
      <c r="DTX3" s="10" t="s">
        <v>68</v>
      </c>
      <c r="DTY3" s="10" t="s">
        <v>67</v>
      </c>
      <c r="DTZ3" s="10" t="s">
        <v>68</v>
      </c>
      <c r="DUA3" s="10" t="s">
        <v>67</v>
      </c>
      <c r="DUB3" s="10" t="s">
        <v>68</v>
      </c>
      <c r="DUC3" s="10" t="s">
        <v>67</v>
      </c>
      <c r="DUD3" s="10" t="s">
        <v>68</v>
      </c>
      <c r="DUE3" s="10" t="s">
        <v>67</v>
      </c>
      <c r="DUF3" s="10" t="s">
        <v>68</v>
      </c>
      <c r="DUG3" s="10" t="s">
        <v>67</v>
      </c>
      <c r="DUH3" s="10" t="s">
        <v>68</v>
      </c>
      <c r="DUI3" s="10" t="s">
        <v>67</v>
      </c>
      <c r="DUJ3" s="10" t="s">
        <v>68</v>
      </c>
      <c r="DUK3" s="10" t="s">
        <v>67</v>
      </c>
      <c r="DUL3" s="10" t="s">
        <v>68</v>
      </c>
      <c r="DUM3" s="10" t="s">
        <v>67</v>
      </c>
      <c r="DUN3" s="10" t="s">
        <v>68</v>
      </c>
      <c r="DUO3" s="10" t="s">
        <v>67</v>
      </c>
      <c r="DUP3" s="10" t="s">
        <v>68</v>
      </c>
      <c r="DUQ3" s="10" t="s">
        <v>67</v>
      </c>
      <c r="DUR3" s="10" t="s">
        <v>68</v>
      </c>
      <c r="DUS3" s="10" t="s">
        <v>67</v>
      </c>
      <c r="DUT3" s="10" t="s">
        <v>68</v>
      </c>
      <c r="DUU3" s="10" t="s">
        <v>67</v>
      </c>
      <c r="DUV3" s="10" t="s">
        <v>68</v>
      </c>
      <c r="DUW3" s="10" t="s">
        <v>67</v>
      </c>
      <c r="DUX3" s="10" t="s">
        <v>68</v>
      </c>
      <c r="DUY3" s="10" t="s">
        <v>67</v>
      </c>
      <c r="DUZ3" s="10" t="s">
        <v>68</v>
      </c>
      <c r="DVA3" s="10" t="s">
        <v>67</v>
      </c>
      <c r="DVB3" s="10" t="s">
        <v>68</v>
      </c>
      <c r="DVC3" s="10" t="s">
        <v>67</v>
      </c>
      <c r="DVD3" s="10" t="s">
        <v>68</v>
      </c>
      <c r="DVE3" s="10" t="s">
        <v>67</v>
      </c>
      <c r="DVF3" s="10" t="s">
        <v>68</v>
      </c>
      <c r="DVG3" s="10" t="s">
        <v>67</v>
      </c>
      <c r="DVH3" s="10" t="s">
        <v>68</v>
      </c>
      <c r="DVI3" s="10" t="s">
        <v>67</v>
      </c>
      <c r="DVJ3" s="10" t="s">
        <v>68</v>
      </c>
      <c r="DVK3" s="10" t="s">
        <v>67</v>
      </c>
      <c r="DVL3" s="10" t="s">
        <v>68</v>
      </c>
      <c r="DVM3" s="10" t="s">
        <v>67</v>
      </c>
      <c r="DVN3" s="10" t="s">
        <v>68</v>
      </c>
      <c r="DVO3" s="10" t="s">
        <v>67</v>
      </c>
      <c r="DVP3" s="10" t="s">
        <v>68</v>
      </c>
      <c r="DVQ3" s="10" t="s">
        <v>67</v>
      </c>
      <c r="DVR3" s="10" t="s">
        <v>68</v>
      </c>
      <c r="DVS3" s="10" t="s">
        <v>67</v>
      </c>
      <c r="DVT3" s="10" t="s">
        <v>68</v>
      </c>
      <c r="DVU3" s="10" t="s">
        <v>67</v>
      </c>
      <c r="DVV3" s="10" t="s">
        <v>68</v>
      </c>
      <c r="DVW3" s="10" t="s">
        <v>67</v>
      </c>
      <c r="DVX3" s="10" t="s">
        <v>68</v>
      </c>
      <c r="DVY3" s="10" t="s">
        <v>67</v>
      </c>
      <c r="DVZ3" s="10" t="s">
        <v>68</v>
      </c>
      <c r="DWA3" s="10" t="s">
        <v>67</v>
      </c>
      <c r="DWB3" s="10" t="s">
        <v>68</v>
      </c>
      <c r="DWC3" s="10" t="s">
        <v>67</v>
      </c>
      <c r="DWD3" s="10" t="s">
        <v>68</v>
      </c>
      <c r="DWE3" s="10" t="s">
        <v>67</v>
      </c>
      <c r="DWF3" s="10" t="s">
        <v>68</v>
      </c>
      <c r="DWG3" s="10" t="s">
        <v>67</v>
      </c>
      <c r="DWH3" s="10" t="s">
        <v>68</v>
      </c>
      <c r="DWI3" s="10" t="s">
        <v>67</v>
      </c>
      <c r="DWJ3" s="10" t="s">
        <v>68</v>
      </c>
      <c r="DWK3" s="10" t="s">
        <v>67</v>
      </c>
      <c r="DWL3" s="10" t="s">
        <v>68</v>
      </c>
      <c r="DWM3" s="10" t="s">
        <v>67</v>
      </c>
      <c r="DWN3" s="10" t="s">
        <v>68</v>
      </c>
      <c r="DWO3" s="10" t="s">
        <v>67</v>
      </c>
      <c r="DWP3" s="10" t="s">
        <v>68</v>
      </c>
      <c r="DWQ3" s="10" t="s">
        <v>67</v>
      </c>
      <c r="DWR3" s="10" t="s">
        <v>68</v>
      </c>
      <c r="DWS3" s="10" t="s">
        <v>67</v>
      </c>
      <c r="DWT3" s="10" t="s">
        <v>68</v>
      </c>
      <c r="DWU3" s="10" t="s">
        <v>67</v>
      </c>
      <c r="DWV3" s="10" t="s">
        <v>68</v>
      </c>
      <c r="DWW3" s="10" t="s">
        <v>67</v>
      </c>
      <c r="DWX3" s="10" t="s">
        <v>68</v>
      </c>
      <c r="DWY3" s="10" t="s">
        <v>67</v>
      </c>
      <c r="DWZ3" s="10" t="s">
        <v>68</v>
      </c>
      <c r="DXA3" s="10" t="s">
        <v>67</v>
      </c>
      <c r="DXB3" s="10" t="s">
        <v>68</v>
      </c>
      <c r="DXC3" s="10" t="s">
        <v>67</v>
      </c>
      <c r="DXD3" s="10" t="s">
        <v>68</v>
      </c>
      <c r="DXE3" s="10" t="s">
        <v>67</v>
      </c>
      <c r="DXF3" s="10" t="s">
        <v>68</v>
      </c>
      <c r="DXG3" s="10" t="s">
        <v>67</v>
      </c>
      <c r="DXH3" s="10" t="s">
        <v>68</v>
      </c>
      <c r="DXI3" s="10" t="s">
        <v>67</v>
      </c>
      <c r="DXJ3" s="10" t="s">
        <v>68</v>
      </c>
      <c r="DXK3" s="10" t="s">
        <v>67</v>
      </c>
      <c r="DXL3" s="10" t="s">
        <v>68</v>
      </c>
      <c r="DXM3" s="10" t="s">
        <v>67</v>
      </c>
      <c r="DXN3" s="10" t="s">
        <v>68</v>
      </c>
      <c r="DXO3" s="10" t="s">
        <v>67</v>
      </c>
      <c r="DXP3" s="10" t="s">
        <v>68</v>
      </c>
      <c r="DXQ3" s="10" t="s">
        <v>67</v>
      </c>
      <c r="DXR3" s="10" t="s">
        <v>68</v>
      </c>
      <c r="DXS3" s="10" t="s">
        <v>67</v>
      </c>
      <c r="DXT3" s="10" t="s">
        <v>68</v>
      </c>
      <c r="DXU3" s="10" t="s">
        <v>67</v>
      </c>
      <c r="DXV3" s="10" t="s">
        <v>68</v>
      </c>
      <c r="DXW3" s="10" t="s">
        <v>67</v>
      </c>
      <c r="DXX3" s="10" t="s">
        <v>68</v>
      </c>
      <c r="DXY3" s="10" t="s">
        <v>67</v>
      </c>
      <c r="DXZ3" s="10" t="s">
        <v>68</v>
      </c>
      <c r="DYA3" s="10" t="s">
        <v>67</v>
      </c>
      <c r="DYB3" s="10" t="s">
        <v>68</v>
      </c>
      <c r="DYC3" s="10" t="s">
        <v>67</v>
      </c>
      <c r="DYD3" s="10" t="s">
        <v>68</v>
      </c>
      <c r="DYE3" s="10" t="s">
        <v>67</v>
      </c>
      <c r="DYF3" s="10" t="s">
        <v>68</v>
      </c>
      <c r="DYG3" s="10" t="s">
        <v>67</v>
      </c>
      <c r="DYH3" s="10" t="s">
        <v>68</v>
      </c>
      <c r="DYI3" s="10" t="s">
        <v>67</v>
      </c>
      <c r="DYJ3" s="10" t="s">
        <v>68</v>
      </c>
      <c r="DYK3" s="10" t="s">
        <v>67</v>
      </c>
      <c r="DYL3" s="10" t="s">
        <v>68</v>
      </c>
      <c r="DYM3" s="10" t="s">
        <v>67</v>
      </c>
      <c r="DYN3" s="10" t="s">
        <v>68</v>
      </c>
      <c r="DYO3" s="10" t="s">
        <v>67</v>
      </c>
      <c r="DYP3" s="10" t="s">
        <v>68</v>
      </c>
      <c r="DYQ3" s="10" t="s">
        <v>67</v>
      </c>
      <c r="DYR3" s="10" t="s">
        <v>68</v>
      </c>
      <c r="DYS3" s="10" t="s">
        <v>67</v>
      </c>
      <c r="DYT3" s="10" t="s">
        <v>68</v>
      </c>
      <c r="DYU3" s="10" t="s">
        <v>67</v>
      </c>
      <c r="DYV3" s="10" t="s">
        <v>68</v>
      </c>
      <c r="DYW3" s="10" t="s">
        <v>67</v>
      </c>
      <c r="DYX3" s="10" t="s">
        <v>68</v>
      </c>
      <c r="DYY3" s="10" t="s">
        <v>67</v>
      </c>
      <c r="DYZ3" s="10" t="s">
        <v>68</v>
      </c>
      <c r="DZA3" s="10" t="s">
        <v>67</v>
      </c>
      <c r="DZB3" s="10" t="s">
        <v>68</v>
      </c>
      <c r="DZC3" s="10" t="s">
        <v>67</v>
      </c>
      <c r="DZD3" s="10" t="s">
        <v>68</v>
      </c>
      <c r="DZE3" s="10" t="s">
        <v>67</v>
      </c>
      <c r="DZF3" s="10" t="s">
        <v>68</v>
      </c>
      <c r="DZG3" s="10" t="s">
        <v>67</v>
      </c>
      <c r="DZH3" s="10" t="s">
        <v>68</v>
      </c>
      <c r="DZI3" s="10" t="s">
        <v>67</v>
      </c>
      <c r="DZJ3" s="10" t="s">
        <v>68</v>
      </c>
      <c r="DZK3" s="10" t="s">
        <v>67</v>
      </c>
      <c r="DZL3" s="10" t="s">
        <v>68</v>
      </c>
      <c r="DZM3" s="10" t="s">
        <v>67</v>
      </c>
      <c r="DZN3" s="10" t="s">
        <v>68</v>
      </c>
      <c r="DZO3" s="10" t="s">
        <v>67</v>
      </c>
      <c r="DZP3" s="10" t="s">
        <v>68</v>
      </c>
      <c r="DZQ3" s="10" t="s">
        <v>67</v>
      </c>
      <c r="DZR3" s="10" t="s">
        <v>68</v>
      </c>
      <c r="DZS3" s="10" t="s">
        <v>67</v>
      </c>
      <c r="DZT3" s="10" t="s">
        <v>68</v>
      </c>
      <c r="DZU3" s="10" t="s">
        <v>67</v>
      </c>
      <c r="DZV3" s="10" t="s">
        <v>68</v>
      </c>
      <c r="DZW3" s="10" t="s">
        <v>67</v>
      </c>
      <c r="DZX3" s="10" t="s">
        <v>68</v>
      </c>
      <c r="DZY3" s="10" t="s">
        <v>67</v>
      </c>
      <c r="DZZ3" s="10" t="s">
        <v>68</v>
      </c>
      <c r="EAA3" s="10" t="s">
        <v>67</v>
      </c>
      <c r="EAB3" s="10" t="s">
        <v>68</v>
      </c>
      <c r="EAC3" s="10" t="s">
        <v>67</v>
      </c>
      <c r="EAD3" s="10" t="s">
        <v>68</v>
      </c>
      <c r="EAE3" s="10" t="s">
        <v>67</v>
      </c>
      <c r="EAF3" s="10" t="s">
        <v>68</v>
      </c>
      <c r="EAG3" s="10" t="s">
        <v>67</v>
      </c>
      <c r="EAH3" s="10" t="s">
        <v>68</v>
      </c>
      <c r="EAI3" s="10" t="s">
        <v>67</v>
      </c>
      <c r="EAJ3" s="10" t="s">
        <v>68</v>
      </c>
      <c r="EAK3" s="10" t="s">
        <v>67</v>
      </c>
      <c r="EAL3" s="10" t="s">
        <v>68</v>
      </c>
      <c r="EAM3" s="10" t="s">
        <v>67</v>
      </c>
      <c r="EAN3" s="10" t="s">
        <v>68</v>
      </c>
      <c r="EAO3" s="10" t="s">
        <v>67</v>
      </c>
      <c r="EAP3" s="10" t="s">
        <v>68</v>
      </c>
      <c r="EAQ3" s="10" t="s">
        <v>67</v>
      </c>
      <c r="EAR3" s="10" t="s">
        <v>68</v>
      </c>
      <c r="EAS3" s="10" t="s">
        <v>67</v>
      </c>
      <c r="EAT3" s="10" t="s">
        <v>68</v>
      </c>
      <c r="EAU3" s="10" t="s">
        <v>67</v>
      </c>
      <c r="EAV3" s="10" t="s">
        <v>68</v>
      </c>
      <c r="EAW3" s="10" t="s">
        <v>67</v>
      </c>
      <c r="EAX3" s="10" t="s">
        <v>68</v>
      </c>
      <c r="EAY3" s="10" t="s">
        <v>67</v>
      </c>
      <c r="EAZ3" s="10" t="s">
        <v>68</v>
      </c>
      <c r="EBA3" s="10" t="s">
        <v>67</v>
      </c>
      <c r="EBB3" s="10" t="s">
        <v>68</v>
      </c>
      <c r="EBC3" s="10" t="s">
        <v>67</v>
      </c>
      <c r="EBD3" s="10" t="s">
        <v>68</v>
      </c>
      <c r="EBE3" s="10" t="s">
        <v>67</v>
      </c>
      <c r="EBF3" s="10" t="s">
        <v>68</v>
      </c>
      <c r="EBG3" s="10" t="s">
        <v>67</v>
      </c>
      <c r="EBH3" s="10" t="s">
        <v>68</v>
      </c>
      <c r="EBI3" s="10" t="s">
        <v>67</v>
      </c>
      <c r="EBJ3" s="10" t="s">
        <v>68</v>
      </c>
      <c r="EBK3" s="10" t="s">
        <v>67</v>
      </c>
      <c r="EBL3" s="10" t="s">
        <v>68</v>
      </c>
      <c r="EBM3" s="10" t="s">
        <v>67</v>
      </c>
      <c r="EBN3" s="10" t="s">
        <v>68</v>
      </c>
      <c r="EBO3" s="10" t="s">
        <v>67</v>
      </c>
      <c r="EBP3" s="10" t="s">
        <v>68</v>
      </c>
      <c r="EBQ3" s="10" t="s">
        <v>67</v>
      </c>
      <c r="EBR3" s="10" t="s">
        <v>68</v>
      </c>
      <c r="EBS3" s="10" t="s">
        <v>67</v>
      </c>
      <c r="EBT3" s="10" t="s">
        <v>68</v>
      </c>
      <c r="EBU3" s="10" t="s">
        <v>67</v>
      </c>
      <c r="EBV3" s="10" t="s">
        <v>68</v>
      </c>
      <c r="EBW3" s="10" t="s">
        <v>67</v>
      </c>
      <c r="EBX3" s="10" t="s">
        <v>68</v>
      </c>
      <c r="EBY3" s="10" t="s">
        <v>67</v>
      </c>
      <c r="EBZ3" s="10" t="s">
        <v>68</v>
      </c>
      <c r="ECA3" s="10" t="s">
        <v>67</v>
      </c>
      <c r="ECB3" s="10" t="s">
        <v>68</v>
      </c>
      <c r="ECC3" s="10" t="s">
        <v>67</v>
      </c>
      <c r="ECD3" s="10" t="s">
        <v>68</v>
      </c>
      <c r="ECE3" s="10" t="s">
        <v>67</v>
      </c>
      <c r="ECF3" s="10" t="s">
        <v>68</v>
      </c>
      <c r="ECG3" s="10" t="s">
        <v>67</v>
      </c>
      <c r="ECH3" s="10" t="s">
        <v>68</v>
      </c>
      <c r="ECI3" s="10" t="s">
        <v>67</v>
      </c>
      <c r="ECJ3" s="10" t="s">
        <v>68</v>
      </c>
      <c r="ECK3" s="10" t="s">
        <v>67</v>
      </c>
      <c r="ECL3" s="10" t="s">
        <v>68</v>
      </c>
      <c r="ECM3" s="10" t="s">
        <v>67</v>
      </c>
      <c r="ECN3" s="10" t="s">
        <v>68</v>
      </c>
      <c r="ECO3" s="10" t="s">
        <v>67</v>
      </c>
      <c r="ECP3" s="10" t="s">
        <v>68</v>
      </c>
      <c r="ECQ3" s="10" t="s">
        <v>67</v>
      </c>
      <c r="ECR3" s="10" t="s">
        <v>68</v>
      </c>
      <c r="ECS3" s="10" t="s">
        <v>67</v>
      </c>
      <c r="ECT3" s="10" t="s">
        <v>68</v>
      </c>
      <c r="ECU3" s="10" t="s">
        <v>67</v>
      </c>
      <c r="ECV3" s="10" t="s">
        <v>68</v>
      </c>
      <c r="ECW3" s="10" t="s">
        <v>67</v>
      </c>
      <c r="ECX3" s="10" t="s">
        <v>68</v>
      </c>
      <c r="ECY3" s="10" t="s">
        <v>67</v>
      </c>
      <c r="ECZ3" s="10" t="s">
        <v>68</v>
      </c>
      <c r="EDA3" s="10" t="s">
        <v>67</v>
      </c>
      <c r="EDB3" s="10" t="s">
        <v>68</v>
      </c>
      <c r="EDC3" s="10" t="s">
        <v>67</v>
      </c>
      <c r="EDD3" s="10" t="s">
        <v>68</v>
      </c>
      <c r="EDE3" s="10" t="s">
        <v>67</v>
      </c>
      <c r="EDF3" s="10" t="s">
        <v>68</v>
      </c>
      <c r="EDG3" s="10" t="s">
        <v>67</v>
      </c>
      <c r="EDH3" s="10" t="s">
        <v>68</v>
      </c>
      <c r="EDI3" s="10" t="s">
        <v>67</v>
      </c>
      <c r="EDJ3" s="10" t="s">
        <v>68</v>
      </c>
      <c r="EDK3" s="10" t="s">
        <v>67</v>
      </c>
      <c r="EDL3" s="10" t="s">
        <v>68</v>
      </c>
      <c r="EDM3" s="10" t="s">
        <v>67</v>
      </c>
      <c r="EDN3" s="10" t="s">
        <v>68</v>
      </c>
      <c r="EDO3" s="10" t="s">
        <v>67</v>
      </c>
      <c r="EDP3" s="10" t="s">
        <v>68</v>
      </c>
      <c r="EDQ3" s="10" t="s">
        <v>67</v>
      </c>
      <c r="EDR3" s="10" t="s">
        <v>68</v>
      </c>
      <c r="EDS3" s="10" t="s">
        <v>67</v>
      </c>
      <c r="EDT3" s="10" t="s">
        <v>68</v>
      </c>
      <c r="EDU3" s="10" t="s">
        <v>67</v>
      </c>
      <c r="EDV3" s="10" t="s">
        <v>68</v>
      </c>
      <c r="EDW3" s="10" t="s">
        <v>67</v>
      </c>
      <c r="EDX3" s="10" t="s">
        <v>68</v>
      </c>
      <c r="EDY3" s="10" t="s">
        <v>67</v>
      </c>
      <c r="EDZ3" s="10" t="s">
        <v>68</v>
      </c>
      <c r="EEA3" s="10" t="s">
        <v>67</v>
      </c>
      <c r="EEB3" s="10" t="s">
        <v>68</v>
      </c>
      <c r="EEC3" s="10" t="s">
        <v>67</v>
      </c>
      <c r="EED3" s="10" t="s">
        <v>68</v>
      </c>
      <c r="EEE3" s="10" t="s">
        <v>67</v>
      </c>
      <c r="EEF3" s="10" t="s">
        <v>68</v>
      </c>
      <c r="EEG3" s="10" t="s">
        <v>67</v>
      </c>
      <c r="EEH3" s="10" t="s">
        <v>68</v>
      </c>
      <c r="EEI3" s="10" t="s">
        <v>67</v>
      </c>
      <c r="EEJ3" s="10" t="s">
        <v>68</v>
      </c>
      <c r="EEK3" s="10" t="s">
        <v>67</v>
      </c>
      <c r="EEL3" s="10" t="s">
        <v>68</v>
      </c>
      <c r="EEM3" s="10" t="s">
        <v>67</v>
      </c>
      <c r="EEN3" s="10" t="s">
        <v>68</v>
      </c>
      <c r="EEO3" s="10" t="s">
        <v>67</v>
      </c>
      <c r="EEP3" s="10" t="s">
        <v>68</v>
      </c>
      <c r="EEQ3" s="10" t="s">
        <v>67</v>
      </c>
      <c r="EER3" s="10" t="s">
        <v>68</v>
      </c>
      <c r="EES3" s="10" t="s">
        <v>67</v>
      </c>
      <c r="EET3" s="10" t="s">
        <v>68</v>
      </c>
      <c r="EEU3" s="10" t="s">
        <v>67</v>
      </c>
      <c r="EEV3" s="10" t="s">
        <v>68</v>
      </c>
      <c r="EEW3" s="10" t="s">
        <v>67</v>
      </c>
      <c r="EEX3" s="10" t="s">
        <v>68</v>
      </c>
      <c r="EEY3" s="10" t="s">
        <v>67</v>
      </c>
      <c r="EEZ3" s="10" t="s">
        <v>68</v>
      </c>
      <c r="EFA3" s="10" t="s">
        <v>67</v>
      </c>
      <c r="EFB3" s="10" t="s">
        <v>68</v>
      </c>
      <c r="EFC3" s="10" t="s">
        <v>67</v>
      </c>
      <c r="EFD3" s="10" t="s">
        <v>68</v>
      </c>
      <c r="EFE3" s="10" t="s">
        <v>67</v>
      </c>
      <c r="EFF3" s="10" t="s">
        <v>68</v>
      </c>
      <c r="EFG3" s="10" t="s">
        <v>67</v>
      </c>
      <c r="EFH3" s="10" t="s">
        <v>68</v>
      </c>
      <c r="EFI3" s="10" t="s">
        <v>67</v>
      </c>
      <c r="EFJ3" s="10" t="s">
        <v>68</v>
      </c>
      <c r="EFK3" s="10" t="s">
        <v>67</v>
      </c>
      <c r="EFL3" s="10" t="s">
        <v>68</v>
      </c>
      <c r="EFM3" s="10" t="s">
        <v>67</v>
      </c>
      <c r="EFN3" s="10" t="s">
        <v>68</v>
      </c>
      <c r="EFO3" s="10" t="s">
        <v>67</v>
      </c>
      <c r="EFP3" s="10" t="s">
        <v>68</v>
      </c>
      <c r="EFQ3" s="10" t="s">
        <v>67</v>
      </c>
      <c r="EFR3" s="10" t="s">
        <v>68</v>
      </c>
      <c r="EFS3" s="10" t="s">
        <v>67</v>
      </c>
      <c r="EFT3" s="10" t="s">
        <v>68</v>
      </c>
      <c r="EFU3" s="10" t="s">
        <v>67</v>
      </c>
      <c r="EFV3" s="10" t="s">
        <v>68</v>
      </c>
      <c r="EFW3" s="10" t="s">
        <v>67</v>
      </c>
      <c r="EFX3" s="10" t="s">
        <v>68</v>
      </c>
      <c r="EFY3" s="10" t="s">
        <v>67</v>
      </c>
      <c r="EFZ3" s="10" t="s">
        <v>68</v>
      </c>
      <c r="EGA3" s="10" t="s">
        <v>67</v>
      </c>
      <c r="EGB3" s="10" t="s">
        <v>68</v>
      </c>
      <c r="EGC3" s="10" t="s">
        <v>67</v>
      </c>
      <c r="EGD3" s="10" t="s">
        <v>68</v>
      </c>
      <c r="EGE3" s="10" t="s">
        <v>67</v>
      </c>
      <c r="EGF3" s="10" t="s">
        <v>68</v>
      </c>
      <c r="EGG3" s="10" t="s">
        <v>67</v>
      </c>
      <c r="EGH3" s="10" t="s">
        <v>68</v>
      </c>
      <c r="EGI3" s="10" t="s">
        <v>67</v>
      </c>
      <c r="EGJ3" s="10" t="s">
        <v>68</v>
      </c>
      <c r="EGK3" s="10" t="s">
        <v>67</v>
      </c>
      <c r="EGL3" s="10" t="s">
        <v>68</v>
      </c>
      <c r="EGM3" s="10" t="s">
        <v>67</v>
      </c>
      <c r="EGN3" s="10" t="s">
        <v>68</v>
      </c>
      <c r="EGO3" s="10" t="s">
        <v>67</v>
      </c>
      <c r="EGP3" s="10" t="s">
        <v>68</v>
      </c>
      <c r="EGQ3" s="10" t="s">
        <v>67</v>
      </c>
      <c r="EGR3" s="10" t="s">
        <v>68</v>
      </c>
      <c r="EGS3" s="10" t="s">
        <v>67</v>
      </c>
      <c r="EGT3" s="10" t="s">
        <v>68</v>
      </c>
      <c r="EGU3" s="10" t="s">
        <v>67</v>
      </c>
      <c r="EGV3" s="10" t="s">
        <v>68</v>
      </c>
      <c r="EGW3" s="10" t="s">
        <v>67</v>
      </c>
      <c r="EGX3" s="10" t="s">
        <v>68</v>
      </c>
      <c r="EGY3" s="10" t="s">
        <v>67</v>
      </c>
      <c r="EGZ3" s="10" t="s">
        <v>68</v>
      </c>
      <c r="EHA3" s="10" t="s">
        <v>67</v>
      </c>
      <c r="EHB3" s="10" t="s">
        <v>68</v>
      </c>
      <c r="EHC3" s="10" t="s">
        <v>67</v>
      </c>
      <c r="EHD3" s="10" t="s">
        <v>68</v>
      </c>
      <c r="EHE3" s="10" t="s">
        <v>67</v>
      </c>
      <c r="EHF3" s="10" t="s">
        <v>68</v>
      </c>
      <c r="EHG3" s="10" t="s">
        <v>67</v>
      </c>
      <c r="EHH3" s="10" t="s">
        <v>68</v>
      </c>
      <c r="EHI3" s="10" t="s">
        <v>67</v>
      </c>
      <c r="EHJ3" s="10" t="s">
        <v>68</v>
      </c>
      <c r="EHK3" s="10" t="s">
        <v>67</v>
      </c>
      <c r="EHL3" s="10" t="s">
        <v>68</v>
      </c>
      <c r="EHM3" s="10" t="s">
        <v>67</v>
      </c>
      <c r="EHN3" s="10" t="s">
        <v>68</v>
      </c>
      <c r="EHO3" s="10" t="s">
        <v>67</v>
      </c>
      <c r="EHP3" s="10" t="s">
        <v>68</v>
      </c>
      <c r="EHQ3" s="10" t="s">
        <v>67</v>
      </c>
      <c r="EHR3" s="10" t="s">
        <v>68</v>
      </c>
      <c r="EHS3" s="10" t="s">
        <v>67</v>
      </c>
      <c r="EHT3" s="10" t="s">
        <v>68</v>
      </c>
      <c r="EHU3" s="10" t="s">
        <v>67</v>
      </c>
      <c r="EHV3" s="10" t="s">
        <v>68</v>
      </c>
      <c r="EHW3" s="10" t="s">
        <v>67</v>
      </c>
      <c r="EHX3" s="10" t="s">
        <v>68</v>
      </c>
      <c r="EHY3" s="10" t="s">
        <v>67</v>
      </c>
      <c r="EHZ3" s="10" t="s">
        <v>68</v>
      </c>
      <c r="EIA3" s="10" t="s">
        <v>67</v>
      </c>
      <c r="EIB3" s="10" t="s">
        <v>68</v>
      </c>
      <c r="EIC3" s="10" t="s">
        <v>67</v>
      </c>
      <c r="EID3" s="10" t="s">
        <v>68</v>
      </c>
      <c r="EIE3" s="10" t="s">
        <v>67</v>
      </c>
      <c r="EIF3" s="10" t="s">
        <v>68</v>
      </c>
      <c r="EIG3" s="10" t="s">
        <v>67</v>
      </c>
      <c r="EIH3" s="10" t="s">
        <v>68</v>
      </c>
      <c r="EII3" s="10" t="s">
        <v>67</v>
      </c>
      <c r="EIJ3" s="10" t="s">
        <v>68</v>
      </c>
      <c r="EIK3" s="10" t="s">
        <v>67</v>
      </c>
      <c r="EIL3" s="10" t="s">
        <v>68</v>
      </c>
      <c r="EIM3" s="10" t="s">
        <v>67</v>
      </c>
      <c r="EIN3" s="10" t="s">
        <v>68</v>
      </c>
      <c r="EIO3" s="10" t="s">
        <v>67</v>
      </c>
      <c r="EIP3" s="10" t="s">
        <v>68</v>
      </c>
      <c r="EIQ3" s="10" t="s">
        <v>67</v>
      </c>
      <c r="EIR3" s="10" t="s">
        <v>68</v>
      </c>
      <c r="EIS3" s="10" t="s">
        <v>67</v>
      </c>
      <c r="EIT3" s="10" t="s">
        <v>68</v>
      </c>
      <c r="EIU3" s="10" t="s">
        <v>67</v>
      </c>
      <c r="EIV3" s="10" t="s">
        <v>68</v>
      </c>
      <c r="EIW3" s="10" t="s">
        <v>67</v>
      </c>
      <c r="EIX3" s="10" t="s">
        <v>68</v>
      </c>
      <c r="EIY3" s="10" t="s">
        <v>67</v>
      </c>
      <c r="EIZ3" s="10" t="s">
        <v>68</v>
      </c>
      <c r="EJA3" s="10" t="s">
        <v>67</v>
      </c>
      <c r="EJB3" s="10" t="s">
        <v>68</v>
      </c>
      <c r="EJC3" s="10" t="s">
        <v>67</v>
      </c>
      <c r="EJD3" s="10" t="s">
        <v>68</v>
      </c>
      <c r="EJE3" s="10" t="s">
        <v>67</v>
      </c>
      <c r="EJF3" s="10" t="s">
        <v>68</v>
      </c>
      <c r="EJG3" s="10" t="s">
        <v>67</v>
      </c>
      <c r="EJH3" s="10" t="s">
        <v>68</v>
      </c>
      <c r="EJI3" s="10" t="s">
        <v>67</v>
      </c>
      <c r="EJJ3" s="10" t="s">
        <v>68</v>
      </c>
      <c r="EJK3" s="10" t="s">
        <v>67</v>
      </c>
      <c r="EJL3" s="10" t="s">
        <v>68</v>
      </c>
      <c r="EJM3" s="10" t="s">
        <v>67</v>
      </c>
      <c r="EJN3" s="10" t="s">
        <v>68</v>
      </c>
      <c r="EJO3" s="10" t="s">
        <v>67</v>
      </c>
      <c r="EJP3" s="10" t="s">
        <v>68</v>
      </c>
      <c r="EJQ3" s="10" t="s">
        <v>67</v>
      </c>
      <c r="EJR3" s="10" t="s">
        <v>68</v>
      </c>
      <c r="EJS3" s="10" t="s">
        <v>67</v>
      </c>
      <c r="EJT3" s="10" t="s">
        <v>68</v>
      </c>
      <c r="EJU3" s="10" t="s">
        <v>67</v>
      </c>
      <c r="EJV3" s="10" t="s">
        <v>68</v>
      </c>
      <c r="EJW3" s="10" t="s">
        <v>67</v>
      </c>
      <c r="EJX3" s="10" t="s">
        <v>68</v>
      </c>
      <c r="EJY3" s="10" t="s">
        <v>67</v>
      </c>
      <c r="EJZ3" s="10" t="s">
        <v>68</v>
      </c>
      <c r="EKA3" s="10" t="s">
        <v>67</v>
      </c>
      <c r="EKB3" s="10" t="s">
        <v>68</v>
      </c>
      <c r="EKC3" s="10" t="s">
        <v>67</v>
      </c>
      <c r="EKD3" s="10" t="s">
        <v>68</v>
      </c>
      <c r="EKE3" s="10" t="s">
        <v>67</v>
      </c>
      <c r="EKF3" s="10" t="s">
        <v>68</v>
      </c>
      <c r="EKG3" s="10" t="s">
        <v>67</v>
      </c>
      <c r="EKH3" s="10" t="s">
        <v>68</v>
      </c>
      <c r="EKI3" s="10" t="s">
        <v>67</v>
      </c>
      <c r="EKJ3" s="10" t="s">
        <v>68</v>
      </c>
      <c r="EKK3" s="10" t="s">
        <v>67</v>
      </c>
      <c r="EKL3" s="10" t="s">
        <v>68</v>
      </c>
      <c r="EKM3" s="10" t="s">
        <v>67</v>
      </c>
      <c r="EKN3" s="10" t="s">
        <v>68</v>
      </c>
      <c r="EKO3" s="10" t="s">
        <v>67</v>
      </c>
      <c r="EKP3" s="10" t="s">
        <v>68</v>
      </c>
      <c r="EKQ3" s="10" t="s">
        <v>67</v>
      </c>
      <c r="EKR3" s="10" t="s">
        <v>68</v>
      </c>
      <c r="EKS3" s="10" t="s">
        <v>67</v>
      </c>
      <c r="EKT3" s="10" t="s">
        <v>68</v>
      </c>
      <c r="EKU3" s="10" t="s">
        <v>67</v>
      </c>
      <c r="EKV3" s="10" t="s">
        <v>68</v>
      </c>
      <c r="EKW3" s="10" t="s">
        <v>67</v>
      </c>
      <c r="EKX3" s="10" t="s">
        <v>68</v>
      </c>
      <c r="EKY3" s="10" t="s">
        <v>67</v>
      </c>
      <c r="EKZ3" s="10" t="s">
        <v>68</v>
      </c>
      <c r="ELA3" s="10" t="s">
        <v>67</v>
      </c>
      <c r="ELB3" s="10" t="s">
        <v>68</v>
      </c>
      <c r="ELC3" s="10" t="s">
        <v>67</v>
      </c>
      <c r="ELD3" s="10" t="s">
        <v>68</v>
      </c>
      <c r="ELE3" s="10" t="s">
        <v>67</v>
      </c>
      <c r="ELF3" s="10" t="s">
        <v>68</v>
      </c>
      <c r="ELG3" s="10" t="s">
        <v>67</v>
      </c>
      <c r="ELH3" s="10" t="s">
        <v>68</v>
      </c>
      <c r="ELI3" s="10" t="s">
        <v>67</v>
      </c>
      <c r="ELJ3" s="10" t="s">
        <v>68</v>
      </c>
      <c r="ELK3" s="10" t="s">
        <v>67</v>
      </c>
      <c r="ELL3" s="10" t="s">
        <v>68</v>
      </c>
      <c r="ELM3" s="10" t="s">
        <v>67</v>
      </c>
      <c r="ELN3" s="10" t="s">
        <v>68</v>
      </c>
      <c r="ELO3" s="10" t="s">
        <v>67</v>
      </c>
      <c r="ELP3" s="10" t="s">
        <v>68</v>
      </c>
      <c r="ELQ3" s="10" t="s">
        <v>67</v>
      </c>
      <c r="ELR3" s="10" t="s">
        <v>68</v>
      </c>
      <c r="ELS3" s="10" t="s">
        <v>67</v>
      </c>
      <c r="ELT3" s="10" t="s">
        <v>68</v>
      </c>
      <c r="ELU3" s="10" t="s">
        <v>67</v>
      </c>
      <c r="ELV3" s="10" t="s">
        <v>68</v>
      </c>
      <c r="ELW3" s="10" t="s">
        <v>67</v>
      </c>
      <c r="ELX3" s="10" t="s">
        <v>68</v>
      </c>
      <c r="ELY3" s="10" t="s">
        <v>67</v>
      </c>
      <c r="ELZ3" s="10" t="s">
        <v>68</v>
      </c>
      <c r="EMA3" s="10" t="s">
        <v>67</v>
      </c>
      <c r="EMB3" s="10" t="s">
        <v>68</v>
      </c>
      <c r="EMC3" s="10" t="s">
        <v>67</v>
      </c>
      <c r="EMD3" s="10" t="s">
        <v>68</v>
      </c>
      <c r="EME3" s="10" t="s">
        <v>67</v>
      </c>
      <c r="EMF3" s="10" t="s">
        <v>68</v>
      </c>
      <c r="EMG3" s="10" t="s">
        <v>67</v>
      </c>
      <c r="EMH3" s="10" t="s">
        <v>68</v>
      </c>
      <c r="EMI3" s="10" t="s">
        <v>67</v>
      </c>
      <c r="EMJ3" s="10" t="s">
        <v>68</v>
      </c>
      <c r="EMK3" s="10" t="s">
        <v>67</v>
      </c>
      <c r="EML3" s="10" t="s">
        <v>68</v>
      </c>
      <c r="EMM3" s="10" t="s">
        <v>67</v>
      </c>
      <c r="EMN3" s="10" t="s">
        <v>68</v>
      </c>
      <c r="EMO3" s="10" t="s">
        <v>67</v>
      </c>
      <c r="EMP3" s="10" t="s">
        <v>68</v>
      </c>
      <c r="EMQ3" s="10" t="s">
        <v>67</v>
      </c>
      <c r="EMR3" s="10" t="s">
        <v>68</v>
      </c>
      <c r="EMS3" s="10" t="s">
        <v>67</v>
      </c>
      <c r="EMT3" s="10" t="s">
        <v>68</v>
      </c>
      <c r="EMU3" s="10" t="s">
        <v>67</v>
      </c>
      <c r="EMV3" s="10" t="s">
        <v>68</v>
      </c>
      <c r="EMW3" s="10" t="s">
        <v>67</v>
      </c>
      <c r="EMX3" s="10" t="s">
        <v>68</v>
      </c>
      <c r="EMY3" s="10" t="s">
        <v>67</v>
      </c>
      <c r="EMZ3" s="10" t="s">
        <v>68</v>
      </c>
      <c r="ENA3" s="10" t="s">
        <v>67</v>
      </c>
      <c r="ENB3" s="10" t="s">
        <v>68</v>
      </c>
      <c r="ENC3" s="10" t="s">
        <v>67</v>
      </c>
      <c r="END3" s="10" t="s">
        <v>68</v>
      </c>
      <c r="ENE3" s="10" t="s">
        <v>67</v>
      </c>
      <c r="ENF3" s="10" t="s">
        <v>68</v>
      </c>
      <c r="ENG3" s="10" t="s">
        <v>67</v>
      </c>
      <c r="ENH3" s="10" t="s">
        <v>68</v>
      </c>
      <c r="ENI3" s="10" t="s">
        <v>67</v>
      </c>
      <c r="ENJ3" s="10" t="s">
        <v>68</v>
      </c>
      <c r="ENK3" s="10" t="s">
        <v>67</v>
      </c>
      <c r="ENL3" s="10" t="s">
        <v>68</v>
      </c>
      <c r="ENM3" s="10" t="s">
        <v>67</v>
      </c>
      <c r="ENN3" s="10" t="s">
        <v>68</v>
      </c>
      <c r="ENO3" s="10" t="s">
        <v>67</v>
      </c>
      <c r="ENP3" s="10" t="s">
        <v>68</v>
      </c>
      <c r="ENQ3" s="10" t="s">
        <v>67</v>
      </c>
      <c r="ENR3" s="10" t="s">
        <v>68</v>
      </c>
      <c r="ENS3" s="10" t="s">
        <v>67</v>
      </c>
      <c r="ENT3" s="10" t="s">
        <v>68</v>
      </c>
      <c r="ENU3" s="10" t="s">
        <v>67</v>
      </c>
      <c r="ENV3" s="10" t="s">
        <v>68</v>
      </c>
      <c r="ENW3" s="10" t="s">
        <v>67</v>
      </c>
      <c r="ENX3" s="10" t="s">
        <v>68</v>
      </c>
      <c r="ENY3" s="10" t="s">
        <v>67</v>
      </c>
      <c r="ENZ3" s="10" t="s">
        <v>68</v>
      </c>
      <c r="EOA3" s="10" t="s">
        <v>67</v>
      </c>
      <c r="EOB3" s="10" t="s">
        <v>68</v>
      </c>
      <c r="EOC3" s="10" t="s">
        <v>67</v>
      </c>
      <c r="EOD3" s="10" t="s">
        <v>68</v>
      </c>
      <c r="EOE3" s="10" t="s">
        <v>67</v>
      </c>
      <c r="EOF3" s="10" t="s">
        <v>68</v>
      </c>
      <c r="EOG3" s="10" t="s">
        <v>67</v>
      </c>
      <c r="EOH3" s="10" t="s">
        <v>68</v>
      </c>
      <c r="EOI3" s="10" t="s">
        <v>67</v>
      </c>
      <c r="EOJ3" s="10" t="s">
        <v>68</v>
      </c>
      <c r="EOK3" s="10" t="s">
        <v>67</v>
      </c>
      <c r="EOL3" s="10" t="s">
        <v>68</v>
      </c>
      <c r="EOM3" s="10" t="s">
        <v>67</v>
      </c>
      <c r="EON3" s="10" t="s">
        <v>68</v>
      </c>
      <c r="EOO3" s="10" t="s">
        <v>67</v>
      </c>
      <c r="EOP3" s="10" t="s">
        <v>68</v>
      </c>
      <c r="EOQ3" s="10" t="s">
        <v>67</v>
      </c>
      <c r="EOR3" s="10" t="s">
        <v>68</v>
      </c>
      <c r="EOS3" s="10" t="s">
        <v>67</v>
      </c>
      <c r="EOT3" s="10" t="s">
        <v>68</v>
      </c>
      <c r="EOU3" s="10" t="s">
        <v>67</v>
      </c>
      <c r="EOV3" s="10" t="s">
        <v>68</v>
      </c>
      <c r="EOW3" s="10" t="s">
        <v>67</v>
      </c>
      <c r="EOX3" s="10" t="s">
        <v>68</v>
      </c>
      <c r="EOY3" s="10" t="s">
        <v>67</v>
      </c>
      <c r="EOZ3" s="10" t="s">
        <v>68</v>
      </c>
      <c r="EPA3" s="10" t="s">
        <v>67</v>
      </c>
      <c r="EPB3" s="10" t="s">
        <v>68</v>
      </c>
      <c r="EPC3" s="10" t="s">
        <v>67</v>
      </c>
      <c r="EPD3" s="10" t="s">
        <v>68</v>
      </c>
      <c r="EPE3" s="10" t="s">
        <v>67</v>
      </c>
      <c r="EPF3" s="10" t="s">
        <v>68</v>
      </c>
      <c r="EPG3" s="10" t="s">
        <v>67</v>
      </c>
      <c r="EPH3" s="10" t="s">
        <v>68</v>
      </c>
      <c r="EPI3" s="10" t="s">
        <v>67</v>
      </c>
      <c r="EPJ3" s="10" t="s">
        <v>68</v>
      </c>
      <c r="EPK3" s="10" t="s">
        <v>67</v>
      </c>
      <c r="EPL3" s="10" t="s">
        <v>68</v>
      </c>
      <c r="EPM3" s="10" t="s">
        <v>67</v>
      </c>
      <c r="EPN3" s="10" t="s">
        <v>68</v>
      </c>
      <c r="EPO3" s="10" t="s">
        <v>67</v>
      </c>
      <c r="EPP3" s="10" t="s">
        <v>68</v>
      </c>
      <c r="EPQ3" s="10" t="s">
        <v>67</v>
      </c>
      <c r="EPR3" s="10" t="s">
        <v>68</v>
      </c>
      <c r="EPS3" s="10" t="s">
        <v>67</v>
      </c>
      <c r="EPT3" s="10" t="s">
        <v>68</v>
      </c>
      <c r="EPU3" s="10" t="s">
        <v>67</v>
      </c>
      <c r="EPV3" s="10" t="s">
        <v>68</v>
      </c>
      <c r="EPW3" s="10" t="s">
        <v>67</v>
      </c>
      <c r="EPX3" s="10" t="s">
        <v>68</v>
      </c>
      <c r="EPY3" s="10" t="s">
        <v>67</v>
      </c>
      <c r="EPZ3" s="10" t="s">
        <v>68</v>
      </c>
      <c r="EQA3" s="10" t="s">
        <v>67</v>
      </c>
      <c r="EQB3" s="10" t="s">
        <v>68</v>
      </c>
      <c r="EQC3" s="10" t="s">
        <v>67</v>
      </c>
      <c r="EQD3" s="10" t="s">
        <v>68</v>
      </c>
      <c r="EQE3" s="10" t="s">
        <v>67</v>
      </c>
      <c r="EQF3" s="10" t="s">
        <v>68</v>
      </c>
      <c r="EQG3" s="10" t="s">
        <v>67</v>
      </c>
      <c r="EQH3" s="10" t="s">
        <v>68</v>
      </c>
      <c r="EQI3" s="10" t="s">
        <v>67</v>
      </c>
      <c r="EQJ3" s="10" t="s">
        <v>68</v>
      </c>
      <c r="EQK3" s="10" t="s">
        <v>67</v>
      </c>
      <c r="EQL3" s="10" t="s">
        <v>68</v>
      </c>
      <c r="EQM3" s="10" t="s">
        <v>67</v>
      </c>
      <c r="EQN3" s="10" t="s">
        <v>68</v>
      </c>
      <c r="EQO3" s="10" t="s">
        <v>67</v>
      </c>
      <c r="EQP3" s="10" t="s">
        <v>68</v>
      </c>
      <c r="EQQ3" s="10" t="s">
        <v>67</v>
      </c>
      <c r="EQR3" s="10" t="s">
        <v>68</v>
      </c>
      <c r="EQS3" s="10" t="s">
        <v>67</v>
      </c>
      <c r="EQT3" s="10" t="s">
        <v>68</v>
      </c>
      <c r="EQU3" s="10" t="s">
        <v>67</v>
      </c>
      <c r="EQV3" s="10" t="s">
        <v>68</v>
      </c>
      <c r="EQW3" s="10" t="s">
        <v>67</v>
      </c>
      <c r="EQX3" s="10" t="s">
        <v>68</v>
      </c>
      <c r="EQY3" s="10" t="s">
        <v>67</v>
      </c>
      <c r="EQZ3" s="10" t="s">
        <v>68</v>
      </c>
      <c r="ERA3" s="10" t="s">
        <v>67</v>
      </c>
      <c r="ERB3" s="10" t="s">
        <v>68</v>
      </c>
      <c r="ERC3" s="10" t="s">
        <v>67</v>
      </c>
      <c r="ERD3" s="10" t="s">
        <v>68</v>
      </c>
      <c r="ERE3" s="10" t="s">
        <v>67</v>
      </c>
      <c r="ERF3" s="10" t="s">
        <v>68</v>
      </c>
      <c r="ERG3" s="10" t="s">
        <v>67</v>
      </c>
      <c r="ERH3" s="10" t="s">
        <v>68</v>
      </c>
      <c r="ERI3" s="10" t="s">
        <v>67</v>
      </c>
      <c r="ERJ3" s="10" t="s">
        <v>68</v>
      </c>
      <c r="ERK3" s="10" t="s">
        <v>67</v>
      </c>
      <c r="ERL3" s="10" t="s">
        <v>68</v>
      </c>
      <c r="ERM3" s="10" t="s">
        <v>67</v>
      </c>
      <c r="ERN3" s="10" t="s">
        <v>68</v>
      </c>
      <c r="ERO3" s="10" t="s">
        <v>67</v>
      </c>
      <c r="ERP3" s="10" t="s">
        <v>68</v>
      </c>
      <c r="ERQ3" s="10" t="s">
        <v>67</v>
      </c>
      <c r="ERR3" s="10" t="s">
        <v>68</v>
      </c>
      <c r="ERS3" s="10" t="s">
        <v>67</v>
      </c>
      <c r="ERT3" s="10" t="s">
        <v>68</v>
      </c>
      <c r="ERU3" s="10" t="s">
        <v>67</v>
      </c>
      <c r="ERV3" s="10" t="s">
        <v>68</v>
      </c>
      <c r="ERW3" s="10" t="s">
        <v>67</v>
      </c>
      <c r="ERX3" s="10" t="s">
        <v>68</v>
      </c>
      <c r="ERY3" s="10" t="s">
        <v>67</v>
      </c>
      <c r="ERZ3" s="10" t="s">
        <v>68</v>
      </c>
      <c r="ESA3" s="10" t="s">
        <v>67</v>
      </c>
      <c r="ESB3" s="10" t="s">
        <v>68</v>
      </c>
      <c r="ESC3" s="10" t="s">
        <v>67</v>
      </c>
      <c r="ESD3" s="10" t="s">
        <v>68</v>
      </c>
      <c r="ESE3" s="10" t="s">
        <v>67</v>
      </c>
      <c r="ESF3" s="10" t="s">
        <v>68</v>
      </c>
      <c r="ESG3" s="10" t="s">
        <v>67</v>
      </c>
      <c r="ESH3" s="10" t="s">
        <v>68</v>
      </c>
      <c r="ESI3" s="10" t="s">
        <v>67</v>
      </c>
      <c r="ESJ3" s="10" t="s">
        <v>68</v>
      </c>
      <c r="ESK3" s="10" t="s">
        <v>67</v>
      </c>
      <c r="ESL3" s="10" t="s">
        <v>68</v>
      </c>
      <c r="ESM3" s="10" t="s">
        <v>67</v>
      </c>
      <c r="ESN3" s="10" t="s">
        <v>68</v>
      </c>
      <c r="ESO3" s="10" t="s">
        <v>67</v>
      </c>
      <c r="ESP3" s="10" t="s">
        <v>68</v>
      </c>
      <c r="ESQ3" s="10" t="s">
        <v>67</v>
      </c>
      <c r="ESR3" s="10" t="s">
        <v>68</v>
      </c>
      <c r="ESS3" s="10" t="s">
        <v>67</v>
      </c>
      <c r="EST3" s="10" t="s">
        <v>68</v>
      </c>
      <c r="ESU3" s="10" t="s">
        <v>67</v>
      </c>
      <c r="ESV3" s="10" t="s">
        <v>68</v>
      </c>
      <c r="ESW3" s="10" t="s">
        <v>67</v>
      </c>
      <c r="ESX3" s="10" t="s">
        <v>68</v>
      </c>
      <c r="ESY3" s="10" t="s">
        <v>67</v>
      </c>
      <c r="ESZ3" s="10" t="s">
        <v>68</v>
      </c>
      <c r="ETA3" s="10" t="s">
        <v>67</v>
      </c>
      <c r="ETB3" s="10" t="s">
        <v>68</v>
      </c>
      <c r="ETC3" s="10" t="s">
        <v>67</v>
      </c>
      <c r="ETD3" s="10" t="s">
        <v>68</v>
      </c>
      <c r="ETE3" s="10" t="s">
        <v>67</v>
      </c>
      <c r="ETF3" s="10" t="s">
        <v>68</v>
      </c>
      <c r="ETG3" s="10" t="s">
        <v>67</v>
      </c>
      <c r="ETH3" s="10" t="s">
        <v>68</v>
      </c>
      <c r="ETI3" s="10" t="s">
        <v>67</v>
      </c>
      <c r="ETJ3" s="10" t="s">
        <v>68</v>
      </c>
      <c r="ETK3" s="10" t="s">
        <v>67</v>
      </c>
      <c r="ETL3" s="10" t="s">
        <v>68</v>
      </c>
      <c r="ETM3" s="10" t="s">
        <v>67</v>
      </c>
      <c r="ETN3" s="10" t="s">
        <v>68</v>
      </c>
      <c r="ETO3" s="10" t="s">
        <v>67</v>
      </c>
      <c r="ETP3" s="10" t="s">
        <v>68</v>
      </c>
      <c r="ETQ3" s="10" t="s">
        <v>67</v>
      </c>
      <c r="ETR3" s="10" t="s">
        <v>68</v>
      </c>
      <c r="ETS3" s="10" t="s">
        <v>67</v>
      </c>
      <c r="ETT3" s="10" t="s">
        <v>68</v>
      </c>
      <c r="ETU3" s="10" t="s">
        <v>67</v>
      </c>
      <c r="ETV3" s="10" t="s">
        <v>68</v>
      </c>
      <c r="ETW3" s="10" t="s">
        <v>67</v>
      </c>
      <c r="ETX3" s="10" t="s">
        <v>68</v>
      </c>
      <c r="ETY3" s="10" t="s">
        <v>67</v>
      </c>
      <c r="ETZ3" s="10" t="s">
        <v>68</v>
      </c>
      <c r="EUA3" s="10" t="s">
        <v>67</v>
      </c>
      <c r="EUB3" s="10" t="s">
        <v>68</v>
      </c>
      <c r="EUC3" s="10" t="s">
        <v>67</v>
      </c>
      <c r="EUD3" s="10" t="s">
        <v>68</v>
      </c>
      <c r="EUE3" s="10" t="s">
        <v>67</v>
      </c>
      <c r="EUF3" s="10" t="s">
        <v>68</v>
      </c>
      <c r="EUG3" s="10" t="s">
        <v>67</v>
      </c>
      <c r="EUH3" s="10" t="s">
        <v>68</v>
      </c>
      <c r="EUI3" s="10" t="s">
        <v>67</v>
      </c>
      <c r="EUJ3" s="10" t="s">
        <v>68</v>
      </c>
      <c r="EUK3" s="10" t="s">
        <v>67</v>
      </c>
      <c r="EUL3" s="10" t="s">
        <v>68</v>
      </c>
      <c r="EUM3" s="10" t="s">
        <v>67</v>
      </c>
      <c r="EUN3" s="10" t="s">
        <v>68</v>
      </c>
      <c r="EUO3" s="10" t="s">
        <v>67</v>
      </c>
      <c r="EUP3" s="10" t="s">
        <v>68</v>
      </c>
      <c r="EUQ3" s="10" t="s">
        <v>67</v>
      </c>
      <c r="EUR3" s="10" t="s">
        <v>68</v>
      </c>
      <c r="EUS3" s="10" t="s">
        <v>67</v>
      </c>
      <c r="EUT3" s="10" t="s">
        <v>68</v>
      </c>
      <c r="EUU3" s="10" t="s">
        <v>67</v>
      </c>
      <c r="EUV3" s="10" t="s">
        <v>68</v>
      </c>
      <c r="EUW3" s="10" t="s">
        <v>67</v>
      </c>
      <c r="EUX3" s="10" t="s">
        <v>68</v>
      </c>
      <c r="EUY3" s="10" t="s">
        <v>67</v>
      </c>
      <c r="EUZ3" s="10" t="s">
        <v>68</v>
      </c>
      <c r="EVA3" s="10" t="s">
        <v>67</v>
      </c>
      <c r="EVB3" s="10" t="s">
        <v>68</v>
      </c>
      <c r="EVC3" s="10" t="s">
        <v>67</v>
      </c>
      <c r="EVD3" s="10" t="s">
        <v>68</v>
      </c>
      <c r="EVE3" s="10" t="s">
        <v>67</v>
      </c>
      <c r="EVF3" s="10" t="s">
        <v>68</v>
      </c>
      <c r="EVG3" s="10" t="s">
        <v>67</v>
      </c>
      <c r="EVH3" s="10" t="s">
        <v>68</v>
      </c>
      <c r="EVI3" s="10" t="s">
        <v>67</v>
      </c>
      <c r="EVJ3" s="10" t="s">
        <v>68</v>
      </c>
      <c r="EVK3" s="10" t="s">
        <v>67</v>
      </c>
      <c r="EVL3" s="10" t="s">
        <v>68</v>
      </c>
      <c r="EVM3" s="10" t="s">
        <v>67</v>
      </c>
      <c r="EVN3" s="10" t="s">
        <v>68</v>
      </c>
      <c r="EVO3" s="10" t="s">
        <v>67</v>
      </c>
      <c r="EVP3" s="10" t="s">
        <v>68</v>
      </c>
      <c r="EVQ3" s="10" t="s">
        <v>67</v>
      </c>
      <c r="EVR3" s="10" t="s">
        <v>68</v>
      </c>
      <c r="EVS3" s="10" t="s">
        <v>67</v>
      </c>
      <c r="EVT3" s="10" t="s">
        <v>68</v>
      </c>
      <c r="EVU3" s="10" t="s">
        <v>67</v>
      </c>
      <c r="EVV3" s="10" t="s">
        <v>68</v>
      </c>
      <c r="EVW3" s="10" t="s">
        <v>67</v>
      </c>
      <c r="EVX3" s="10" t="s">
        <v>68</v>
      </c>
      <c r="EVY3" s="10" t="s">
        <v>67</v>
      </c>
      <c r="EVZ3" s="10" t="s">
        <v>68</v>
      </c>
      <c r="EWA3" s="10" t="s">
        <v>67</v>
      </c>
      <c r="EWB3" s="10" t="s">
        <v>68</v>
      </c>
      <c r="EWC3" s="10" t="s">
        <v>67</v>
      </c>
      <c r="EWD3" s="10" t="s">
        <v>68</v>
      </c>
      <c r="EWE3" s="10" t="s">
        <v>67</v>
      </c>
      <c r="EWF3" s="10" t="s">
        <v>68</v>
      </c>
      <c r="EWG3" s="10" t="s">
        <v>67</v>
      </c>
      <c r="EWH3" s="10" t="s">
        <v>68</v>
      </c>
      <c r="EWI3" s="10" t="s">
        <v>67</v>
      </c>
      <c r="EWJ3" s="10" t="s">
        <v>68</v>
      </c>
      <c r="EWK3" s="10" t="s">
        <v>67</v>
      </c>
      <c r="EWL3" s="10" t="s">
        <v>68</v>
      </c>
      <c r="EWM3" s="10" t="s">
        <v>67</v>
      </c>
      <c r="EWN3" s="10" t="s">
        <v>68</v>
      </c>
      <c r="EWO3" s="10" t="s">
        <v>67</v>
      </c>
      <c r="EWP3" s="10" t="s">
        <v>68</v>
      </c>
      <c r="EWQ3" s="10" t="s">
        <v>67</v>
      </c>
      <c r="EWR3" s="10" t="s">
        <v>68</v>
      </c>
      <c r="EWS3" s="10" t="s">
        <v>67</v>
      </c>
      <c r="EWT3" s="10" t="s">
        <v>68</v>
      </c>
      <c r="EWU3" s="10" t="s">
        <v>67</v>
      </c>
      <c r="EWV3" s="10" t="s">
        <v>68</v>
      </c>
    </row>
    <row r="4" spans="1:4000">
      <c r="A4" s="9">
        <f>BDH(A$1,"TOT_RETURN_INDEX_GROSS_DVDS",DataStart,DataEnd,"Per=M","Days=A","Fill=P","Currency="&amp;FxCurrency)</f>
        <v/>
      </c>
      <c r="C4" s="9">
        <f>BDH(C$1,"TOT_RETURN_INDEX_GROSS_DVDS",DataStart,DataEnd,"Per=M","Days=A","Fill=P","Currency="&amp;FxCurrency)</f>
        <v/>
      </c>
      <c r="E4" s="9">
        <f>BDH(E$1,"TOT_RETURN_INDEX_GROSS_DVDS",DataStart,DataEnd,"Per=M","Days=A","Fill=P","Currency="&amp;FxCurrency)</f>
        <v/>
      </c>
      <c r="G4" s="9">
        <f>BDH(G$1,"TOT_RETURN_INDEX_GROSS_DVDS",DataStart,DataEnd,"Per=M","Days=A","Fill=P","Currency="&amp;FxCurrency)</f>
        <v/>
      </c>
      <c r="I4" s="9">
        <f>BDH(I$1,"TOT_RETURN_INDEX_GROSS_DVDS",DataStart,DataEnd,"Per=M","Days=A","Fill=P","Currency="&amp;FxCurrency)</f>
        <v/>
      </c>
      <c r="K4" s="9">
        <f>BDH(K$1,"TOT_RETURN_INDEX_GROSS_DVDS",DataStart,DataEnd,"Per=M","Days=A","Fill=P","Currency="&amp;FxCurrency)</f>
        <v/>
      </c>
      <c r="M4" s="9">
        <f>BDH(M$1,"TOT_RETURN_INDEX_GROSS_DVDS",DataStart,DataEnd,"Per=M","Days=A","Fill=P","Currency="&amp;FxCurrency)</f>
        <v/>
      </c>
      <c r="O4" s="9">
        <f>BDH(O$1,"TOT_RETURN_INDEX_GROSS_DVDS",DataStart,DataEnd,"Per=M","Days=A","Fill=P","Currency="&amp;FxCurrency)</f>
        <v/>
      </c>
      <c r="Q4" s="9">
        <f>BDH(Q$1,"TOT_RETURN_INDEX_GROSS_DVDS",DataStart,DataEnd,"Per=M","Days=A","Fill=P","Currency="&amp;FxCurrency)</f>
        <v/>
      </c>
      <c r="S4" s="9">
        <f>BDH(S$1,"TOT_RETURN_INDEX_GROSS_DVDS",DataStart,DataEnd,"Per=M","Days=A","Fill=P","Currency="&amp;FxCurrency)</f>
        <v/>
      </c>
      <c r="U4" s="9">
        <f>BDH(U$1,"TOT_RETURN_INDEX_GROSS_DVDS",DataStart,DataEnd,"Per=M","Days=A","Fill=P","Currency="&amp;FxCurrency)</f>
        <v/>
      </c>
      <c r="W4" s="9">
        <f>BDH(W$1,"TOT_RETURN_INDEX_GROSS_DVDS",DataStart,DataEnd,"Per=M","Days=A","Fill=P","Currency="&amp;FxCurrency)</f>
        <v/>
      </c>
      <c r="Y4" s="9">
        <f>BDH(Y$1,"TOT_RETURN_INDEX_GROSS_DVDS",DataStart,DataEnd,"Per=M","Days=A","Fill=P","Currency="&amp;FxCurrency)</f>
        <v/>
      </c>
      <c r="AA4" s="9">
        <f>BDH(AA$1,"TOT_RETURN_INDEX_GROSS_DVDS",DataStart,DataEnd,"Per=M","Days=A","Fill=P","Currency="&amp;FxCurrency)</f>
        <v/>
      </c>
      <c r="AC4" s="9">
        <f>BDH(AC$1,"TOT_RETURN_INDEX_GROSS_DVDS",DataStart,DataEnd,"Per=M","Days=A","Fill=P","Currency="&amp;FxCurrency)</f>
        <v/>
      </c>
      <c r="AE4" s="9">
        <f>BDH(AE$1,"TOT_RETURN_INDEX_GROSS_DVDS",DataStart,DataEnd,"Per=M","Days=A","Fill=P","Currency="&amp;FxCurrency)</f>
        <v/>
      </c>
      <c r="AG4" s="9">
        <f>BDH(AG$1,"TOT_RETURN_INDEX_GROSS_DVDS",DataStart,DataEnd,"Per=M","Days=A","Fill=P","Currency="&amp;FxCurrency)</f>
        <v/>
      </c>
      <c r="AI4" s="9">
        <f>BDH(AI$1,"TOT_RETURN_INDEX_GROSS_DVDS",DataStart,DataEnd,"Per=M","Days=A","Fill=P","Currency="&amp;FxCurrency)</f>
        <v/>
      </c>
      <c r="AK4" s="9">
        <f>BDH(AK$1,"TOT_RETURN_INDEX_GROSS_DVDS",DataStart,DataEnd,"Per=M","Days=A","Fill=P","Currency="&amp;FxCurrency)</f>
        <v/>
      </c>
      <c r="AM4" s="9">
        <f>BDH(AM$1,"TOT_RETURN_INDEX_GROSS_DVDS",DataStart,DataEnd,"Per=M","Days=A","Fill=P","Currency="&amp;FxCurrency)</f>
        <v/>
      </c>
      <c r="AO4" s="9">
        <f>BDH(AO$1,"TOT_RETURN_INDEX_GROSS_DVDS",DataStart,DataEnd,"Per=M","Days=A","Fill=P","Currency="&amp;FxCurrency)</f>
        <v/>
      </c>
      <c r="AQ4" s="9">
        <f>BDH(AQ$1,"TOT_RETURN_INDEX_GROSS_DVDS",DataStart,DataEnd,"Per=M","Days=A","Fill=P","Currency="&amp;FxCurrency)</f>
        <v/>
      </c>
      <c r="AS4" s="9">
        <f>BDH(AS$1,"TOT_RETURN_INDEX_GROSS_DVDS",DataStart,DataEnd,"Per=M","Days=A","Fill=P","Currency="&amp;FxCurrency)</f>
        <v/>
      </c>
      <c r="AU4" s="9">
        <f>BDH(AU$1,"TOT_RETURN_INDEX_GROSS_DVDS",DataStart,DataEnd,"Per=M","Days=A","Fill=P","Currency="&amp;FxCurrency)</f>
        <v/>
      </c>
      <c r="AW4" s="9">
        <f>BDH(AW$1,"TOT_RETURN_INDEX_GROSS_DVDS",DataStart,DataEnd,"Per=M","Days=A","Fill=P","Currency="&amp;FxCurrency)</f>
        <v/>
      </c>
      <c r="AY4" s="9">
        <f>BDH(AY$1,"TOT_RETURN_INDEX_GROSS_DVDS",DataStart,DataEnd,"Per=M","Days=A","Fill=P","Currency="&amp;FxCurrency)</f>
        <v/>
      </c>
      <c r="BA4" s="9">
        <f>BDH(BA$1,"TOT_RETURN_INDEX_GROSS_DVDS",DataStart,DataEnd,"Per=M","Days=A","Fill=P","Currency="&amp;FxCurrency)</f>
        <v/>
      </c>
      <c r="BC4" s="9">
        <f>BDH(BC$1,"TOT_RETURN_INDEX_GROSS_DVDS",DataStart,DataEnd,"Per=M","Days=A","Fill=P","Currency="&amp;FxCurrency)</f>
        <v/>
      </c>
      <c r="BE4" s="9">
        <f>BDH(BE$1,"TOT_RETURN_INDEX_GROSS_DVDS",DataStart,DataEnd,"Per=M","Days=A","Fill=P","Currency="&amp;FxCurrency)</f>
        <v/>
      </c>
      <c r="BG4" s="9">
        <f>BDH(BG$1,"TOT_RETURN_INDEX_GROSS_DVDS",DataStart,DataEnd,"Per=M","Days=A","Fill=P","Currency="&amp;FxCurrency)</f>
        <v/>
      </c>
      <c r="BI4" s="9">
        <f>BDH(BI$1,"TOT_RETURN_INDEX_GROSS_DVDS",DataStart,DataEnd,"Per=M","Days=A","Fill=P","Currency="&amp;FxCurrency)</f>
        <v/>
      </c>
      <c r="BK4" s="9">
        <f>BDH(BK$1,"TOT_RETURN_INDEX_GROSS_DVDS",DataStart,DataEnd,"Per=M","Days=A","Fill=P","Currency="&amp;FxCurrency)</f>
        <v/>
      </c>
      <c r="BM4" s="9">
        <f>BDH(BM$1,"TOT_RETURN_INDEX_GROSS_DVDS",DataStart,DataEnd,"Per=M","Days=A","Fill=P","Currency="&amp;FxCurrency)</f>
        <v/>
      </c>
      <c r="BO4" s="9">
        <f>BDH(BO$1,"TOT_RETURN_INDEX_GROSS_DVDS",DataStart,DataEnd,"Per=M","Days=A","Fill=P","Currency="&amp;FxCurrency)</f>
        <v/>
      </c>
      <c r="BQ4" s="9">
        <f>BDH(BQ$1,"TOT_RETURN_INDEX_GROSS_DVDS",DataStart,DataEnd,"Per=M","Days=A","Fill=P","Currency="&amp;FxCurrency)</f>
        <v/>
      </c>
      <c r="BS4" s="9">
        <f>BDH(BS$1,"TOT_RETURN_INDEX_GROSS_DVDS",DataStart,DataEnd,"Per=M","Days=A","Fill=P","Currency="&amp;FxCurrency)</f>
        <v/>
      </c>
      <c r="BU4" s="9">
        <f>BDH(BU$1,"TOT_RETURN_INDEX_GROSS_DVDS",DataStart,DataEnd,"Per=M","Days=A","Fill=P","Currency="&amp;FxCurrency)</f>
        <v/>
      </c>
      <c r="BW4" s="9">
        <f>BDH(BW$1,"TOT_RETURN_INDEX_GROSS_DVDS",DataStart,DataEnd,"Per=M","Days=A","Fill=P","Currency="&amp;FxCurrency)</f>
        <v/>
      </c>
      <c r="BY4" s="9">
        <f>BDH(BY$1,"TOT_RETURN_INDEX_GROSS_DVDS",DataStart,DataEnd,"Per=M","Days=A","Fill=P","Currency="&amp;FxCurrency)</f>
        <v/>
      </c>
      <c r="CA4" s="9">
        <f>BDH(CA$1,"TOT_RETURN_INDEX_GROSS_DVDS",DataStart,DataEnd,"Per=M","Days=A","Fill=P","Currency="&amp;FxCurrency)</f>
        <v/>
      </c>
      <c r="CC4" s="9">
        <f>BDH(CC$1,"TOT_RETURN_INDEX_GROSS_DVDS",DataStart,DataEnd,"Per=M","Days=A","Fill=P","Currency="&amp;FxCurrency)</f>
        <v/>
      </c>
      <c r="CE4" s="9">
        <f>BDH(CE$1,"TOT_RETURN_INDEX_GROSS_DVDS",DataStart,DataEnd,"Per=M","Days=A","Fill=P","Currency="&amp;FxCurrency)</f>
        <v/>
      </c>
      <c r="CG4" s="9">
        <f>BDH(CG$1,"TOT_RETURN_INDEX_GROSS_DVDS",DataStart,DataEnd,"Per=M","Days=A","Fill=P","Currency="&amp;FxCurrency)</f>
        <v/>
      </c>
      <c r="CI4" s="9">
        <f>BDH(CI$1,"TOT_RETURN_INDEX_GROSS_DVDS",DataStart,DataEnd,"Per=M","Days=A","Fill=P","Currency="&amp;FxCurrency)</f>
        <v/>
      </c>
      <c r="CK4" s="9">
        <f>BDH(CK$1,"TOT_RETURN_INDEX_GROSS_DVDS",DataStart,DataEnd,"Per=M","Days=A","Fill=P","Currency="&amp;FxCurrency)</f>
        <v/>
      </c>
      <c r="CM4" s="9">
        <f>BDH(CM$1,"TOT_RETURN_INDEX_GROSS_DVDS",DataStart,DataEnd,"Per=M","Days=A","Fill=P","Currency="&amp;FxCurrency)</f>
        <v/>
      </c>
      <c r="CO4" s="9">
        <f>BDH(CO$1,"TOT_RETURN_INDEX_GROSS_DVDS",DataStart,DataEnd,"Per=M","Days=A","Fill=P","Currency="&amp;FxCurrency)</f>
        <v/>
      </c>
      <c r="CQ4" s="9">
        <f>BDH(CQ$1,"TOT_RETURN_INDEX_GROSS_DVDS",DataStart,DataEnd,"Per=M","Days=A","Fill=P","Currency="&amp;FxCurrency)</f>
        <v/>
      </c>
      <c r="CS4" s="9">
        <f>BDH(CS$1,"TOT_RETURN_INDEX_GROSS_DVDS",DataStart,DataEnd,"Per=M","Days=A","Fill=P","Currency="&amp;FxCurrency)</f>
        <v/>
      </c>
      <c r="CU4" s="9">
        <f>BDH(CU$1,"TOT_RETURN_INDEX_GROSS_DVDS",DataStart,DataEnd,"Per=M","Days=A","Fill=P","Currency="&amp;FxCurrency)</f>
        <v/>
      </c>
      <c r="CW4" s="9">
        <f>BDH(CW$1,"TOT_RETURN_INDEX_GROSS_DVDS",DataStart,DataEnd,"Per=M","Days=A","Fill=P","Currency="&amp;FxCurrency)</f>
        <v/>
      </c>
      <c r="CY4" s="9">
        <f>BDH(CY$1,"TOT_RETURN_INDEX_GROSS_DVDS",DataStart,DataEnd,"Per=M","Days=A","Fill=P","Currency="&amp;FxCurrency)</f>
        <v/>
      </c>
      <c r="DA4" s="9">
        <f>BDH(DA$1,"TOT_RETURN_INDEX_GROSS_DVDS",DataStart,DataEnd,"Per=M","Days=A","Fill=P","Currency="&amp;FxCurrency)</f>
        <v/>
      </c>
      <c r="DC4" s="9">
        <f>BDH(DC$1,"TOT_RETURN_INDEX_GROSS_DVDS",DataStart,DataEnd,"Per=M","Days=A","Fill=P","Currency="&amp;FxCurrency)</f>
        <v/>
      </c>
      <c r="DE4" s="9">
        <f>BDH(DE$1,"TOT_RETURN_INDEX_GROSS_DVDS",DataStart,DataEnd,"Per=M","Days=A","Fill=P","Currency="&amp;FxCurrency)</f>
        <v/>
      </c>
      <c r="DG4" s="9">
        <f>BDH(DG$1,"TOT_RETURN_INDEX_GROSS_DVDS",DataStart,DataEnd,"Per=M","Days=A","Fill=P","Currency="&amp;FxCurrency)</f>
        <v/>
      </c>
      <c r="DI4" s="9">
        <f>BDH(DI$1,"TOT_RETURN_INDEX_GROSS_DVDS",DataStart,DataEnd,"Per=M","Days=A","Fill=P","Currency="&amp;FxCurrency)</f>
        <v/>
      </c>
      <c r="DK4" s="9">
        <f>BDH(DK$1,"TOT_RETURN_INDEX_GROSS_DVDS",DataStart,DataEnd,"Per=M","Days=A","Fill=P","Currency="&amp;FxCurrency)</f>
        <v/>
      </c>
      <c r="DM4" s="9">
        <f>BDH(DM$1,"TOT_RETURN_INDEX_GROSS_DVDS",DataStart,DataEnd,"Per=M","Days=A","Fill=P","Currency="&amp;FxCurrency)</f>
        <v/>
      </c>
      <c r="DO4" s="9">
        <f>BDH(DO$1,"TOT_RETURN_INDEX_GROSS_DVDS",DataStart,DataEnd,"Per=M","Days=A","Fill=P","Currency="&amp;FxCurrency)</f>
        <v/>
      </c>
      <c r="DQ4" s="9">
        <f>BDH(DQ$1,"TOT_RETURN_INDEX_GROSS_DVDS",DataStart,DataEnd,"Per=M","Days=A","Fill=P","Currency="&amp;FxCurrency)</f>
        <v/>
      </c>
      <c r="DS4" s="9">
        <f>BDH(DS$1,"TOT_RETURN_INDEX_GROSS_DVDS",DataStart,DataEnd,"Per=M","Days=A","Fill=P","Currency="&amp;FxCurrency)</f>
        <v/>
      </c>
      <c r="DU4" s="9">
        <f>BDH(DU$1,"TOT_RETURN_INDEX_GROSS_DVDS",DataStart,DataEnd,"Per=M","Days=A","Fill=P","Currency="&amp;FxCurrency)</f>
        <v/>
      </c>
      <c r="DW4" s="9">
        <f>BDH(DW$1,"TOT_RETURN_INDEX_GROSS_DVDS",DataStart,DataEnd,"Per=M","Days=A","Fill=P","Currency="&amp;FxCurrency)</f>
        <v/>
      </c>
      <c r="DY4" s="9">
        <f>BDH(DY$1,"TOT_RETURN_INDEX_GROSS_DVDS",DataStart,DataEnd,"Per=M","Days=A","Fill=P","Currency="&amp;FxCurrency)</f>
        <v/>
      </c>
      <c r="EA4" s="9">
        <f>BDH(EA$1,"TOT_RETURN_INDEX_GROSS_DVDS",DataStart,DataEnd,"Per=M","Days=A","Fill=P","Currency="&amp;FxCurrency)</f>
        <v/>
      </c>
      <c r="EC4" s="9">
        <f>BDH(EC$1,"TOT_RETURN_INDEX_GROSS_DVDS",DataStart,DataEnd,"Per=M","Days=A","Fill=P","Currency="&amp;FxCurrency)</f>
        <v/>
      </c>
      <c r="EE4" s="9">
        <f>BDH(EE$1,"TOT_RETURN_INDEX_GROSS_DVDS",DataStart,DataEnd,"Per=M","Days=A","Fill=P","Currency="&amp;FxCurrency)</f>
        <v/>
      </c>
      <c r="EG4" s="9">
        <f>BDH(EG$1,"TOT_RETURN_INDEX_GROSS_DVDS",DataStart,DataEnd,"Per=M","Days=A","Fill=P","Currency="&amp;FxCurrency)</f>
        <v/>
      </c>
      <c r="EI4" s="9">
        <f>BDH(EI$1,"TOT_RETURN_INDEX_GROSS_DVDS",DataStart,DataEnd,"Per=M","Days=A","Fill=P","Currency="&amp;FxCurrency)</f>
        <v/>
      </c>
      <c r="EK4" s="9">
        <f>BDH(EK$1,"TOT_RETURN_INDEX_GROSS_DVDS",DataStart,DataEnd,"Per=M","Days=A","Fill=P","Currency="&amp;FxCurrency)</f>
        <v/>
      </c>
      <c r="EM4" s="9">
        <f>BDH(EM$1,"TOT_RETURN_INDEX_GROSS_DVDS",DataStart,DataEnd,"Per=M","Days=A","Fill=P","Currency="&amp;FxCurrency)</f>
        <v/>
      </c>
      <c r="EO4" s="9">
        <f>BDH(EO$1,"TOT_RETURN_INDEX_GROSS_DVDS",DataStart,DataEnd,"Per=M","Days=A","Fill=P","Currency="&amp;FxCurrency)</f>
        <v/>
      </c>
      <c r="EQ4" s="9">
        <f>BDH(EQ$1,"TOT_RETURN_INDEX_GROSS_DVDS",DataStart,DataEnd,"Per=M","Days=A","Fill=P","Currency="&amp;FxCurrency)</f>
        <v/>
      </c>
      <c r="ES4" s="9">
        <f>BDH(ES$1,"TOT_RETURN_INDEX_GROSS_DVDS",DataStart,DataEnd,"Per=M","Days=A","Fill=P","Currency="&amp;FxCurrency)</f>
        <v/>
      </c>
      <c r="EU4" s="9">
        <f>BDH(EU$1,"TOT_RETURN_INDEX_GROSS_DVDS",DataStart,DataEnd,"Per=M","Days=A","Fill=P","Currency="&amp;FxCurrency)</f>
        <v/>
      </c>
      <c r="EW4" s="9">
        <f>BDH(EW$1,"TOT_RETURN_INDEX_GROSS_DVDS",DataStart,DataEnd,"Per=M","Days=A","Fill=P","Currency="&amp;FxCurrency)</f>
        <v/>
      </c>
      <c r="EY4" s="9">
        <f>BDH(EY$1,"TOT_RETURN_INDEX_GROSS_DVDS",DataStart,DataEnd,"Per=M","Days=A","Fill=P","Currency="&amp;FxCurrency)</f>
        <v/>
      </c>
      <c r="FA4" s="9">
        <f>BDH(FA$1,"TOT_RETURN_INDEX_GROSS_DVDS",DataStart,DataEnd,"Per=M","Days=A","Fill=P","Currency="&amp;FxCurrency)</f>
        <v/>
      </c>
      <c r="FC4" s="9">
        <f>BDH(FC$1,"TOT_RETURN_INDEX_GROSS_DVDS",DataStart,DataEnd,"Per=M","Days=A","Fill=P","Currency="&amp;FxCurrency)</f>
        <v/>
      </c>
      <c r="FE4" s="9">
        <f>BDH(FE$1,"TOT_RETURN_INDEX_GROSS_DVDS",DataStart,DataEnd,"Per=M","Days=A","Fill=P","Currency="&amp;FxCurrency)</f>
        <v/>
      </c>
      <c r="FG4" s="9">
        <f>BDH(FG$1,"TOT_RETURN_INDEX_GROSS_DVDS",DataStart,DataEnd,"Per=M","Days=A","Fill=P","Currency="&amp;FxCurrency)</f>
        <v/>
      </c>
      <c r="FI4" s="9">
        <f>BDH(FI$1,"TOT_RETURN_INDEX_GROSS_DVDS",DataStart,DataEnd,"Per=M","Days=A","Fill=P","Currency="&amp;FxCurrency)</f>
        <v/>
      </c>
      <c r="FK4" s="9">
        <f>BDH(FK$1,"TOT_RETURN_INDEX_GROSS_DVDS",DataStart,DataEnd,"Per=M","Days=A","Fill=P","Currency="&amp;FxCurrency)</f>
        <v/>
      </c>
      <c r="FM4" s="9">
        <f>BDH(FM$1,"TOT_RETURN_INDEX_GROSS_DVDS",DataStart,DataEnd,"Per=M","Days=A","Fill=P","Currency="&amp;FxCurrency)</f>
        <v/>
      </c>
      <c r="FO4" s="9">
        <f>BDH(FO$1,"TOT_RETURN_INDEX_GROSS_DVDS",DataStart,DataEnd,"Per=M","Days=A","Fill=P","Currency="&amp;FxCurrency)</f>
        <v/>
      </c>
      <c r="FQ4" s="9">
        <f>BDH(FQ$1,"TOT_RETURN_INDEX_GROSS_DVDS",DataStart,DataEnd,"Per=M","Days=A","Fill=P","Currency="&amp;FxCurrency)</f>
        <v/>
      </c>
      <c r="FS4" s="9">
        <f>BDH(FS$1,"TOT_RETURN_INDEX_GROSS_DVDS",DataStart,DataEnd,"Per=M","Days=A","Fill=P","Currency="&amp;FxCurrency)</f>
        <v/>
      </c>
      <c r="FU4" s="9">
        <f>BDH(FU$1,"TOT_RETURN_INDEX_GROSS_DVDS",DataStart,DataEnd,"Per=M","Days=A","Fill=P","Currency="&amp;FxCurrency)</f>
        <v/>
      </c>
      <c r="FW4" s="9">
        <f>BDH(FW$1,"TOT_RETURN_INDEX_GROSS_DVDS",DataStart,DataEnd,"Per=M","Days=A","Fill=P","Currency="&amp;FxCurrency)</f>
        <v/>
      </c>
      <c r="FY4" s="9">
        <f>BDH(FY$1,"TOT_RETURN_INDEX_GROSS_DVDS",DataStart,DataEnd,"Per=M","Days=A","Fill=P","Currency="&amp;FxCurrency)</f>
        <v/>
      </c>
      <c r="GA4" s="9">
        <f>BDH(GA$1,"TOT_RETURN_INDEX_GROSS_DVDS",DataStart,DataEnd,"Per=M","Days=A","Fill=P","Currency="&amp;FxCurrency)</f>
        <v/>
      </c>
      <c r="GC4" s="9">
        <f>BDH(GC$1,"TOT_RETURN_INDEX_GROSS_DVDS",DataStart,DataEnd,"Per=M","Days=A","Fill=P","Currency="&amp;FxCurrency)</f>
        <v/>
      </c>
      <c r="GE4" s="9">
        <f>BDH(GE$1,"TOT_RETURN_INDEX_GROSS_DVDS",DataStart,DataEnd,"Per=M","Days=A","Fill=P","Currency="&amp;FxCurrency)</f>
        <v/>
      </c>
      <c r="GG4" s="9">
        <f>BDH(GG$1,"TOT_RETURN_INDEX_GROSS_DVDS",DataStart,DataEnd,"Per=M","Days=A","Fill=P","Currency="&amp;FxCurrency)</f>
        <v/>
      </c>
      <c r="GI4" s="9">
        <f>BDH(GI$1,"TOT_RETURN_INDEX_GROSS_DVDS",DataStart,DataEnd,"Per=M","Days=A","Fill=P","Currency="&amp;FxCurrency)</f>
        <v/>
      </c>
      <c r="GK4" s="9">
        <f>BDH(GK$1,"TOT_RETURN_INDEX_GROSS_DVDS",DataStart,DataEnd,"Per=M","Days=A","Fill=P","Currency="&amp;FxCurrency)</f>
        <v/>
      </c>
      <c r="GM4" s="9">
        <f>BDH(GM$1,"TOT_RETURN_INDEX_GROSS_DVDS",DataStart,DataEnd,"Per=M","Days=A","Fill=P","Currency="&amp;FxCurrency)</f>
        <v/>
      </c>
      <c r="GO4" s="9">
        <f>BDH(GO$1,"TOT_RETURN_INDEX_GROSS_DVDS",DataStart,DataEnd,"Per=M","Days=A","Fill=P","Currency="&amp;FxCurrency)</f>
        <v/>
      </c>
      <c r="GQ4" s="9">
        <f>BDH(GQ$1,"TOT_RETURN_INDEX_GROSS_DVDS",DataStart,DataEnd,"Per=M","Days=A","Fill=P","Currency="&amp;FxCurrency)</f>
        <v/>
      </c>
      <c r="GS4" s="9">
        <f>BDH(GS$1,"TOT_RETURN_INDEX_GROSS_DVDS",DataStart,DataEnd,"Per=M","Days=A","Fill=P","Currency="&amp;FxCurrency)</f>
        <v/>
      </c>
      <c r="GU4" s="9">
        <f>BDH(GU$1,"TOT_RETURN_INDEX_GROSS_DVDS",DataStart,DataEnd,"Per=M","Days=A","Fill=P","Currency="&amp;FxCurrency)</f>
        <v/>
      </c>
      <c r="GW4" s="9">
        <f>BDH(GW$1,"TOT_RETURN_INDEX_GROSS_DVDS",DataStart,DataEnd,"Per=M","Days=A","Fill=P","Currency="&amp;FxCurrency)</f>
        <v/>
      </c>
      <c r="GY4" s="9">
        <f>BDH(GY$1,"TOT_RETURN_INDEX_GROSS_DVDS",DataStart,DataEnd,"Per=M","Days=A","Fill=P","Currency="&amp;FxCurrency)</f>
        <v/>
      </c>
      <c r="HA4" s="9">
        <f>BDH(HA$1,"TOT_RETURN_INDEX_GROSS_DVDS",DataStart,DataEnd,"Per=M","Days=A","Fill=P","Currency="&amp;FxCurrency)</f>
        <v/>
      </c>
      <c r="HC4" s="9">
        <f>BDH(HC$1,"TOT_RETURN_INDEX_GROSS_DVDS",DataStart,DataEnd,"Per=M","Days=A","Fill=P","Currency="&amp;FxCurrency)</f>
        <v/>
      </c>
      <c r="HE4" s="9">
        <f>BDH(HE$1,"TOT_RETURN_INDEX_GROSS_DVDS",DataStart,DataEnd,"Per=M","Days=A","Fill=P","Currency="&amp;FxCurrency)</f>
        <v/>
      </c>
      <c r="HG4" s="9">
        <f>BDH(HG$1,"TOT_RETURN_INDEX_GROSS_DVDS",DataStart,DataEnd,"Per=M","Days=A","Fill=P","Currency="&amp;FxCurrency)</f>
        <v/>
      </c>
      <c r="HI4" s="9">
        <f>BDH(HI$1,"TOT_RETURN_INDEX_GROSS_DVDS",DataStart,DataEnd,"Per=M","Days=A","Fill=P","Currency="&amp;FxCurrency)</f>
        <v/>
      </c>
      <c r="HK4" s="9">
        <f>BDH(HK$1,"TOT_RETURN_INDEX_GROSS_DVDS",DataStart,DataEnd,"Per=M","Days=A","Fill=P","Currency="&amp;FxCurrency)</f>
        <v/>
      </c>
      <c r="HM4" s="9">
        <f>BDH(HM$1,"TOT_RETURN_INDEX_GROSS_DVDS",DataStart,DataEnd,"Per=M","Days=A","Fill=P","Currency="&amp;FxCurrency)</f>
        <v/>
      </c>
      <c r="HO4" s="9">
        <f>BDH(HO$1,"TOT_RETURN_INDEX_GROSS_DVDS",DataStart,DataEnd,"Per=M","Days=A","Fill=P","Currency="&amp;FxCurrency)</f>
        <v/>
      </c>
      <c r="HQ4" s="9">
        <f>BDH(HQ$1,"TOT_RETURN_INDEX_GROSS_DVDS",DataStart,DataEnd,"Per=M","Days=A","Fill=P","Currency="&amp;FxCurrency)</f>
        <v/>
      </c>
      <c r="HS4" s="9">
        <f>BDH(HS$1,"TOT_RETURN_INDEX_GROSS_DVDS",DataStart,DataEnd,"Per=M","Days=A","Fill=P","Currency="&amp;FxCurrency)</f>
        <v/>
      </c>
      <c r="HU4" s="9">
        <f>BDH(HU$1,"TOT_RETURN_INDEX_GROSS_DVDS",DataStart,DataEnd,"Per=M","Days=A","Fill=P","Currency="&amp;FxCurrency)</f>
        <v/>
      </c>
      <c r="HW4" s="9">
        <f>BDH(HW$1,"TOT_RETURN_INDEX_GROSS_DVDS",DataStart,DataEnd,"Per=M","Days=A","Fill=P","Currency="&amp;FxCurrency)</f>
        <v/>
      </c>
      <c r="HY4" s="9">
        <f>BDH(HY$1,"TOT_RETURN_INDEX_GROSS_DVDS",DataStart,DataEnd,"Per=M","Days=A","Fill=P","Currency="&amp;FxCurrency)</f>
        <v/>
      </c>
      <c r="IA4" s="9">
        <f>BDH(IA$1,"TOT_RETURN_INDEX_GROSS_DVDS",DataStart,DataEnd,"Per=M","Days=A","Fill=P","Currency="&amp;FxCurrency)</f>
        <v/>
      </c>
      <c r="IC4" s="9">
        <f>BDH(IC$1,"TOT_RETURN_INDEX_GROSS_DVDS",DataStart,DataEnd,"Per=M","Days=A","Fill=P","Currency="&amp;FxCurrency)</f>
        <v/>
      </c>
      <c r="IE4" s="9">
        <f>BDH(IE$1,"TOT_RETURN_INDEX_GROSS_DVDS",DataStart,DataEnd,"Per=M","Days=A","Fill=P","Currency="&amp;FxCurrency)</f>
        <v/>
      </c>
      <c r="IG4" s="9">
        <f>BDH(IG$1,"TOT_RETURN_INDEX_GROSS_DVDS",DataStart,DataEnd,"Per=M","Days=A","Fill=P","Currency="&amp;FxCurrency)</f>
        <v/>
      </c>
      <c r="II4" s="9">
        <f>BDH(II$1,"TOT_RETURN_INDEX_GROSS_DVDS",DataStart,DataEnd,"Per=M","Days=A","Fill=P","Currency="&amp;FxCurrency)</f>
        <v/>
      </c>
      <c r="IK4" s="9">
        <f>BDH(IK$1,"TOT_RETURN_INDEX_GROSS_DVDS",DataStart,DataEnd,"Per=M","Days=A","Fill=P","Currency="&amp;FxCurrency)</f>
        <v/>
      </c>
      <c r="IM4" s="9">
        <f>BDH(IM$1,"TOT_RETURN_INDEX_GROSS_DVDS",DataStart,DataEnd,"Per=M","Days=A","Fill=P","Currency="&amp;FxCurrency)</f>
        <v/>
      </c>
      <c r="IO4" s="9">
        <f>BDH(IO$1,"TOT_RETURN_INDEX_GROSS_DVDS",DataStart,DataEnd,"Per=M","Days=A","Fill=P","Currency="&amp;FxCurrency)</f>
        <v/>
      </c>
      <c r="IQ4" s="9">
        <f>BDH(IQ$1,"TOT_RETURN_INDEX_GROSS_DVDS",DataStart,DataEnd,"Per=M","Days=A","Fill=P","Currency="&amp;FxCurrency)</f>
        <v/>
      </c>
      <c r="IS4" s="9">
        <f>BDH(IS$1,"TOT_RETURN_INDEX_GROSS_DVDS",DataStart,DataEnd,"Per=M","Days=A","Fill=P","Currency="&amp;FxCurrency)</f>
        <v/>
      </c>
      <c r="IU4" s="9">
        <f>BDH(IU$1,"TOT_RETURN_INDEX_GROSS_DVDS",DataStart,DataEnd,"Per=M","Days=A","Fill=P","Currency="&amp;FxCurrency)</f>
        <v/>
      </c>
      <c r="IW4" s="9">
        <f>BDH(IW$1,"TOT_RETURN_INDEX_GROSS_DVDS",DataStart,DataEnd,"Per=M","Days=A","Fill=P","Currency="&amp;FxCurrency)</f>
        <v/>
      </c>
      <c r="IY4" s="9">
        <f>BDH(IY$1,"TOT_RETURN_INDEX_GROSS_DVDS",DataStart,DataEnd,"Per=M","Days=A","Fill=P","Currency="&amp;FxCurrency)</f>
        <v/>
      </c>
      <c r="JA4" s="9">
        <f>BDH(JA$1,"TOT_RETURN_INDEX_GROSS_DVDS",DataStart,DataEnd,"Per=M","Days=A","Fill=P","Currency="&amp;FxCurrency)</f>
        <v/>
      </c>
      <c r="JC4" s="9">
        <f>BDH(JC$1,"TOT_RETURN_INDEX_GROSS_DVDS",DataStart,DataEnd,"Per=M","Days=A","Fill=P","Currency="&amp;FxCurrency)</f>
        <v/>
      </c>
      <c r="JE4" s="9">
        <f>BDH(JE$1,"TOT_RETURN_INDEX_GROSS_DVDS",DataStart,DataEnd,"Per=M","Days=A","Fill=P","Currency="&amp;FxCurrency)</f>
        <v/>
      </c>
      <c r="JG4" s="9">
        <f>BDH(JG$1,"TOT_RETURN_INDEX_GROSS_DVDS",DataStart,DataEnd,"Per=M","Days=A","Fill=P","Currency="&amp;FxCurrency)</f>
        <v/>
      </c>
      <c r="JI4" s="9">
        <f>BDH(JI$1,"TOT_RETURN_INDEX_GROSS_DVDS",DataStart,DataEnd,"Per=M","Days=A","Fill=P","Currency="&amp;FxCurrency)</f>
        <v/>
      </c>
      <c r="JK4" s="9">
        <f>BDH(JK$1,"TOT_RETURN_INDEX_GROSS_DVDS",DataStart,DataEnd,"Per=M","Days=A","Fill=P","Currency="&amp;FxCurrency)</f>
        <v/>
      </c>
      <c r="JM4" s="9">
        <f>BDH(JM$1,"TOT_RETURN_INDEX_GROSS_DVDS",DataStart,DataEnd,"Per=M","Days=A","Fill=P","Currency="&amp;FxCurrency)</f>
        <v/>
      </c>
      <c r="JO4" s="9">
        <f>BDH(JO$1,"TOT_RETURN_INDEX_GROSS_DVDS",DataStart,DataEnd,"Per=M","Days=A","Fill=P","Currency="&amp;FxCurrency)</f>
        <v/>
      </c>
      <c r="JQ4" s="9">
        <f>BDH(JQ$1,"TOT_RETURN_INDEX_GROSS_DVDS",DataStart,DataEnd,"Per=M","Days=A","Fill=P","Currency="&amp;FxCurrency)</f>
        <v/>
      </c>
      <c r="JS4" s="9">
        <f>BDH(JS$1,"TOT_RETURN_INDEX_GROSS_DVDS",DataStart,DataEnd,"Per=M","Days=A","Fill=P","Currency="&amp;FxCurrency)</f>
        <v/>
      </c>
      <c r="JU4" s="9">
        <f>BDH(JU$1,"TOT_RETURN_INDEX_GROSS_DVDS",DataStart,DataEnd,"Per=M","Days=A","Fill=P","Currency="&amp;FxCurrency)</f>
        <v/>
      </c>
      <c r="JW4" s="9">
        <f>BDH(JW$1,"TOT_RETURN_INDEX_GROSS_DVDS",DataStart,DataEnd,"Per=M","Days=A","Fill=P","Currency="&amp;FxCurrency)</f>
        <v/>
      </c>
      <c r="JY4" s="9">
        <f>BDH(JY$1,"TOT_RETURN_INDEX_GROSS_DVDS",DataStart,DataEnd,"Per=M","Days=A","Fill=P","Currency="&amp;FxCurrency)</f>
        <v/>
      </c>
      <c r="KA4" s="9">
        <f>BDH(KA$1,"TOT_RETURN_INDEX_GROSS_DVDS",DataStart,DataEnd,"Per=M","Days=A","Fill=P","Currency="&amp;FxCurrency)</f>
        <v/>
      </c>
      <c r="KC4" s="9">
        <f>BDH(KC$1,"TOT_RETURN_INDEX_GROSS_DVDS",DataStart,DataEnd,"Per=M","Days=A","Fill=P","Currency="&amp;FxCurrency)</f>
        <v/>
      </c>
      <c r="KE4" s="9">
        <f>BDH(KE$1,"TOT_RETURN_INDEX_GROSS_DVDS",DataStart,DataEnd,"Per=M","Days=A","Fill=P","Currency="&amp;FxCurrency)</f>
        <v/>
      </c>
      <c r="KG4" s="9">
        <f>BDH(KG$1,"TOT_RETURN_INDEX_GROSS_DVDS",DataStart,DataEnd,"Per=M","Days=A","Fill=P","Currency="&amp;FxCurrency)</f>
        <v/>
      </c>
      <c r="KI4" s="9">
        <f>BDH(KI$1,"TOT_RETURN_INDEX_GROSS_DVDS",DataStart,DataEnd,"Per=M","Days=A","Fill=P","Currency="&amp;FxCurrency)</f>
        <v/>
      </c>
      <c r="KK4" s="9">
        <f>BDH(KK$1,"TOT_RETURN_INDEX_GROSS_DVDS",DataStart,DataEnd,"Per=M","Days=A","Fill=P","Currency="&amp;FxCurrency)</f>
        <v/>
      </c>
      <c r="KM4" s="9">
        <f>BDH(KM$1,"TOT_RETURN_INDEX_GROSS_DVDS",DataStart,DataEnd,"Per=M","Days=A","Fill=P","Currency="&amp;FxCurrency)</f>
        <v/>
      </c>
      <c r="KO4" s="9">
        <f>BDH(KO$1,"TOT_RETURN_INDEX_GROSS_DVDS",DataStart,DataEnd,"Per=M","Days=A","Fill=P","Currency="&amp;FxCurrency)</f>
        <v/>
      </c>
      <c r="KQ4" s="9">
        <f>BDH(KQ$1,"TOT_RETURN_INDEX_GROSS_DVDS",DataStart,DataEnd,"Per=M","Days=A","Fill=P","Currency="&amp;FxCurrency)</f>
        <v/>
      </c>
      <c r="KS4" s="9">
        <f>BDH(KS$1,"TOT_RETURN_INDEX_GROSS_DVDS",DataStart,DataEnd,"Per=M","Days=A","Fill=P","Currency="&amp;FxCurrency)</f>
        <v/>
      </c>
      <c r="KU4" s="9">
        <f>BDH(KU$1,"TOT_RETURN_INDEX_GROSS_DVDS",DataStart,DataEnd,"Per=M","Days=A","Fill=P","Currency="&amp;FxCurrency)</f>
        <v/>
      </c>
      <c r="KW4" s="9">
        <f>BDH(KW$1,"TOT_RETURN_INDEX_GROSS_DVDS",DataStart,DataEnd,"Per=M","Days=A","Fill=P","Currency="&amp;FxCurrency)</f>
        <v/>
      </c>
      <c r="KY4" s="9">
        <f>BDH(KY$1,"TOT_RETURN_INDEX_GROSS_DVDS",DataStart,DataEnd,"Per=M","Days=A","Fill=P","Currency="&amp;FxCurrency)</f>
        <v/>
      </c>
      <c r="LA4" s="9">
        <f>BDH(LA$1,"TOT_RETURN_INDEX_GROSS_DVDS",DataStart,DataEnd,"Per=M","Days=A","Fill=P","Currency="&amp;FxCurrency)</f>
        <v/>
      </c>
      <c r="LC4" s="9">
        <f>BDH(LC$1,"TOT_RETURN_INDEX_GROSS_DVDS",DataStart,DataEnd,"Per=M","Days=A","Fill=P","Currency="&amp;FxCurrency)</f>
        <v/>
      </c>
      <c r="LE4" s="9">
        <f>BDH(LE$1,"TOT_RETURN_INDEX_GROSS_DVDS",DataStart,DataEnd,"Per=M","Days=A","Fill=P","Currency="&amp;FxCurrency)</f>
        <v/>
      </c>
      <c r="LG4" s="9">
        <f>BDH(LG$1,"TOT_RETURN_INDEX_GROSS_DVDS",DataStart,DataEnd,"Per=M","Days=A","Fill=P","Currency="&amp;FxCurrency)</f>
        <v/>
      </c>
      <c r="LI4" s="9">
        <f>BDH(LI$1,"TOT_RETURN_INDEX_GROSS_DVDS",DataStart,DataEnd,"Per=M","Days=A","Fill=P","Currency="&amp;FxCurrency)</f>
        <v/>
      </c>
      <c r="LK4" s="9">
        <f>BDH(LK$1,"TOT_RETURN_INDEX_GROSS_DVDS",DataStart,DataEnd,"Per=M","Days=A","Fill=P","Currency="&amp;FxCurrency)</f>
        <v/>
      </c>
      <c r="LM4" s="9">
        <f>BDH(LM$1,"TOT_RETURN_INDEX_GROSS_DVDS",DataStart,DataEnd,"Per=M","Days=A","Fill=P","Currency="&amp;FxCurrency)</f>
        <v/>
      </c>
      <c r="LO4" s="9">
        <f>BDH(LO$1,"TOT_RETURN_INDEX_GROSS_DVDS",DataStart,DataEnd,"Per=M","Days=A","Fill=P","Currency="&amp;FxCurrency)</f>
        <v/>
      </c>
      <c r="LQ4" s="9">
        <f>BDH(LQ$1,"TOT_RETURN_INDEX_GROSS_DVDS",DataStart,DataEnd,"Per=M","Days=A","Fill=P","Currency="&amp;FxCurrency)</f>
        <v/>
      </c>
      <c r="LS4" s="9">
        <f>BDH(LS$1,"TOT_RETURN_INDEX_GROSS_DVDS",DataStart,DataEnd,"Per=M","Days=A","Fill=P","Currency="&amp;FxCurrency)</f>
        <v/>
      </c>
      <c r="LU4" s="9">
        <f>BDH(LU$1,"TOT_RETURN_INDEX_GROSS_DVDS",DataStart,DataEnd,"Per=M","Days=A","Fill=P","Currency="&amp;FxCurrency)</f>
        <v/>
      </c>
      <c r="LW4" s="9">
        <f>BDH(LW$1,"TOT_RETURN_INDEX_GROSS_DVDS",DataStart,DataEnd,"Per=M","Days=A","Fill=P","Currency="&amp;FxCurrency)</f>
        <v/>
      </c>
      <c r="LY4" s="9">
        <f>BDH(LY$1,"TOT_RETURN_INDEX_GROSS_DVDS",DataStart,DataEnd,"Per=M","Days=A","Fill=P","Currency="&amp;FxCurrency)</f>
        <v/>
      </c>
      <c r="MA4" s="9">
        <f>BDH(MA$1,"TOT_RETURN_INDEX_GROSS_DVDS",DataStart,DataEnd,"Per=M","Days=A","Fill=P","Currency="&amp;FxCurrency)</f>
        <v/>
      </c>
      <c r="MC4" s="9">
        <f>BDH(MC$1,"TOT_RETURN_INDEX_GROSS_DVDS",DataStart,DataEnd,"Per=M","Days=A","Fill=P","Currency="&amp;FxCurrency)</f>
        <v/>
      </c>
      <c r="ME4" s="9">
        <f>BDH(ME$1,"TOT_RETURN_INDEX_GROSS_DVDS",DataStart,DataEnd,"Per=M","Days=A","Fill=P","Currency="&amp;FxCurrency)</f>
        <v/>
      </c>
      <c r="MG4" s="9">
        <f>BDH(MG$1,"TOT_RETURN_INDEX_GROSS_DVDS",DataStart,DataEnd,"Per=M","Days=A","Fill=P","Currency="&amp;FxCurrency)</f>
        <v/>
      </c>
      <c r="MI4" s="9">
        <f>BDH(MI$1,"TOT_RETURN_INDEX_GROSS_DVDS",DataStart,DataEnd,"Per=M","Days=A","Fill=P","Currency="&amp;FxCurrency)</f>
        <v/>
      </c>
      <c r="MK4" s="9">
        <f>BDH(MK$1,"TOT_RETURN_INDEX_GROSS_DVDS",DataStart,DataEnd,"Per=M","Days=A","Fill=P","Currency="&amp;FxCurrency)</f>
        <v/>
      </c>
      <c r="MM4" s="9">
        <f>BDH(MM$1,"TOT_RETURN_INDEX_GROSS_DVDS",DataStart,DataEnd,"Per=M","Days=A","Fill=P","Currency="&amp;FxCurrency)</f>
        <v/>
      </c>
      <c r="MO4" s="9">
        <f>BDH(MO$1,"TOT_RETURN_INDEX_GROSS_DVDS",DataStart,DataEnd,"Per=M","Days=A","Fill=P","Currency="&amp;FxCurrency)</f>
        <v/>
      </c>
      <c r="MQ4" s="9">
        <f>BDH(MQ$1,"TOT_RETURN_INDEX_GROSS_DVDS",DataStart,DataEnd,"Per=M","Days=A","Fill=P","Currency="&amp;FxCurrency)</f>
        <v/>
      </c>
      <c r="MS4" s="9">
        <f>BDH(MS$1,"TOT_RETURN_INDEX_GROSS_DVDS",DataStart,DataEnd,"Per=M","Days=A","Fill=P","Currency="&amp;FxCurrency)</f>
        <v/>
      </c>
      <c r="MU4" s="9">
        <f>BDH(MU$1,"TOT_RETURN_INDEX_GROSS_DVDS",DataStart,DataEnd,"Per=M","Days=A","Fill=P","Currency="&amp;FxCurrency)</f>
        <v/>
      </c>
      <c r="MW4" s="9">
        <f>BDH(MW$1,"TOT_RETURN_INDEX_GROSS_DVDS",DataStart,DataEnd,"Per=M","Days=A","Fill=P","Currency="&amp;FxCurrency)</f>
        <v/>
      </c>
      <c r="MY4" s="9">
        <f>BDH(MY$1,"TOT_RETURN_INDEX_GROSS_DVDS",DataStart,DataEnd,"Per=M","Days=A","Fill=P","Currency="&amp;FxCurrency)</f>
        <v/>
      </c>
      <c r="NA4" s="9">
        <f>BDH(NA$1,"TOT_RETURN_INDEX_GROSS_DVDS",DataStart,DataEnd,"Per=M","Days=A","Fill=P","Currency="&amp;FxCurrency)</f>
        <v/>
      </c>
      <c r="NC4" s="9">
        <f>BDH(NC$1,"TOT_RETURN_INDEX_GROSS_DVDS",DataStart,DataEnd,"Per=M","Days=A","Fill=P","Currency="&amp;FxCurrency)</f>
        <v/>
      </c>
      <c r="NE4" s="9">
        <f>BDH(NE$1,"TOT_RETURN_INDEX_GROSS_DVDS",DataStart,DataEnd,"Per=M","Days=A","Fill=P","Currency="&amp;FxCurrency)</f>
        <v/>
      </c>
      <c r="NG4" s="9">
        <f>BDH(NG$1,"TOT_RETURN_INDEX_GROSS_DVDS",DataStart,DataEnd,"Per=M","Days=A","Fill=P","Currency="&amp;FxCurrency)</f>
        <v/>
      </c>
      <c r="NI4" s="9">
        <f>BDH(NI$1,"TOT_RETURN_INDEX_GROSS_DVDS",DataStart,DataEnd,"Per=M","Days=A","Fill=P","Currency="&amp;FxCurrency)</f>
        <v/>
      </c>
      <c r="NK4" s="9">
        <f>BDH(NK$1,"TOT_RETURN_INDEX_GROSS_DVDS",DataStart,DataEnd,"Per=M","Days=A","Fill=P","Currency="&amp;FxCurrency)</f>
        <v/>
      </c>
      <c r="NM4" s="9">
        <f>BDH(NM$1,"TOT_RETURN_INDEX_GROSS_DVDS",DataStart,DataEnd,"Per=M","Days=A","Fill=P","Currency="&amp;FxCurrency)</f>
        <v/>
      </c>
      <c r="NO4" s="9">
        <f>BDH(NO$1,"TOT_RETURN_INDEX_GROSS_DVDS",DataStart,DataEnd,"Per=M","Days=A","Fill=P","Currency="&amp;FxCurrency)</f>
        <v/>
      </c>
      <c r="NQ4" s="9">
        <f>BDH(NQ$1,"TOT_RETURN_INDEX_GROSS_DVDS",DataStart,DataEnd,"Per=M","Days=A","Fill=P","Currency="&amp;FxCurrency)</f>
        <v/>
      </c>
      <c r="NS4" s="9">
        <f>BDH(NS$1,"TOT_RETURN_INDEX_GROSS_DVDS",DataStart,DataEnd,"Per=M","Days=A","Fill=P","Currency="&amp;FxCurrency)</f>
        <v/>
      </c>
      <c r="NU4" s="9">
        <f>BDH(NU$1,"TOT_RETURN_INDEX_GROSS_DVDS",DataStart,DataEnd,"Per=M","Days=A","Fill=P","Currency="&amp;FxCurrency)</f>
        <v/>
      </c>
      <c r="NW4" s="9">
        <f>BDH(NW$1,"TOT_RETURN_INDEX_GROSS_DVDS",DataStart,DataEnd,"Per=M","Days=A","Fill=P","Currency="&amp;FxCurrency)</f>
        <v/>
      </c>
      <c r="NY4" s="9">
        <f>BDH(NY$1,"TOT_RETURN_INDEX_GROSS_DVDS",DataStart,DataEnd,"Per=M","Days=A","Fill=P","Currency="&amp;FxCurrency)</f>
        <v/>
      </c>
      <c r="OA4" s="9">
        <f>BDH(OA$1,"TOT_RETURN_INDEX_GROSS_DVDS",DataStart,DataEnd,"Per=M","Days=A","Fill=P","Currency="&amp;FxCurrency)</f>
        <v/>
      </c>
      <c r="OC4" s="9">
        <f>BDH(OC$1,"TOT_RETURN_INDEX_GROSS_DVDS",DataStart,DataEnd,"Per=M","Days=A","Fill=P","Currency="&amp;FxCurrency)</f>
        <v/>
      </c>
      <c r="OE4" s="9">
        <f>BDH(OE$1,"TOT_RETURN_INDEX_GROSS_DVDS",DataStart,DataEnd,"Per=M","Days=A","Fill=P","Currency="&amp;FxCurrency)</f>
        <v/>
      </c>
      <c r="OG4" s="9">
        <f>BDH(OG$1,"TOT_RETURN_INDEX_GROSS_DVDS",DataStart,DataEnd,"Per=M","Days=A","Fill=P","Currency="&amp;FxCurrency)</f>
        <v/>
      </c>
      <c r="OI4" s="9">
        <f>BDH(OI$1,"TOT_RETURN_INDEX_GROSS_DVDS",DataStart,DataEnd,"Per=M","Days=A","Fill=P","Currency="&amp;FxCurrency)</f>
        <v/>
      </c>
      <c r="OK4" s="9">
        <f>BDH(OK$1,"TOT_RETURN_INDEX_GROSS_DVDS",DataStart,DataEnd,"Per=M","Days=A","Fill=P","Currency="&amp;FxCurrency)</f>
        <v/>
      </c>
      <c r="OM4" s="9">
        <f>BDH(OM$1,"TOT_RETURN_INDEX_GROSS_DVDS",DataStart,DataEnd,"Per=M","Days=A","Fill=P","Currency="&amp;FxCurrency)</f>
        <v/>
      </c>
      <c r="OO4" s="9">
        <f>BDH(OO$1,"TOT_RETURN_INDEX_GROSS_DVDS",DataStart,DataEnd,"Per=M","Days=A","Fill=P","Currency="&amp;FxCurrency)</f>
        <v/>
      </c>
      <c r="OQ4" s="9">
        <f>BDH(OQ$1,"TOT_RETURN_INDEX_GROSS_DVDS",DataStart,DataEnd,"Per=M","Days=A","Fill=P","Currency="&amp;FxCurrency)</f>
        <v/>
      </c>
      <c r="OS4" s="9">
        <f>BDH(OS$1,"TOT_RETURN_INDEX_GROSS_DVDS",DataStart,DataEnd,"Per=M","Days=A","Fill=P","Currency="&amp;FxCurrency)</f>
        <v/>
      </c>
      <c r="OU4" s="9">
        <f>BDH(OU$1,"TOT_RETURN_INDEX_GROSS_DVDS",DataStart,DataEnd,"Per=M","Days=A","Fill=P","Currency="&amp;FxCurrency)</f>
        <v/>
      </c>
      <c r="OW4" s="9">
        <f>BDH(OW$1,"TOT_RETURN_INDEX_GROSS_DVDS",DataStart,DataEnd,"Per=M","Days=A","Fill=P","Currency="&amp;FxCurrency)</f>
        <v/>
      </c>
      <c r="OY4" s="9">
        <f>BDH(OY$1,"TOT_RETURN_INDEX_GROSS_DVDS",DataStart,DataEnd,"Per=M","Days=A","Fill=P","Currency="&amp;FxCurrency)</f>
        <v/>
      </c>
      <c r="PA4" s="9">
        <f>BDH(PA$1,"TOT_RETURN_INDEX_GROSS_DVDS",DataStart,DataEnd,"Per=M","Days=A","Fill=P","Currency="&amp;FxCurrency)</f>
        <v/>
      </c>
      <c r="PC4" s="9">
        <f>BDH(PC$1,"TOT_RETURN_INDEX_GROSS_DVDS",DataStart,DataEnd,"Per=M","Days=A","Fill=P","Currency="&amp;FxCurrency)</f>
        <v/>
      </c>
      <c r="PE4" s="9">
        <f>BDH(PE$1,"TOT_RETURN_INDEX_GROSS_DVDS",DataStart,DataEnd,"Per=M","Days=A","Fill=P","Currency="&amp;FxCurrency)</f>
        <v/>
      </c>
      <c r="PG4" s="9">
        <f>BDH(PG$1,"TOT_RETURN_INDEX_GROSS_DVDS",DataStart,DataEnd,"Per=M","Days=A","Fill=P","Currency="&amp;FxCurrency)</f>
        <v/>
      </c>
      <c r="PI4" s="9">
        <f>BDH(PI$1,"TOT_RETURN_INDEX_GROSS_DVDS",DataStart,DataEnd,"Per=M","Days=A","Fill=P","Currency="&amp;FxCurrency)</f>
        <v/>
      </c>
      <c r="PK4" s="9">
        <f>BDH(PK$1,"TOT_RETURN_INDEX_GROSS_DVDS",DataStart,DataEnd,"Per=M","Days=A","Fill=P","Currency="&amp;FxCurrency)</f>
        <v/>
      </c>
      <c r="PM4" s="9">
        <f>BDH(PM$1,"TOT_RETURN_INDEX_GROSS_DVDS",DataStart,DataEnd,"Per=M","Days=A","Fill=P","Currency="&amp;FxCurrency)</f>
        <v/>
      </c>
      <c r="PO4" s="9">
        <f>BDH(PO$1,"TOT_RETURN_INDEX_GROSS_DVDS",DataStart,DataEnd,"Per=M","Days=A","Fill=P","Currency="&amp;FxCurrency)</f>
        <v/>
      </c>
      <c r="PQ4" s="9">
        <f>BDH(PQ$1,"TOT_RETURN_INDEX_GROSS_DVDS",DataStart,DataEnd,"Per=M","Days=A","Fill=P","Currency="&amp;FxCurrency)</f>
        <v/>
      </c>
      <c r="PS4" s="9">
        <f>BDH(PS$1,"TOT_RETURN_INDEX_GROSS_DVDS",DataStart,DataEnd,"Per=M","Days=A","Fill=P","Currency="&amp;FxCurrency)</f>
        <v/>
      </c>
      <c r="PU4" s="9">
        <f>BDH(PU$1,"TOT_RETURN_INDEX_GROSS_DVDS",DataStart,DataEnd,"Per=M","Days=A","Fill=P","Currency="&amp;FxCurrency)</f>
        <v/>
      </c>
      <c r="PW4" s="9">
        <f>BDH(PW$1,"TOT_RETURN_INDEX_GROSS_DVDS",DataStart,DataEnd,"Per=M","Days=A","Fill=P","Currency="&amp;FxCurrency)</f>
        <v/>
      </c>
      <c r="PY4" s="9">
        <f>BDH(PY$1,"TOT_RETURN_INDEX_GROSS_DVDS",DataStart,DataEnd,"Per=M","Days=A","Fill=P","Currency="&amp;FxCurrency)</f>
        <v/>
      </c>
      <c r="QA4" s="9">
        <f>BDH(QA$1,"TOT_RETURN_INDEX_GROSS_DVDS",DataStart,DataEnd,"Per=M","Days=A","Fill=P","Currency="&amp;FxCurrency)</f>
        <v/>
      </c>
      <c r="QC4" s="9">
        <f>BDH(QC$1,"TOT_RETURN_INDEX_GROSS_DVDS",DataStart,DataEnd,"Per=M","Days=A","Fill=P","Currency="&amp;FxCurrency)</f>
        <v/>
      </c>
      <c r="QE4" s="9">
        <f>BDH(QE$1,"TOT_RETURN_INDEX_GROSS_DVDS",DataStart,DataEnd,"Per=M","Days=A","Fill=P","Currency="&amp;FxCurrency)</f>
        <v/>
      </c>
      <c r="QG4" s="9">
        <f>BDH(QG$1,"TOT_RETURN_INDEX_GROSS_DVDS",DataStart,DataEnd,"Per=M","Days=A","Fill=P","Currency="&amp;FxCurrency)</f>
        <v/>
      </c>
      <c r="QI4" s="9">
        <f>BDH(QI$1,"TOT_RETURN_INDEX_GROSS_DVDS",DataStart,DataEnd,"Per=M","Days=A","Fill=P","Currency="&amp;FxCurrency)</f>
        <v/>
      </c>
      <c r="QK4" s="9">
        <f>BDH(QK$1,"TOT_RETURN_INDEX_GROSS_DVDS",DataStart,DataEnd,"Per=M","Days=A","Fill=P","Currency="&amp;FxCurrency)</f>
        <v/>
      </c>
      <c r="QM4" s="9">
        <f>BDH(QM$1,"TOT_RETURN_INDEX_GROSS_DVDS",DataStart,DataEnd,"Per=M","Days=A","Fill=P","Currency="&amp;FxCurrency)</f>
        <v/>
      </c>
      <c r="QO4" s="9">
        <f>BDH(QO$1,"TOT_RETURN_INDEX_GROSS_DVDS",DataStart,DataEnd,"Per=M","Days=A","Fill=P","Currency="&amp;FxCurrency)</f>
        <v/>
      </c>
      <c r="QQ4" s="9">
        <f>BDH(QQ$1,"TOT_RETURN_INDEX_GROSS_DVDS",DataStart,DataEnd,"Per=M","Days=A","Fill=P","Currency="&amp;FxCurrency)</f>
        <v/>
      </c>
      <c r="QS4" s="9">
        <f>BDH(QS$1,"TOT_RETURN_INDEX_GROSS_DVDS",DataStart,DataEnd,"Per=M","Days=A","Fill=P","Currency="&amp;FxCurrency)</f>
        <v/>
      </c>
      <c r="QU4" s="9">
        <f>BDH(QU$1,"TOT_RETURN_INDEX_GROSS_DVDS",DataStart,DataEnd,"Per=M","Days=A","Fill=P","Currency="&amp;FxCurrency)</f>
        <v/>
      </c>
      <c r="QW4" s="9">
        <f>BDH(QW$1,"TOT_RETURN_INDEX_GROSS_DVDS",DataStart,DataEnd,"Per=M","Days=A","Fill=P","Currency="&amp;FxCurrency)</f>
        <v/>
      </c>
      <c r="QY4" s="9">
        <f>BDH(QY$1,"TOT_RETURN_INDEX_GROSS_DVDS",DataStart,DataEnd,"Per=M","Days=A","Fill=P","Currency="&amp;FxCurrency)</f>
        <v/>
      </c>
      <c r="RA4" s="9">
        <f>BDH(RA$1,"TOT_RETURN_INDEX_GROSS_DVDS",DataStart,DataEnd,"Per=M","Days=A","Fill=P","Currency="&amp;FxCurrency)</f>
        <v/>
      </c>
      <c r="RC4" s="9">
        <f>BDH(RC$1,"TOT_RETURN_INDEX_GROSS_DVDS",DataStart,DataEnd,"Per=M","Days=A","Fill=P","Currency="&amp;FxCurrency)</f>
        <v/>
      </c>
      <c r="RE4" s="9">
        <f>BDH(RE$1,"TOT_RETURN_INDEX_GROSS_DVDS",DataStart,DataEnd,"Per=M","Days=A","Fill=P","Currency="&amp;FxCurrency)</f>
        <v/>
      </c>
      <c r="RG4" s="9">
        <f>BDH(RG$1,"TOT_RETURN_INDEX_GROSS_DVDS",DataStart,DataEnd,"Per=M","Days=A","Fill=P","Currency="&amp;FxCurrency)</f>
        <v/>
      </c>
      <c r="RI4" s="9">
        <f>BDH(RI$1,"TOT_RETURN_INDEX_GROSS_DVDS",DataStart,DataEnd,"Per=M","Days=A","Fill=P","Currency="&amp;FxCurrency)</f>
        <v/>
      </c>
      <c r="RK4" s="9">
        <f>BDH(RK$1,"TOT_RETURN_INDEX_GROSS_DVDS",DataStart,DataEnd,"Per=M","Days=A","Fill=P","Currency="&amp;FxCurrency)</f>
        <v/>
      </c>
      <c r="RM4" s="9">
        <f>BDH(RM$1,"TOT_RETURN_INDEX_GROSS_DVDS",DataStart,DataEnd,"Per=M","Days=A","Fill=P","Currency="&amp;FxCurrency)</f>
        <v/>
      </c>
      <c r="RO4" s="9">
        <f>BDH(RO$1,"TOT_RETURN_INDEX_GROSS_DVDS",DataStart,DataEnd,"Per=M","Days=A","Fill=P","Currency="&amp;FxCurrency)</f>
        <v/>
      </c>
      <c r="RQ4" s="9">
        <f>BDH(RQ$1,"TOT_RETURN_INDEX_GROSS_DVDS",DataStart,DataEnd,"Per=M","Days=A","Fill=P","Currency="&amp;FxCurrency)</f>
        <v/>
      </c>
      <c r="RS4" s="9">
        <f>BDH(RS$1,"TOT_RETURN_INDEX_GROSS_DVDS",DataStart,DataEnd,"Per=M","Days=A","Fill=P","Currency="&amp;FxCurrency)</f>
        <v/>
      </c>
      <c r="RU4" s="9">
        <f>BDH(RU$1,"TOT_RETURN_INDEX_GROSS_DVDS",DataStart,DataEnd,"Per=M","Days=A","Fill=P","Currency="&amp;FxCurrency)</f>
        <v/>
      </c>
      <c r="RW4" s="9">
        <f>BDH(RW$1,"TOT_RETURN_INDEX_GROSS_DVDS",DataStart,DataEnd,"Per=M","Days=A","Fill=P","Currency="&amp;FxCurrency)</f>
        <v/>
      </c>
      <c r="RY4" s="9">
        <f>BDH(RY$1,"TOT_RETURN_INDEX_GROSS_DVDS",DataStart,DataEnd,"Per=M","Days=A","Fill=P","Currency="&amp;FxCurrency)</f>
        <v/>
      </c>
      <c r="SA4" s="9">
        <f>BDH(SA$1,"TOT_RETURN_INDEX_GROSS_DVDS",DataStart,DataEnd,"Per=M","Days=A","Fill=P","Currency="&amp;FxCurrency)</f>
        <v/>
      </c>
      <c r="SC4" s="9">
        <f>BDH(SC$1,"TOT_RETURN_INDEX_GROSS_DVDS",DataStart,DataEnd,"Per=M","Days=A","Fill=P","Currency="&amp;FxCurrency)</f>
        <v/>
      </c>
      <c r="SE4" s="9">
        <f>BDH(SE$1,"TOT_RETURN_INDEX_GROSS_DVDS",DataStart,DataEnd,"Per=M","Days=A","Fill=P","Currency="&amp;FxCurrency)</f>
        <v/>
      </c>
      <c r="SG4" s="9">
        <f>BDH(SG$1,"TOT_RETURN_INDEX_GROSS_DVDS",DataStart,DataEnd,"Per=M","Days=A","Fill=P","Currency="&amp;FxCurrency)</f>
        <v/>
      </c>
      <c r="SI4" s="9">
        <f>BDH(SI$1,"TOT_RETURN_INDEX_GROSS_DVDS",DataStart,DataEnd,"Per=M","Days=A","Fill=P","Currency="&amp;FxCurrency)</f>
        <v/>
      </c>
      <c r="SK4" s="9">
        <f>BDH(SK$1,"TOT_RETURN_INDEX_GROSS_DVDS",DataStart,DataEnd,"Per=M","Days=A","Fill=P","Currency="&amp;FxCurrency)</f>
        <v/>
      </c>
      <c r="SM4" s="9">
        <f>BDH(SM$1,"TOT_RETURN_INDEX_GROSS_DVDS",DataStart,DataEnd,"Per=M","Days=A","Fill=P","Currency="&amp;FxCurrency)</f>
        <v/>
      </c>
      <c r="SO4" s="9">
        <f>BDH(SO$1,"TOT_RETURN_INDEX_GROSS_DVDS",DataStart,DataEnd,"Per=M","Days=A","Fill=P","Currency="&amp;FxCurrency)</f>
        <v/>
      </c>
      <c r="SQ4" s="9">
        <f>BDH(SQ$1,"TOT_RETURN_INDEX_GROSS_DVDS",DataStart,DataEnd,"Per=M","Days=A","Fill=P","Currency="&amp;FxCurrency)</f>
        <v/>
      </c>
      <c r="SS4" s="9">
        <f>BDH(SS$1,"TOT_RETURN_INDEX_GROSS_DVDS",DataStart,DataEnd,"Per=M","Days=A","Fill=P","Currency="&amp;FxCurrency)</f>
        <v/>
      </c>
      <c r="SU4" s="9">
        <f>BDH(SU$1,"TOT_RETURN_INDEX_GROSS_DVDS",DataStart,DataEnd,"Per=M","Days=A","Fill=P","Currency="&amp;FxCurrency)</f>
        <v/>
      </c>
      <c r="SW4" s="9">
        <f>BDH(SW$1,"TOT_RETURN_INDEX_GROSS_DVDS",DataStart,DataEnd,"Per=M","Days=A","Fill=P","Currency="&amp;FxCurrency)</f>
        <v/>
      </c>
      <c r="SY4" s="9">
        <f>BDH(SY$1,"TOT_RETURN_INDEX_GROSS_DVDS",DataStart,DataEnd,"Per=M","Days=A","Fill=P","Currency="&amp;FxCurrency)</f>
        <v/>
      </c>
      <c r="TA4" s="9">
        <f>BDH(TA$1,"TOT_RETURN_INDEX_GROSS_DVDS",DataStart,DataEnd,"Per=M","Days=A","Fill=P","Currency="&amp;FxCurrency)</f>
        <v/>
      </c>
      <c r="TC4" s="9">
        <f>BDH(TC$1,"TOT_RETURN_INDEX_GROSS_DVDS",DataStart,DataEnd,"Per=M","Days=A","Fill=P","Currency="&amp;FxCurrency)</f>
        <v/>
      </c>
      <c r="TE4" s="9">
        <f>BDH(TE$1,"TOT_RETURN_INDEX_GROSS_DVDS",DataStart,DataEnd,"Per=M","Days=A","Fill=P","Currency="&amp;FxCurrency)</f>
        <v/>
      </c>
      <c r="TG4" s="9">
        <f>BDH(TG$1,"TOT_RETURN_INDEX_GROSS_DVDS",DataStart,DataEnd,"Per=M","Days=A","Fill=P","Currency="&amp;FxCurrency)</f>
        <v/>
      </c>
      <c r="TI4" s="9">
        <f>BDH(TI$1,"TOT_RETURN_INDEX_GROSS_DVDS",DataStart,DataEnd,"Per=M","Days=A","Fill=P","Currency="&amp;FxCurrency)</f>
        <v/>
      </c>
      <c r="TK4" s="9">
        <f>BDH(TK$1,"TOT_RETURN_INDEX_GROSS_DVDS",DataStart,DataEnd,"Per=M","Days=A","Fill=P","Currency="&amp;FxCurrency)</f>
        <v/>
      </c>
      <c r="TM4" s="9">
        <f>BDH(TM$1,"TOT_RETURN_INDEX_GROSS_DVDS",DataStart,DataEnd,"Per=M","Days=A","Fill=P","Currency="&amp;FxCurrency)</f>
        <v/>
      </c>
      <c r="TO4" s="9">
        <f>BDH(TO$1,"TOT_RETURN_INDEX_GROSS_DVDS",DataStart,DataEnd,"Per=M","Days=A","Fill=P","Currency="&amp;FxCurrency)</f>
        <v/>
      </c>
      <c r="TQ4" s="9">
        <f>BDH(TQ$1,"TOT_RETURN_INDEX_GROSS_DVDS",DataStart,DataEnd,"Per=M","Days=A","Fill=P","Currency="&amp;FxCurrency)</f>
        <v/>
      </c>
      <c r="TS4" s="9">
        <f>BDH(TS$1,"TOT_RETURN_INDEX_GROSS_DVDS",DataStart,DataEnd,"Per=M","Days=A","Fill=P","Currency="&amp;FxCurrency)</f>
        <v/>
      </c>
      <c r="TU4" s="9">
        <f>BDH(TU$1,"TOT_RETURN_INDEX_GROSS_DVDS",DataStart,DataEnd,"Per=M","Days=A","Fill=P","Currency="&amp;FxCurrency)</f>
        <v/>
      </c>
      <c r="TW4" s="9">
        <f>BDH(TW$1,"TOT_RETURN_INDEX_GROSS_DVDS",DataStart,DataEnd,"Per=M","Days=A","Fill=P","Currency="&amp;FxCurrency)</f>
        <v/>
      </c>
      <c r="TY4" s="9">
        <f>BDH(TY$1,"TOT_RETURN_INDEX_GROSS_DVDS",DataStart,DataEnd,"Per=M","Days=A","Fill=P","Currency="&amp;FxCurrency)</f>
        <v/>
      </c>
      <c r="UA4" s="9">
        <f>BDH(UA$1,"TOT_RETURN_INDEX_GROSS_DVDS",DataStart,DataEnd,"Per=M","Days=A","Fill=P","Currency="&amp;FxCurrency)</f>
        <v/>
      </c>
      <c r="UC4" s="9">
        <f>BDH(UC$1,"TOT_RETURN_INDEX_GROSS_DVDS",DataStart,DataEnd,"Per=M","Days=A","Fill=P","Currency="&amp;FxCurrency)</f>
        <v/>
      </c>
      <c r="UE4" s="9">
        <f>BDH(UE$1,"TOT_RETURN_INDEX_GROSS_DVDS",DataStart,DataEnd,"Per=M","Days=A","Fill=P","Currency="&amp;FxCurrency)</f>
        <v/>
      </c>
      <c r="UG4" s="9">
        <f>BDH(UG$1,"TOT_RETURN_INDEX_GROSS_DVDS",DataStart,DataEnd,"Per=M","Days=A","Fill=P","Currency="&amp;FxCurrency)</f>
        <v/>
      </c>
      <c r="UI4" s="9">
        <f>BDH(UI$1,"TOT_RETURN_INDEX_GROSS_DVDS",DataStart,DataEnd,"Per=M","Days=A","Fill=P","Currency="&amp;FxCurrency)</f>
        <v/>
      </c>
      <c r="UK4" s="9">
        <f>BDH(UK$1,"TOT_RETURN_INDEX_GROSS_DVDS",DataStart,DataEnd,"Per=M","Days=A","Fill=P","Currency="&amp;FxCurrency)</f>
        <v/>
      </c>
      <c r="UM4" s="9">
        <f>BDH(UM$1,"TOT_RETURN_INDEX_GROSS_DVDS",DataStart,DataEnd,"Per=M","Days=A","Fill=P","Currency="&amp;FxCurrency)</f>
        <v/>
      </c>
      <c r="UO4" s="9">
        <f>BDH(UO$1,"TOT_RETURN_INDEX_GROSS_DVDS",DataStart,DataEnd,"Per=M","Days=A","Fill=P","Currency="&amp;FxCurrency)</f>
        <v/>
      </c>
      <c r="UQ4" s="9">
        <f>BDH(UQ$1,"TOT_RETURN_INDEX_GROSS_DVDS",DataStart,DataEnd,"Per=M","Days=A","Fill=P","Currency="&amp;FxCurrency)</f>
        <v/>
      </c>
      <c r="US4" s="9">
        <f>BDH(US$1,"TOT_RETURN_INDEX_GROSS_DVDS",DataStart,DataEnd,"Per=M","Days=A","Fill=P","Currency="&amp;FxCurrency)</f>
        <v/>
      </c>
      <c r="UU4" s="9">
        <f>BDH(UU$1,"TOT_RETURN_INDEX_GROSS_DVDS",DataStart,DataEnd,"Per=M","Days=A","Fill=P","Currency="&amp;FxCurrency)</f>
        <v/>
      </c>
      <c r="UW4" s="9">
        <f>BDH(UW$1,"TOT_RETURN_INDEX_GROSS_DVDS",DataStart,DataEnd,"Per=M","Days=A","Fill=P","Currency="&amp;FxCurrency)</f>
        <v/>
      </c>
      <c r="UY4" s="9">
        <f>BDH(UY$1,"TOT_RETURN_INDEX_GROSS_DVDS",DataStart,DataEnd,"Per=M","Days=A","Fill=P","Currency="&amp;FxCurrency)</f>
        <v/>
      </c>
      <c r="VA4" s="9">
        <f>BDH(VA$1,"TOT_RETURN_INDEX_GROSS_DVDS",DataStart,DataEnd,"Per=M","Days=A","Fill=P","Currency="&amp;FxCurrency)</f>
        <v/>
      </c>
      <c r="VC4" s="9">
        <f>BDH(VC$1,"TOT_RETURN_INDEX_GROSS_DVDS",DataStart,DataEnd,"Per=M","Days=A","Fill=P","Currency="&amp;FxCurrency)</f>
        <v/>
      </c>
      <c r="VE4" s="9">
        <f>BDH(VE$1,"TOT_RETURN_INDEX_GROSS_DVDS",DataStart,DataEnd,"Per=M","Days=A","Fill=P","Currency="&amp;FxCurrency)</f>
        <v/>
      </c>
      <c r="VG4" s="9">
        <f>BDH(VG$1,"TOT_RETURN_INDEX_GROSS_DVDS",DataStart,DataEnd,"Per=M","Days=A","Fill=P","Currency="&amp;FxCurrency)</f>
        <v/>
      </c>
      <c r="VI4" s="9">
        <f>BDH(VI$1,"TOT_RETURN_INDEX_GROSS_DVDS",DataStart,DataEnd,"Per=M","Days=A","Fill=P","Currency="&amp;FxCurrency)</f>
        <v/>
      </c>
      <c r="VK4" s="9">
        <f>BDH(VK$1,"TOT_RETURN_INDEX_GROSS_DVDS",DataStart,DataEnd,"Per=M","Days=A","Fill=P","Currency="&amp;FxCurrency)</f>
        <v/>
      </c>
      <c r="VM4" s="9">
        <f>BDH(VM$1,"TOT_RETURN_INDEX_GROSS_DVDS",DataStart,DataEnd,"Per=M","Days=A","Fill=P","Currency="&amp;FxCurrency)</f>
        <v/>
      </c>
      <c r="VO4" s="9">
        <f>BDH(VO$1,"TOT_RETURN_INDEX_GROSS_DVDS",DataStart,DataEnd,"Per=M","Days=A","Fill=P","Currency="&amp;FxCurrency)</f>
        <v/>
      </c>
      <c r="VQ4" s="9">
        <f>BDH(VQ$1,"TOT_RETURN_INDEX_GROSS_DVDS",DataStart,DataEnd,"Per=M","Days=A","Fill=P","Currency="&amp;FxCurrency)</f>
        <v/>
      </c>
      <c r="VS4" s="9">
        <f>BDH(VS$1,"TOT_RETURN_INDEX_GROSS_DVDS",DataStart,DataEnd,"Per=M","Days=A","Fill=P","Currency="&amp;FxCurrency)</f>
        <v/>
      </c>
      <c r="VU4" s="9">
        <f>BDH(VU$1,"TOT_RETURN_INDEX_GROSS_DVDS",DataStart,DataEnd,"Per=M","Days=A","Fill=P","Currency="&amp;FxCurrency)</f>
        <v/>
      </c>
      <c r="VW4" s="9">
        <f>BDH(VW$1,"TOT_RETURN_INDEX_GROSS_DVDS",DataStart,DataEnd,"Per=M","Days=A","Fill=P","Currency="&amp;FxCurrency)</f>
        <v/>
      </c>
      <c r="VY4" s="9">
        <f>BDH(VY$1,"TOT_RETURN_INDEX_GROSS_DVDS",DataStart,DataEnd,"Per=M","Days=A","Fill=P","Currency="&amp;FxCurrency)</f>
        <v/>
      </c>
      <c r="WA4" s="9">
        <f>BDH(WA$1,"TOT_RETURN_INDEX_GROSS_DVDS",DataStart,DataEnd,"Per=M","Days=A","Fill=P","Currency="&amp;FxCurrency)</f>
        <v/>
      </c>
      <c r="WC4" s="9">
        <f>BDH(WC$1,"TOT_RETURN_INDEX_GROSS_DVDS",DataStart,DataEnd,"Per=M","Days=A","Fill=P","Currency="&amp;FxCurrency)</f>
        <v/>
      </c>
      <c r="WE4" s="9">
        <f>BDH(WE$1,"TOT_RETURN_INDEX_GROSS_DVDS",DataStart,DataEnd,"Per=M","Days=A","Fill=P","Currency="&amp;FxCurrency)</f>
        <v/>
      </c>
      <c r="WG4" s="9">
        <f>BDH(WG$1,"TOT_RETURN_INDEX_GROSS_DVDS",DataStart,DataEnd,"Per=M","Days=A","Fill=P","Currency="&amp;FxCurrency)</f>
        <v/>
      </c>
      <c r="WI4" s="9">
        <f>BDH(WI$1,"TOT_RETURN_INDEX_GROSS_DVDS",DataStart,DataEnd,"Per=M","Days=A","Fill=P","Currency="&amp;FxCurrency)</f>
        <v/>
      </c>
      <c r="WK4" s="9">
        <f>BDH(WK$1,"TOT_RETURN_INDEX_GROSS_DVDS",DataStart,DataEnd,"Per=M","Days=A","Fill=P","Currency="&amp;FxCurrency)</f>
        <v/>
      </c>
      <c r="WM4" s="9">
        <f>BDH(WM$1,"TOT_RETURN_INDEX_GROSS_DVDS",DataStart,DataEnd,"Per=M","Days=A","Fill=P","Currency="&amp;FxCurrency)</f>
        <v/>
      </c>
      <c r="WO4" s="9">
        <f>BDH(WO$1,"TOT_RETURN_INDEX_GROSS_DVDS",DataStart,DataEnd,"Per=M","Days=A","Fill=P","Currency="&amp;FxCurrency)</f>
        <v/>
      </c>
      <c r="WQ4" s="9">
        <f>BDH(WQ$1,"TOT_RETURN_INDEX_GROSS_DVDS",DataStart,DataEnd,"Per=M","Days=A","Fill=P","Currency="&amp;FxCurrency)</f>
        <v/>
      </c>
      <c r="WS4" s="9">
        <f>BDH(WS$1,"TOT_RETURN_INDEX_GROSS_DVDS",DataStart,DataEnd,"Per=M","Days=A","Fill=P","Currency="&amp;FxCurrency)</f>
        <v/>
      </c>
      <c r="WU4" s="9">
        <f>BDH(WU$1,"TOT_RETURN_INDEX_GROSS_DVDS",DataStart,DataEnd,"Per=M","Days=A","Fill=P","Currency="&amp;FxCurrency)</f>
        <v/>
      </c>
      <c r="WW4" s="9">
        <f>BDH(WW$1,"TOT_RETURN_INDEX_GROSS_DVDS",DataStart,DataEnd,"Per=M","Days=A","Fill=P","Currency="&amp;FxCurrency)</f>
        <v/>
      </c>
      <c r="WY4" s="9">
        <f>BDH(WY$1,"TOT_RETURN_INDEX_GROSS_DVDS",DataStart,DataEnd,"Per=M","Days=A","Fill=P","Currency="&amp;FxCurrency)</f>
        <v/>
      </c>
      <c r="XA4" s="9">
        <f>BDH(XA$1,"TOT_RETURN_INDEX_GROSS_DVDS",DataStart,DataEnd,"Per=M","Days=A","Fill=P","Currency="&amp;FxCurrency)</f>
        <v/>
      </c>
      <c r="XC4" s="9">
        <f>BDH(XC$1,"TOT_RETURN_INDEX_GROSS_DVDS",DataStart,DataEnd,"Per=M","Days=A","Fill=P","Currency="&amp;FxCurrency)</f>
        <v/>
      </c>
      <c r="XE4" s="9">
        <f>BDH(XE$1,"TOT_RETURN_INDEX_GROSS_DVDS",DataStart,DataEnd,"Per=M","Days=A","Fill=P","Currency="&amp;FxCurrency)</f>
        <v/>
      </c>
      <c r="XG4" s="9">
        <f>BDH(XG$1,"TOT_RETURN_INDEX_GROSS_DVDS",DataStart,DataEnd,"Per=M","Days=A","Fill=P","Currency="&amp;FxCurrency)</f>
        <v/>
      </c>
      <c r="XI4" s="9">
        <f>BDH(XI$1,"TOT_RETURN_INDEX_GROSS_DVDS",DataStart,DataEnd,"Per=M","Days=A","Fill=P","Currency="&amp;FxCurrency)</f>
        <v/>
      </c>
      <c r="XK4" s="9">
        <f>BDH(XK$1,"TOT_RETURN_INDEX_GROSS_DVDS",DataStart,DataEnd,"Per=M","Days=A","Fill=P","Currency="&amp;FxCurrency)</f>
        <v/>
      </c>
      <c r="XM4" s="9">
        <f>BDH(XM$1,"TOT_RETURN_INDEX_GROSS_DVDS",DataStart,DataEnd,"Per=M","Days=A","Fill=P","Currency="&amp;FxCurrency)</f>
        <v/>
      </c>
      <c r="XO4" s="9">
        <f>BDH(XO$1,"TOT_RETURN_INDEX_GROSS_DVDS",DataStart,DataEnd,"Per=M","Days=A","Fill=P","Currency="&amp;FxCurrency)</f>
        <v/>
      </c>
      <c r="XQ4" s="9">
        <f>BDH(XQ$1,"TOT_RETURN_INDEX_GROSS_DVDS",DataStart,DataEnd,"Per=M","Days=A","Fill=P","Currency="&amp;FxCurrency)</f>
        <v/>
      </c>
      <c r="XS4" s="9">
        <f>BDH(XS$1,"TOT_RETURN_INDEX_GROSS_DVDS",DataStart,DataEnd,"Per=M","Days=A","Fill=P","Currency="&amp;FxCurrency)</f>
        <v/>
      </c>
      <c r="XU4" s="9">
        <f>BDH(XU$1,"TOT_RETURN_INDEX_GROSS_DVDS",DataStart,DataEnd,"Per=M","Days=A","Fill=P","Currency="&amp;FxCurrency)</f>
        <v/>
      </c>
      <c r="XW4" s="9">
        <f>BDH(XW$1,"TOT_RETURN_INDEX_GROSS_DVDS",DataStart,DataEnd,"Per=M","Days=A","Fill=P","Currency="&amp;FxCurrency)</f>
        <v/>
      </c>
      <c r="XY4" s="9">
        <f>BDH(XY$1,"TOT_RETURN_INDEX_GROSS_DVDS",DataStart,DataEnd,"Per=M","Days=A","Fill=P","Currency="&amp;FxCurrency)</f>
        <v/>
      </c>
      <c r="YA4" s="9">
        <f>BDH(YA$1,"TOT_RETURN_INDEX_GROSS_DVDS",DataStart,DataEnd,"Per=M","Days=A","Fill=P","Currency="&amp;FxCurrency)</f>
        <v/>
      </c>
      <c r="YC4" s="9">
        <f>BDH(YC$1,"TOT_RETURN_INDEX_GROSS_DVDS",DataStart,DataEnd,"Per=M","Days=A","Fill=P","Currency="&amp;FxCurrency)</f>
        <v/>
      </c>
      <c r="YE4" s="9">
        <f>BDH(YE$1,"TOT_RETURN_INDEX_GROSS_DVDS",DataStart,DataEnd,"Per=M","Days=A","Fill=P","Currency="&amp;FxCurrency)</f>
        <v/>
      </c>
      <c r="YG4" s="9">
        <f>BDH(YG$1,"TOT_RETURN_INDEX_GROSS_DVDS",DataStart,DataEnd,"Per=M","Days=A","Fill=P","Currency="&amp;FxCurrency)</f>
        <v/>
      </c>
      <c r="YI4" s="9">
        <f>BDH(YI$1,"TOT_RETURN_INDEX_GROSS_DVDS",DataStart,DataEnd,"Per=M","Days=A","Fill=P","Currency="&amp;FxCurrency)</f>
        <v/>
      </c>
      <c r="YK4" s="9">
        <f>BDH(YK$1,"TOT_RETURN_INDEX_GROSS_DVDS",DataStart,DataEnd,"Per=M","Days=A","Fill=P","Currency="&amp;FxCurrency)</f>
        <v/>
      </c>
      <c r="YM4" s="9">
        <f>BDH(YM$1,"TOT_RETURN_INDEX_GROSS_DVDS",DataStart,DataEnd,"Per=M","Days=A","Fill=P","Currency="&amp;FxCurrency)</f>
        <v/>
      </c>
      <c r="YO4" s="9">
        <f>BDH(YO$1,"TOT_RETURN_INDEX_GROSS_DVDS",DataStart,DataEnd,"Per=M","Days=A","Fill=P","Currency="&amp;FxCurrency)</f>
        <v/>
      </c>
      <c r="YQ4" s="9">
        <f>BDH(YQ$1,"TOT_RETURN_INDEX_GROSS_DVDS",DataStart,DataEnd,"Per=M","Days=A","Fill=P","Currency="&amp;FxCurrency)</f>
        <v/>
      </c>
      <c r="YS4" s="9">
        <f>BDH(YS$1,"TOT_RETURN_INDEX_GROSS_DVDS",DataStart,DataEnd,"Per=M","Days=A","Fill=P","Currency="&amp;FxCurrency)</f>
        <v/>
      </c>
      <c r="YU4" s="9">
        <f>BDH(YU$1,"TOT_RETURN_INDEX_GROSS_DVDS",DataStart,DataEnd,"Per=M","Days=A","Fill=P","Currency="&amp;FxCurrency)</f>
        <v/>
      </c>
      <c r="YW4" s="9">
        <f>BDH(YW$1,"TOT_RETURN_INDEX_GROSS_DVDS",DataStart,DataEnd,"Per=M","Days=A","Fill=P","Currency="&amp;FxCurrency)</f>
        <v/>
      </c>
      <c r="YY4" s="9">
        <f>BDH(YY$1,"TOT_RETURN_INDEX_GROSS_DVDS",DataStart,DataEnd,"Per=M","Days=A","Fill=P","Currency="&amp;FxCurrency)</f>
        <v/>
      </c>
      <c r="ZA4" s="9">
        <f>BDH(ZA$1,"TOT_RETURN_INDEX_GROSS_DVDS",DataStart,DataEnd,"Per=M","Days=A","Fill=P","Currency="&amp;FxCurrency)</f>
        <v/>
      </c>
      <c r="ZC4" s="9">
        <f>BDH(ZC$1,"TOT_RETURN_INDEX_GROSS_DVDS",DataStart,DataEnd,"Per=M","Days=A","Fill=P","Currency="&amp;FxCurrency)</f>
        <v/>
      </c>
      <c r="ZE4" s="9">
        <f>BDH(ZE$1,"TOT_RETURN_INDEX_GROSS_DVDS",DataStart,DataEnd,"Per=M","Days=A","Fill=P","Currency="&amp;FxCurrency)</f>
        <v/>
      </c>
      <c r="ZG4" s="9">
        <f>BDH(ZG$1,"TOT_RETURN_INDEX_GROSS_DVDS",DataStart,DataEnd,"Per=M","Days=A","Fill=P","Currency="&amp;FxCurrency)</f>
        <v/>
      </c>
      <c r="ZI4" s="9">
        <f>BDH(ZI$1,"TOT_RETURN_INDEX_GROSS_DVDS",DataStart,DataEnd,"Per=M","Days=A","Fill=P","Currency="&amp;FxCurrency)</f>
        <v/>
      </c>
      <c r="ZK4" s="9">
        <f>BDH(ZK$1,"TOT_RETURN_INDEX_GROSS_DVDS",DataStart,DataEnd,"Per=M","Days=A","Fill=P","Currency="&amp;FxCurrency)</f>
        <v/>
      </c>
      <c r="ZM4" s="9">
        <f>BDH(ZM$1,"TOT_RETURN_INDEX_GROSS_DVDS",DataStart,DataEnd,"Per=M","Days=A","Fill=P","Currency="&amp;FxCurrency)</f>
        <v/>
      </c>
      <c r="ZO4" s="9">
        <f>BDH(ZO$1,"TOT_RETURN_INDEX_GROSS_DVDS",DataStart,DataEnd,"Per=M","Days=A","Fill=P","Currency="&amp;FxCurrency)</f>
        <v/>
      </c>
      <c r="ZQ4" s="9">
        <f>BDH(ZQ$1,"TOT_RETURN_INDEX_GROSS_DVDS",DataStart,DataEnd,"Per=M","Days=A","Fill=P","Currency="&amp;FxCurrency)</f>
        <v/>
      </c>
      <c r="ZS4" s="9">
        <f>BDH(ZS$1,"TOT_RETURN_INDEX_GROSS_DVDS",DataStart,DataEnd,"Per=M","Days=A","Fill=P","Currency="&amp;FxCurrency)</f>
        <v/>
      </c>
      <c r="ZU4" s="9">
        <f>BDH(ZU$1,"TOT_RETURN_INDEX_GROSS_DVDS",DataStart,DataEnd,"Per=M","Days=A","Fill=P","Currency="&amp;FxCurrency)</f>
        <v/>
      </c>
      <c r="ZW4" s="9">
        <f>BDH(ZW$1,"TOT_RETURN_INDEX_GROSS_DVDS",DataStart,DataEnd,"Per=M","Days=A","Fill=P","Currency="&amp;FxCurrency)</f>
        <v/>
      </c>
      <c r="ZY4" s="9">
        <f>BDH(ZY$1,"TOT_RETURN_INDEX_GROSS_DVDS",DataStart,DataEnd,"Per=M","Days=A","Fill=P","Currency="&amp;FxCurrency)</f>
        <v/>
      </c>
      <c r="AAA4" s="9">
        <f>BDH(AAA$1,"TOT_RETURN_INDEX_GROSS_DVDS",DataStart,DataEnd,"Per=M","Days=A","Fill=P","Currency="&amp;FxCurrency)</f>
        <v/>
      </c>
      <c r="AAC4" s="9">
        <f>BDH(AAC$1,"TOT_RETURN_INDEX_GROSS_DVDS",DataStart,DataEnd,"Per=M","Days=A","Fill=P","Currency="&amp;FxCurrency)</f>
        <v/>
      </c>
      <c r="AAE4" s="9">
        <f>BDH(AAE$1,"TOT_RETURN_INDEX_GROSS_DVDS",DataStart,DataEnd,"Per=M","Days=A","Fill=P","Currency="&amp;FxCurrency)</f>
        <v/>
      </c>
      <c r="AAG4" s="9">
        <f>BDH(AAG$1,"TOT_RETURN_INDEX_GROSS_DVDS",DataStart,DataEnd,"Per=M","Days=A","Fill=P","Currency="&amp;FxCurrency)</f>
        <v/>
      </c>
      <c r="AAI4" s="9">
        <f>BDH(AAI$1,"TOT_RETURN_INDEX_GROSS_DVDS",DataStart,DataEnd,"Per=M","Days=A","Fill=P","Currency="&amp;FxCurrency)</f>
        <v/>
      </c>
      <c r="AAK4" s="9">
        <f>BDH(AAK$1,"TOT_RETURN_INDEX_GROSS_DVDS",DataStart,DataEnd,"Per=M","Days=A","Fill=P","Currency="&amp;FxCurrency)</f>
        <v/>
      </c>
      <c r="AAM4" s="9">
        <f>BDH(AAM$1,"TOT_RETURN_INDEX_GROSS_DVDS",DataStart,DataEnd,"Per=M","Days=A","Fill=P","Currency="&amp;FxCurrency)</f>
        <v/>
      </c>
      <c r="AAO4" s="9">
        <f>BDH(AAO$1,"TOT_RETURN_INDEX_GROSS_DVDS",DataStart,DataEnd,"Per=M","Days=A","Fill=P","Currency="&amp;FxCurrency)</f>
        <v/>
      </c>
      <c r="AAQ4" s="9">
        <f>BDH(AAQ$1,"TOT_RETURN_INDEX_GROSS_DVDS",DataStart,DataEnd,"Per=M","Days=A","Fill=P","Currency="&amp;FxCurrency)</f>
        <v/>
      </c>
      <c r="AAS4" s="9">
        <f>BDH(AAS$1,"TOT_RETURN_INDEX_GROSS_DVDS",DataStart,DataEnd,"Per=M","Days=A","Fill=P","Currency="&amp;FxCurrency)</f>
        <v/>
      </c>
      <c r="AAU4" s="9">
        <f>BDH(AAU$1,"TOT_RETURN_INDEX_GROSS_DVDS",DataStart,DataEnd,"Per=M","Days=A","Fill=P","Currency="&amp;FxCurrency)</f>
        <v/>
      </c>
      <c r="AAW4" s="9">
        <f>BDH(AAW$1,"TOT_RETURN_INDEX_GROSS_DVDS",DataStart,DataEnd,"Per=M","Days=A","Fill=P","Currency="&amp;FxCurrency)</f>
        <v/>
      </c>
      <c r="AAY4" s="9">
        <f>BDH(AAY$1,"TOT_RETURN_INDEX_GROSS_DVDS",DataStart,DataEnd,"Per=M","Days=A","Fill=P","Currency="&amp;FxCurrency)</f>
        <v/>
      </c>
      <c r="ABA4" s="9">
        <f>BDH(ABA$1,"TOT_RETURN_INDEX_GROSS_DVDS",DataStart,DataEnd,"Per=M","Days=A","Fill=P","Currency="&amp;FxCurrency)</f>
        <v/>
      </c>
      <c r="ABC4" s="9">
        <f>BDH(ABC$1,"TOT_RETURN_INDEX_GROSS_DVDS",DataStart,DataEnd,"Per=M","Days=A","Fill=P","Currency="&amp;FxCurrency)</f>
        <v/>
      </c>
      <c r="ABE4" s="9">
        <f>BDH(ABE$1,"TOT_RETURN_INDEX_GROSS_DVDS",DataStart,DataEnd,"Per=M","Days=A","Fill=P","Currency="&amp;FxCurrency)</f>
        <v/>
      </c>
      <c r="ABG4" s="9">
        <f>BDH(ABG$1,"TOT_RETURN_INDEX_GROSS_DVDS",DataStart,DataEnd,"Per=M","Days=A","Fill=P","Currency="&amp;FxCurrency)</f>
        <v/>
      </c>
      <c r="ABI4" s="9">
        <f>BDH(ABI$1,"TOT_RETURN_INDEX_GROSS_DVDS",DataStart,DataEnd,"Per=M","Days=A","Fill=P","Currency="&amp;FxCurrency)</f>
        <v/>
      </c>
      <c r="ABK4" s="9">
        <f>BDH(ABK$1,"TOT_RETURN_INDEX_GROSS_DVDS",DataStart,DataEnd,"Per=M","Days=A","Fill=P","Currency="&amp;FxCurrency)</f>
        <v/>
      </c>
      <c r="ABM4" s="9">
        <f>BDH(ABM$1,"TOT_RETURN_INDEX_GROSS_DVDS",DataStart,DataEnd,"Per=M","Days=A","Fill=P","Currency="&amp;FxCurrency)</f>
        <v/>
      </c>
      <c r="ABO4" s="9">
        <f>BDH(ABO$1,"TOT_RETURN_INDEX_GROSS_DVDS",DataStart,DataEnd,"Per=M","Days=A","Fill=P","Currency="&amp;FxCurrency)</f>
        <v/>
      </c>
      <c r="ABQ4" s="9">
        <f>BDH(ABQ$1,"TOT_RETURN_INDEX_GROSS_DVDS",DataStart,DataEnd,"Per=M","Days=A","Fill=P","Currency="&amp;FxCurrency)</f>
        <v/>
      </c>
      <c r="ABS4" s="9">
        <f>BDH(ABS$1,"TOT_RETURN_INDEX_GROSS_DVDS",DataStart,DataEnd,"Per=M","Days=A","Fill=P","Currency="&amp;FxCurrency)</f>
        <v/>
      </c>
      <c r="ABU4" s="9">
        <f>BDH(ABU$1,"TOT_RETURN_INDEX_GROSS_DVDS",DataStart,DataEnd,"Per=M","Days=A","Fill=P","Currency="&amp;FxCurrency)</f>
        <v/>
      </c>
      <c r="ABW4" s="9">
        <f>BDH(ABW$1,"TOT_RETURN_INDEX_GROSS_DVDS",DataStart,DataEnd,"Per=M","Days=A","Fill=P","Currency="&amp;FxCurrency)</f>
        <v/>
      </c>
      <c r="ABY4" s="9">
        <f>BDH(ABY$1,"TOT_RETURN_INDEX_GROSS_DVDS",DataStart,DataEnd,"Per=M","Days=A","Fill=P","Currency="&amp;FxCurrency)</f>
        <v/>
      </c>
      <c r="ACA4" s="9">
        <f>BDH(ACA$1,"TOT_RETURN_INDEX_GROSS_DVDS",DataStart,DataEnd,"Per=M","Days=A","Fill=P","Currency="&amp;FxCurrency)</f>
        <v/>
      </c>
      <c r="ACC4" s="9">
        <f>BDH(ACC$1,"TOT_RETURN_INDEX_GROSS_DVDS",DataStart,DataEnd,"Per=M","Days=A","Fill=P","Currency="&amp;FxCurrency)</f>
        <v/>
      </c>
      <c r="ACE4" s="9">
        <f>BDH(ACE$1,"TOT_RETURN_INDEX_GROSS_DVDS",DataStart,DataEnd,"Per=M","Days=A","Fill=P","Currency="&amp;FxCurrency)</f>
        <v/>
      </c>
      <c r="ACG4" s="9">
        <f>BDH(ACG$1,"TOT_RETURN_INDEX_GROSS_DVDS",DataStart,DataEnd,"Per=M","Days=A","Fill=P","Currency="&amp;FxCurrency)</f>
        <v/>
      </c>
      <c r="ACI4" s="9">
        <f>BDH(ACI$1,"TOT_RETURN_INDEX_GROSS_DVDS",DataStart,DataEnd,"Per=M","Days=A","Fill=P","Currency="&amp;FxCurrency)</f>
        <v/>
      </c>
      <c r="ACK4" s="9">
        <f>BDH(ACK$1,"TOT_RETURN_INDEX_GROSS_DVDS",DataStart,DataEnd,"Per=M","Days=A","Fill=P","Currency="&amp;FxCurrency)</f>
        <v/>
      </c>
      <c r="ACM4" s="9">
        <f>BDH(ACM$1,"TOT_RETURN_INDEX_GROSS_DVDS",DataStart,DataEnd,"Per=M","Days=A","Fill=P","Currency="&amp;FxCurrency)</f>
        <v/>
      </c>
      <c r="ACO4" s="9">
        <f>BDH(ACO$1,"TOT_RETURN_INDEX_GROSS_DVDS",DataStart,DataEnd,"Per=M","Days=A","Fill=P","Currency="&amp;FxCurrency)</f>
        <v/>
      </c>
      <c r="ACQ4" s="9">
        <f>BDH(ACQ$1,"TOT_RETURN_INDEX_GROSS_DVDS",DataStart,DataEnd,"Per=M","Days=A","Fill=P","Currency="&amp;FxCurrency)</f>
        <v/>
      </c>
      <c r="ACS4" s="9">
        <f>BDH(ACS$1,"TOT_RETURN_INDEX_GROSS_DVDS",DataStart,DataEnd,"Per=M","Days=A","Fill=P","Currency="&amp;FxCurrency)</f>
        <v/>
      </c>
      <c r="ACU4" s="9">
        <f>BDH(ACU$1,"TOT_RETURN_INDEX_GROSS_DVDS",DataStart,DataEnd,"Per=M","Days=A","Fill=P","Currency="&amp;FxCurrency)</f>
        <v/>
      </c>
      <c r="ACW4" s="9">
        <f>BDH(ACW$1,"TOT_RETURN_INDEX_GROSS_DVDS",DataStart,DataEnd,"Per=M","Days=A","Fill=P","Currency="&amp;FxCurrency)</f>
        <v/>
      </c>
      <c r="ACY4" s="9">
        <f>BDH(ACY$1,"TOT_RETURN_INDEX_GROSS_DVDS",DataStart,DataEnd,"Per=M","Days=A","Fill=P","Currency="&amp;FxCurrency)</f>
        <v/>
      </c>
      <c r="ADA4" s="9">
        <f>BDH(ADA$1,"TOT_RETURN_INDEX_GROSS_DVDS",DataStart,DataEnd,"Per=M","Days=A","Fill=P","Currency="&amp;FxCurrency)</f>
        <v/>
      </c>
      <c r="ADC4" s="9">
        <f>BDH(ADC$1,"TOT_RETURN_INDEX_GROSS_DVDS",DataStart,DataEnd,"Per=M","Days=A","Fill=P","Currency="&amp;FxCurrency)</f>
        <v/>
      </c>
      <c r="ADE4" s="9">
        <f>BDH(ADE$1,"TOT_RETURN_INDEX_GROSS_DVDS",DataStart,DataEnd,"Per=M","Days=A","Fill=P","Currency="&amp;FxCurrency)</f>
        <v/>
      </c>
      <c r="ADG4" s="9">
        <f>BDH(ADG$1,"TOT_RETURN_INDEX_GROSS_DVDS",DataStart,DataEnd,"Per=M","Days=A","Fill=P","Currency="&amp;FxCurrency)</f>
        <v/>
      </c>
      <c r="ADI4" s="9">
        <f>BDH(ADI$1,"TOT_RETURN_INDEX_GROSS_DVDS",DataStart,DataEnd,"Per=M","Days=A","Fill=P","Currency="&amp;FxCurrency)</f>
        <v/>
      </c>
      <c r="ADK4" s="9">
        <f>BDH(ADK$1,"TOT_RETURN_INDEX_GROSS_DVDS",DataStart,DataEnd,"Per=M","Days=A","Fill=P","Currency="&amp;FxCurrency)</f>
        <v/>
      </c>
      <c r="ADM4" s="9">
        <f>BDH(ADM$1,"TOT_RETURN_INDEX_GROSS_DVDS",DataStart,DataEnd,"Per=M","Days=A","Fill=P","Currency="&amp;FxCurrency)</f>
        <v/>
      </c>
      <c r="ADO4" s="9">
        <f>BDH(ADO$1,"TOT_RETURN_INDEX_GROSS_DVDS",DataStart,DataEnd,"Per=M","Days=A","Fill=P","Currency="&amp;FxCurrency)</f>
        <v/>
      </c>
      <c r="ADQ4" s="9">
        <f>BDH(ADQ$1,"TOT_RETURN_INDEX_GROSS_DVDS",DataStart,DataEnd,"Per=M","Days=A","Fill=P","Currency="&amp;FxCurrency)</f>
        <v/>
      </c>
      <c r="ADS4" s="9">
        <f>BDH(ADS$1,"TOT_RETURN_INDEX_GROSS_DVDS",DataStart,DataEnd,"Per=M","Days=A","Fill=P","Currency="&amp;FxCurrency)</f>
        <v/>
      </c>
      <c r="ADU4" s="9">
        <f>BDH(ADU$1,"TOT_RETURN_INDEX_GROSS_DVDS",DataStart,DataEnd,"Per=M","Days=A","Fill=P","Currency="&amp;FxCurrency)</f>
        <v/>
      </c>
      <c r="ADW4" s="9">
        <f>BDH(ADW$1,"TOT_RETURN_INDEX_GROSS_DVDS",DataStart,DataEnd,"Per=M","Days=A","Fill=P","Currency="&amp;FxCurrency)</f>
        <v/>
      </c>
      <c r="ADY4" s="9">
        <f>BDH(ADY$1,"TOT_RETURN_INDEX_GROSS_DVDS",DataStart,DataEnd,"Per=M","Days=A","Fill=P","Currency="&amp;FxCurrency)</f>
        <v/>
      </c>
      <c r="AEA4" s="9">
        <f>BDH(AEA$1,"TOT_RETURN_INDEX_GROSS_DVDS",DataStart,DataEnd,"Per=M","Days=A","Fill=P","Currency="&amp;FxCurrency)</f>
        <v/>
      </c>
      <c r="AEC4" s="9">
        <f>BDH(AEC$1,"TOT_RETURN_INDEX_GROSS_DVDS",DataStart,DataEnd,"Per=M","Days=A","Fill=P","Currency="&amp;FxCurrency)</f>
        <v/>
      </c>
      <c r="AEE4" s="9">
        <f>BDH(AEE$1,"TOT_RETURN_INDEX_GROSS_DVDS",DataStart,DataEnd,"Per=M","Days=A","Fill=P","Currency="&amp;FxCurrency)</f>
        <v/>
      </c>
      <c r="AEG4" s="9">
        <f>BDH(AEG$1,"TOT_RETURN_INDEX_GROSS_DVDS",DataStart,DataEnd,"Per=M","Days=A","Fill=P","Currency="&amp;FxCurrency)</f>
        <v/>
      </c>
      <c r="AEI4" s="9">
        <f>BDH(AEI$1,"TOT_RETURN_INDEX_GROSS_DVDS",DataStart,DataEnd,"Per=M","Days=A","Fill=P","Currency="&amp;FxCurrency)</f>
        <v/>
      </c>
      <c r="AEK4" s="9">
        <f>BDH(AEK$1,"TOT_RETURN_INDEX_GROSS_DVDS",DataStart,DataEnd,"Per=M","Days=A","Fill=P","Currency="&amp;FxCurrency)</f>
        <v/>
      </c>
      <c r="AEM4" s="9">
        <f>BDH(AEM$1,"TOT_RETURN_INDEX_GROSS_DVDS",DataStart,DataEnd,"Per=M","Days=A","Fill=P","Currency="&amp;FxCurrency)</f>
        <v/>
      </c>
      <c r="AEO4" s="9">
        <f>BDH(AEO$1,"TOT_RETURN_INDEX_GROSS_DVDS",DataStart,DataEnd,"Per=M","Days=A","Fill=P","Currency="&amp;FxCurrency)</f>
        <v/>
      </c>
      <c r="AEQ4" s="9">
        <f>BDH(AEQ$1,"TOT_RETURN_INDEX_GROSS_DVDS",DataStart,DataEnd,"Per=M","Days=A","Fill=P","Currency="&amp;FxCurrency)</f>
        <v/>
      </c>
      <c r="AES4" s="9">
        <f>BDH(AES$1,"TOT_RETURN_INDEX_GROSS_DVDS",DataStart,DataEnd,"Per=M","Days=A","Fill=P","Currency="&amp;FxCurrency)</f>
        <v/>
      </c>
      <c r="AEU4" s="9">
        <f>BDH(AEU$1,"TOT_RETURN_INDEX_GROSS_DVDS",DataStart,DataEnd,"Per=M","Days=A","Fill=P","Currency="&amp;FxCurrency)</f>
        <v/>
      </c>
      <c r="AEW4" s="9">
        <f>BDH(AEW$1,"TOT_RETURN_INDEX_GROSS_DVDS",DataStart,DataEnd,"Per=M","Days=A","Fill=P","Currency="&amp;FxCurrency)</f>
        <v/>
      </c>
      <c r="AEY4" s="9">
        <f>BDH(AEY$1,"TOT_RETURN_INDEX_GROSS_DVDS",DataStart,DataEnd,"Per=M","Days=A","Fill=P","Currency="&amp;FxCurrency)</f>
        <v/>
      </c>
      <c r="AFA4" s="9">
        <f>BDH(AFA$1,"TOT_RETURN_INDEX_GROSS_DVDS",DataStart,DataEnd,"Per=M","Days=A","Fill=P","Currency="&amp;FxCurrency)</f>
        <v/>
      </c>
      <c r="AFC4" s="9">
        <f>BDH(AFC$1,"TOT_RETURN_INDEX_GROSS_DVDS",DataStart,DataEnd,"Per=M","Days=A","Fill=P","Currency="&amp;FxCurrency)</f>
        <v/>
      </c>
      <c r="AFE4" s="9">
        <f>BDH(AFE$1,"TOT_RETURN_INDEX_GROSS_DVDS",DataStart,DataEnd,"Per=M","Days=A","Fill=P","Currency="&amp;FxCurrency)</f>
        <v/>
      </c>
      <c r="AFG4" s="9">
        <f>BDH(AFG$1,"TOT_RETURN_INDEX_GROSS_DVDS",DataStart,DataEnd,"Per=M","Days=A","Fill=P","Currency="&amp;FxCurrency)</f>
        <v/>
      </c>
      <c r="AFI4" s="9">
        <f>BDH(AFI$1,"TOT_RETURN_INDEX_GROSS_DVDS",DataStart,DataEnd,"Per=M","Days=A","Fill=P","Currency="&amp;FxCurrency)</f>
        <v/>
      </c>
      <c r="AFK4" s="9">
        <f>BDH(AFK$1,"TOT_RETURN_INDEX_GROSS_DVDS",DataStart,DataEnd,"Per=M","Days=A","Fill=P","Currency="&amp;FxCurrency)</f>
        <v/>
      </c>
      <c r="AFM4" s="9">
        <f>BDH(AFM$1,"TOT_RETURN_INDEX_GROSS_DVDS",DataStart,DataEnd,"Per=M","Days=A","Fill=P","Currency="&amp;FxCurrency)</f>
        <v/>
      </c>
      <c r="AFO4" s="9">
        <f>BDH(AFO$1,"TOT_RETURN_INDEX_GROSS_DVDS",DataStart,DataEnd,"Per=M","Days=A","Fill=P","Currency="&amp;FxCurrency)</f>
        <v/>
      </c>
      <c r="AFQ4" s="9">
        <f>BDH(AFQ$1,"TOT_RETURN_INDEX_GROSS_DVDS",DataStart,DataEnd,"Per=M","Days=A","Fill=P","Currency="&amp;FxCurrency)</f>
        <v/>
      </c>
      <c r="AFS4" s="9">
        <f>BDH(AFS$1,"TOT_RETURN_INDEX_GROSS_DVDS",DataStart,DataEnd,"Per=M","Days=A","Fill=P","Currency="&amp;FxCurrency)</f>
        <v/>
      </c>
      <c r="AFU4" s="9">
        <f>BDH(AFU$1,"TOT_RETURN_INDEX_GROSS_DVDS",DataStart,DataEnd,"Per=M","Days=A","Fill=P","Currency="&amp;FxCurrency)</f>
        <v/>
      </c>
      <c r="AFW4" s="9">
        <f>BDH(AFW$1,"TOT_RETURN_INDEX_GROSS_DVDS",DataStart,DataEnd,"Per=M","Days=A","Fill=P","Currency="&amp;FxCurrency)</f>
        <v/>
      </c>
      <c r="AFY4" s="9">
        <f>BDH(AFY$1,"TOT_RETURN_INDEX_GROSS_DVDS",DataStart,DataEnd,"Per=M","Days=A","Fill=P","Currency="&amp;FxCurrency)</f>
        <v/>
      </c>
      <c r="AGA4" s="9">
        <f>BDH(AGA$1,"TOT_RETURN_INDEX_GROSS_DVDS",DataStart,DataEnd,"Per=M","Days=A","Fill=P","Currency="&amp;FxCurrency)</f>
        <v/>
      </c>
      <c r="AGC4" s="9">
        <f>BDH(AGC$1,"TOT_RETURN_INDEX_GROSS_DVDS",DataStart,DataEnd,"Per=M","Days=A","Fill=P","Currency="&amp;FxCurrency)</f>
        <v/>
      </c>
      <c r="AGE4" s="9">
        <f>BDH(AGE$1,"TOT_RETURN_INDEX_GROSS_DVDS",DataStart,DataEnd,"Per=M","Days=A","Fill=P","Currency="&amp;FxCurrency)</f>
        <v/>
      </c>
      <c r="AGG4" s="9">
        <f>BDH(AGG$1,"TOT_RETURN_INDEX_GROSS_DVDS",DataStart,DataEnd,"Per=M","Days=A","Fill=P","Currency="&amp;FxCurrency)</f>
        <v/>
      </c>
      <c r="AGI4" s="9">
        <f>BDH(AGI$1,"TOT_RETURN_INDEX_GROSS_DVDS",DataStart,DataEnd,"Per=M","Days=A","Fill=P","Currency="&amp;FxCurrency)</f>
        <v/>
      </c>
      <c r="AGK4" s="9">
        <f>BDH(AGK$1,"TOT_RETURN_INDEX_GROSS_DVDS",DataStart,DataEnd,"Per=M","Days=A","Fill=P","Currency="&amp;FxCurrency)</f>
        <v/>
      </c>
      <c r="AGM4" s="9">
        <f>BDH(AGM$1,"TOT_RETURN_INDEX_GROSS_DVDS",DataStart,DataEnd,"Per=M","Days=A","Fill=P","Currency="&amp;FxCurrency)</f>
        <v/>
      </c>
      <c r="AGO4" s="9">
        <f>BDH(AGO$1,"TOT_RETURN_INDEX_GROSS_DVDS",DataStart,DataEnd,"Per=M","Days=A","Fill=P","Currency="&amp;FxCurrency)</f>
        <v/>
      </c>
      <c r="AGQ4" s="9">
        <f>BDH(AGQ$1,"TOT_RETURN_INDEX_GROSS_DVDS",DataStart,DataEnd,"Per=M","Days=A","Fill=P","Currency="&amp;FxCurrency)</f>
        <v/>
      </c>
      <c r="AGS4" s="9">
        <f>BDH(AGS$1,"TOT_RETURN_INDEX_GROSS_DVDS",DataStart,DataEnd,"Per=M","Days=A","Fill=P","Currency="&amp;FxCurrency)</f>
        <v/>
      </c>
      <c r="AGU4" s="9">
        <f>BDH(AGU$1,"TOT_RETURN_INDEX_GROSS_DVDS",DataStart,DataEnd,"Per=M","Days=A","Fill=P","Currency="&amp;FxCurrency)</f>
        <v/>
      </c>
      <c r="AGW4" s="9">
        <f>BDH(AGW$1,"TOT_RETURN_INDEX_GROSS_DVDS",DataStart,DataEnd,"Per=M","Days=A","Fill=P","Currency="&amp;FxCurrency)</f>
        <v/>
      </c>
      <c r="AGY4" s="9">
        <f>BDH(AGY$1,"TOT_RETURN_INDEX_GROSS_DVDS",DataStart,DataEnd,"Per=M","Days=A","Fill=P","Currency="&amp;FxCurrency)</f>
        <v/>
      </c>
      <c r="AHA4" s="9">
        <f>BDH(AHA$1,"TOT_RETURN_INDEX_GROSS_DVDS",DataStart,DataEnd,"Per=M","Days=A","Fill=P","Currency="&amp;FxCurrency)</f>
        <v/>
      </c>
      <c r="AHC4" s="9">
        <f>BDH(AHC$1,"TOT_RETURN_INDEX_GROSS_DVDS",DataStart,DataEnd,"Per=M","Days=A","Fill=P","Currency="&amp;FxCurrency)</f>
        <v/>
      </c>
      <c r="AHE4" s="9">
        <f>BDH(AHE$1,"TOT_RETURN_INDEX_GROSS_DVDS",DataStart,DataEnd,"Per=M","Days=A","Fill=P","Currency="&amp;FxCurrency)</f>
        <v/>
      </c>
      <c r="AHG4" s="9">
        <f>BDH(AHG$1,"TOT_RETURN_INDEX_GROSS_DVDS",DataStart,DataEnd,"Per=M","Days=A","Fill=P","Currency="&amp;FxCurrency)</f>
        <v/>
      </c>
      <c r="AHI4" s="9">
        <f>BDH(AHI$1,"TOT_RETURN_INDEX_GROSS_DVDS",DataStart,DataEnd,"Per=M","Days=A","Fill=P","Currency="&amp;FxCurrency)</f>
        <v/>
      </c>
      <c r="AHK4" s="9">
        <f>BDH(AHK$1,"TOT_RETURN_INDEX_GROSS_DVDS",DataStart,DataEnd,"Per=M","Days=A","Fill=P","Currency="&amp;FxCurrency)</f>
        <v/>
      </c>
      <c r="AHM4" s="9">
        <f>BDH(AHM$1,"TOT_RETURN_INDEX_GROSS_DVDS",DataStart,DataEnd,"Per=M","Days=A","Fill=P","Currency="&amp;FxCurrency)</f>
        <v/>
      </c>
      <c r="AHO4" s="9">
        <f>BDH(AHO$1,"TOT_RETURN_INDEX_GROSS_DVDS",DataStart,DataEnd,"Per=M","Days=A","Fill=P","Currency="&amp;FxCurrency)</f>
        <v/>
      </c>
      <c r="AHQ4" s="9">
        <f>BDH(AHQ$1,"TOT_RETURN_INDEX_GROSS_DVDS",DataStart,DataEnd,"Per=M","Days=A","Fill=P","Currency="&amp;FxCurrency)</f>
        <v/>
      </c>
      <c r="AHS4" s="9">
        <f>BDH(AHS$1,"TOT_RETURN_INDEX_GROSS_DVDS",DataStart,DataEnd,"Per=M","Days=A","Fill=P","Currency="&amp;FxCurrency)</f>
        <v/>
      </c>
      <c r="AHU4" s="9">
        <f>BDH(AHU$1,"TOT_RETURN_INDEX_GROSS_DVDS",DataStart,DataEnd,"Per=M","Days=A","Fill=P","Currency="&amp;FxCurrency)</f>
        <v/>
      </c>
      <c r="AHW4" s="9">
        <f>BDH(AHW$1,"TOT_RETURN_INDEX_GROSS_DVDS",DataStart,DataEnd,"Per=M","Days=A","Fill=P","Currency="&amp;FxCurrency)</f>
        <v/>
      </c>
      <c r="AHY4" s="9">
        <f>BDH(AHY$1,"TOT_RETURN_INDEX_GROSS_DVDS",DataStart,DataEnd,"Per=M","Days=A","Fill=P","Currency="&amp;FxCurrency)</f>
        <v/>
      </c>
      <c r="AIA4" s="9">
        <f>BDH(AIA$1,"TOT_RETURN_INDEX_GROSS_DVDS",DataStart,DataEnd,"Per=M","Days=A","Fill=P","Currency="&amp;FxCurrency)</f>
        <v/>
      </c>
      <c r="AIC4" s="9">
        <f>BDH(AIC$1,"TOT_RETURN_INDEX_GROSS_DVDS",DataStart,DataEnd,"Per=M","Days=A","Fill=P","Currency="&amp;FxCurrency)</f>
        <v/>
      </c>
      <c r="AIE4" s="9">
        <f>BDH(AIE$1,"TOT_RETURN_INDEX_GROSS_DVDS",DataStart,DataEnd,"Per=M","Days=A","Fill=P","Currency="&amp;FxCurrency)</f>
        <v/>
      </c>
      <c r="AIG4" s="9">
        <f>BDH(AIG$1,"TOT_RETURN_INDEX_GROSS_DVDS",DataStart,DataEnd,"Per=M","Days=A","Fill=P","Currency="&amp;FxCurrency)</f>
        <v/>
      </c>
      <c r="AII4" s="9">
        <f>BDH(AII$1,"TOT_RETURN_INDEX_GROSS_DVDS",DataStart,DataEnd,"Per=M","Days=A","Fill=P","Currency="&amp;FxCurrency)</f>
        <v/>
      </c>
      <c r="AIK4" s="9">
        <f>BDH(AIK$1,"TOT_RETURN_INDEX_GROSS_DVDS",DataStart,DataEnd,"Per=M","Days=A","Fill=P","Currency="&amp;FxCurrency)</f>
        <v/>
      </c>
      <c r="AIM4" s="9">
        <f>BDH(AIM$1,"TOT_RETURN_INDEX_GROSS_DVDS",DataStart,DataEnd,"Per=M","Days=A","Fill=P","Currency="&amp;FxCurrency)</f>
        <v/>
      </c>
      <c r="AIO4" s="9">
        <f>BDH(AIO$1,"TOT_RETURN_INDEX_GROSS_DVDS",DataStart,DataEnd,"Per=M","Days=A","Fill=P","Currency="&amp;FxCurrency)</f>
        <v/>
      </c>
      <c r="AIQ4" s="9">
        <f>BDH(AIQ$1,"TOT_RETURN_INDEX_GROSS_DVDS",DataStart,DataEnd,"Per=M","Days=A","Fill=P","Currency="&amp;FxCurrency)</f>
        <v/>
      </c>
      <c r="AIS4" s="9">
        <f>BDH(AIS$1,"TOT_RETURN_INDEX_GROSS_DVDS",DataStart,DataEnd,"Per=M","Days=A","Fill=P","Currency="&amp;FxCurrency)</f>
        <v/>
      </c>
      <c r="AIU4" s="9">
        <f>BDH(AIU$1,"TOT_RETURN_INDEX_GROSS_DVDS",DataStart,DataEnd,"Per=M","Days=A","Fill=P","Currency="&amp;FxCurrency)</f>
        <v/>
      </c>
      <c r="AIW4" s="9">
        <f>BDH(AIW$1,"TOT_RETURN_INDEX_GROSS_DVDS",DataStart,DataEnd,"Per=M","Days=A","Fill=P","Currency="&amp;FxCurrency)</f>
        <v/>
      </c>
      <c r="AIY4" s="9">
        <f>BDH(AIY$1,"TOT_RETURN_INDEX_GROSS_DVDS",DataStart,DataEnd,"Per=M","Days=A","Fill=P","Currency="&amp;FxCurrency)</f>
        <v/>
      </c>
      <c r="AJA4" s="9">
        <f>BDH(AJA$1,"TOT_RETURN_INDEX_GROSS_DVDS",DataStart,DataEnd,"Per=M","Days=A","Fill=P","Currency="&amp;FxCurrency)</f>
        <v/>
      </c>
      <c r="AJC4" s="9">
        <f>BDH(AJC$1,"TOT_RETURN_INDEX_GROSS_DVDS",DataStart,DataEnd,"Per=M","Days=A","Fill=P","Currency="&amp;FxCurrency)</f>
        <v/>
      </c>
      <c r="AJE4" s="9">
        <f>BDH(AJE$1,"TOT_RETURN_INDEX_GROSS_DVDS",DataStart,DataEnd,"Per=M","Days=A","Fill=P","Currency="&amp;FxCurrency)</f>
        <v/>
      </c>
      <c r="AJG4" s="9">
        <f>BDH(AJG$1,"TOT_RETURN_INDEX_GROSS_DVDS",DataStart,DataEnd,"Per=M","Days=A","Fill=P","Currency="&amp;FxCurrency)</f>
        <v/>
      </c>
      <c r="AJI4" s="9">
        <f>BDH(AJI$1,"TOT_RETURN_INDEX_GROSS_DVDS",DataStart,DataEnd,"Per=M","Days=A","Fill=P","Currency="&amp;FxCurrency)</f>
        <v/>
      </c>
      <c r="AJK4" s="9">
        <f>BDH(AJK$1,"TOT_RETURN_INDEX_GROSS_DVDS",DataStart,DataEnd,"Per=M","Days=A","Fill=P","Currency="&amp;FxCurrency)</f>
        <v/>
      </c>
      <c r="AJM4" s="9">
        <f>BDH(AJM$1,"TOT_RETURN_INDEX_GROSS_DVDS",DataStart,DataEnd,"Per=M","Days=A","Fill=P","Currency="&amp;FxCurrency)</f>
        <v/>
      </c>
      <c r="AJO4" s="9">
        <f>BDH(AJO$1,"TOT_RETURN_INDEX_GROSS_DVDS",DataStart,DataEnd,"Per=M","Days=A","Fill=P","Currency="&amp;FxCurrency)</f>
        <v/>
      </c>
      <c r="AJQ4" s="9">
        <f>BDH(AJQ$1,"TOT_RETURN_INDEX_GROSS_DVDS",DataStart,DataEnd,"Per=M","Days=A","Fill=P","Currency="&amp;FxCurrency)</f>
        <v/>
      </c>
      <c r="AJS4" s="9">
        <f>BDH(AJS$1,"TOT_RETURN_INDEX_GROSS_DVDS",DataStart,DataEnd,"Per=M","Days=A","Fill=P","Currency="&amp;FxCurrency)</f>
        <v/>
      </c>
      <c r="AJU4" s="9">
        <f>BDH(AJU$1,"TOT_RETURN_INDEX_GROSS_DVDS",DataStart,DataEnd,"Per=M","Days=A","Fill=P","Currency="&amp;FxCurrency)</f>
        <v/>
      </c>
      <c r="AJW4" s="9">
        <f>BDH(AJW$1,"TOT_RETURN_INDEX_GROSS_DVDS",DataStart,DataEnd,"Per=M","Days=A","Fill=P","Currency="&amp;FxCurrency)</f>
        <v/>
      </c>
      <c r="AJY4" s="9">
        <f>BDH(AJY$1,"TOT_RETURN_INDEX_GROSS_DVDS",DataStart,DataEnd,"Per=M","Days=A","Fill=P","Currency="&amp;FxCurrency)</f>
        <v/>
      </c>
      <c r="AKA4" s="9">
        <f>BDH(AKA$1,"TOT_RETURN_INDEX_GROSS_DVDS",DataStart,DataEnd,"Per=M","Days=A","Fill=P","Currency="&amp;FxCurrency)</f>
        <v/>
      </c>
      <c r="AKC4" s="9">
        <f>BDH(AKC$1,"TOT_RETURN_INDEX_GROSS_DVDS",DataStart,DataEnd,"Per=M","Days=A","Fill=P","Currency="&amp;FxCurrency)</f>
        <v/>
      </c>
      <c r="AKE4" s="9">
        <f>BDH(AKE$1,"TOT_RETURN_INDEX_GROSS_DVDS",DataStart,DataEnd,"Per=M","Days=A","Fill=P","Currency="&amp;FxCurrency)</f>
        <v/>
      </c>
      <c r="AKG4" s="9">
        <f>BDH(AKG$1,"TOT_RETURN_INDEX_GROSS_DVDS",DataStart,DataEnd,"Per=M","Days=A","Fill=P","Currency="&amp;FxCurrency)</f>
        <v/>
      </c>
      <c r="AKI4" s="9">
        <f>BDH(AKI$1,"TOT_RETURN_INDEX_GROSS_DVDS",DataStart,DataEnd,"Per=M","Days=A","Fill=P","Currency="&amp;FxCurrency)</f>
        <v/>
      </c>
      <c r="AKK4" s="9">
        <f>BDH(AKK$1,"TOT_RETURN_INDEX_GROSS_DVDS",DataStart,DataEnd,"Per=M","Days=A","Fill=P","Currency="&amp;FxCurrency)</f>
        <v/>
      </c>
      <c r="AKM4" s="9">
        <f>BDH(AKM$1,"TOT_RETURN_INDEX_GROSS_DVDS",DataStart,DataEnd,"Per=M","Days=A","Fill=P","Currency="&amp;FxCurrency)</f>
        <v/>
      </c>
      <c r="AKO4" s="9">
        <f>BDH(AKO$1,"TOT_RETURN_INDEX_GROSS_DVDS",DataStart,DataEnd,"Per=M","Days=A","Fill=P","Currency="&amp;FxCurrency)</f>
        <v/>
      </c>
      <c r="AKQ4" s="9">
        <f>BDH(AKQ$1,"TOT_RETURN_INDEX_GROSS_DVDS",DataStart,DataEnd,"Per=M","Days=A","Fill=P","Currency="&amp;FxCurrency)</f>
        <v/>
      </c>
      <c r="AKS4" s="9">
        <f>BDH(AKS$1,"TOT_RETURN_INDEX_GROSS_DVDS",DataStart,DataEnd,"Per=M","Days=A","Fill=P","Currency="&amp;FxCurrency)</f>
        <v/>
      </c>
      <c r="AKU4" s="9">
        <f>BDH(AKU$1,"TOT_RETURN_INDEX_GROSS_DVDS",DataStart,DataEnd,"Per=M","Days=A","Fill=P","Currency="&amp;FxCurrency)</f>
        <v/>
      </c>
      <c r="AKW4" s="9">
        <f>BDH(AKW$1,"TOT_RETURN_INDEX_GROSS_DVDS",DataStart,DataEnd,"Per=M","Days=A","Fill=P","Currency="&amp;FxCurrency)</f>
        <v/>
      </c>
      <c r="AKY4" s="9">
        <f>BDH(AKY$1,"TOT_RETURN_INDEX_GROSS_DVDS",DataStart,DataEnd,"Per=M","Days=A","Fill=P","Currency="&amp;FxCurrency)</f>
        <v/>
      </c>
      <c r="ALA4" s="9">
        <f>BDH(ALA$1,"TOT_RETURN_INDEX_GROSS_DVDS",DataStart,DataEnd,"Per=M","Days=A","Fill=P","Currency="&amp;FxCurrency)</f>
        <v/>
      </c>
      <c r="ALC4" s="9">
        <f>BDH(ALC$1,"TOT_RETURN_INDEX_GROSS_DVDS",DataStart,DataEnd,"Per=M","Days=A","Fill=P","Currency="&amp;FxCurrency)</f>
        <v/>
      </c>
      <c r="ALE4" s="9">
        <f>BDH(ALE$1,"TOT_RETURN_INDEX_GROSS_DVDS",DataStart,DataEnd,"Per=M","Days=A","Fill=P","Currency="&amp;FxCurrency)</f>
        <v/>
      </c>
      <c r="ALG4" s="9">
        <f>BDH(ALG$1,"TOT_RETURN_INDEX_GROSS_DVDS",DataStart,DataEnd,"Per=M","Days=A","Fill=P","Currency="&amp;FxCurrency)</f>
        <v/>
      </c>
      <c r="ALI4" s="9">
        <f>BDH(ALI$1,"TOT_RETURN_INDEX_GROSS_DVDS",DataStart,DataEnd,"Per=M","Days=A","Fill=P","Currency="&amp;FxCurrency)</f>
        <v/>
      </c>
      <c r="ALK4" s="9">
        <f>BDH(ALK$1,"TOT_RETURN_INDEX_GROSS_DVDS",DataStart,DataEnd,"Per=M","Days=A","Fill=P","Currency="&amp;FxCurrency)</f>
        <v/>
      </c>
      <c r="ALM4" s="9">
        <f>BDH(ALM$1,"TOT_RETURN_INDEX_GROSS_DVDS",DataStart,DataEnd,"Per=M","Days=A","Fill=P","Currency="&amp;FxCurrency)</f>
        <v/>
      </c>
      <c r="ALO4" s="9">
        <f>BDH(ALO$1,"TOT_RETURN_INDEX_GROSS_DVDS",DataStart,DataEnd,"Per=M","Days=A","Fill=P","Currency="&amp;FxCurrency)</f>
        <v/>
      </c>
      <c r="ALQ4" s="9">
        <f>BDH(ALQ$1,"TOT_RETURN_INDEX_GROSS_DVDS",DataStart,DataEnd,"Per=M","Days=A","Fill=P","Currency="&amp;FxCurrency)</f>
        <v/>
      </c>
      <c r="ALS4" s="9">
        <f>BDH(ALS$1,"TOT_RETURN_INDEX_GROSS_DVDS",DataStart,DataEnd,"Per=M","Days=A","Fill=P","Currency="&amp;FxCurrency)</f>
        <v/>
      </c>
      <c r="ALU4" s="9">
        <f>BDH(ALU$1,"TOT_RETURN_INDEX_GROSS_DVDS",DataStart,DataEnd,"Per=M","Days=A","Fill=P","Currency="&amp;FxCurrency)</f>
        <v/>
      </c>
      <c r="ALW4" s="9">
        <f>BDH(ALW$1,"TOT_RETURN_INDEX_GROSS_DVDS",DataStart,DataEnd,"Per=M","Days=A","Fill=P","Currency="&amp;FxCurrency)</f>
        <v/>
      </c>
      <c r="ALY4" s="9">
        <f>BDH(ALY$1,"TOT_RETURN_INDEX_GROSS_DVDS",DataStart,DataEnd,"Per=M","Days=A","Fill=P","Currency="&amp;FxCurrency)</f>
        <v/>
      </c>
      <c r="AMA4" s="9">
        <f>BDH(AMA$1,"TOT_RETURN_INDEX_GROSS_DVDS",DataStart,DataEnd,"Per=M","Days=A","Fill=P","Currency="&amp;FxCurrency)</f>
        <v/>
      </c>
      <c r="AMC4" s="9">
        <f>BDH(AMC$1,"TOT_RETURN_INDEX_GROSS_DVDS",DataStart,DataEnd,"Per=M","Days=A","Fill=P","Currency="&amp;FxCurrency)</f>
        <v/>
      </c>
      <c r="AME4" s="9">
        <f>BDH(AME$1,"TOT_RETURN_INDEX_GROSS_DVDS",DataStart,DataEnd,"Per=M","Days=A","Fill=P","Currency="&amp;FxCurrency)</f>
        <v/>
      </c>
      <c r="AMG4" s="9">
        <f>BDH(AMG$1,"TOT_RETURN_INDEX_GROSS_DVDS",DataStart,DataEnd,"Per=M","Days=A","Fill=P","Currency="&amp;FxCurrency)</f>
        <v/>
      </c>
      <c r="AMI4" s="9">
        <f>BDH(AMI$1,"TOT_RETURN_INDEX_GROSS_DVDS",DataStart,DataEnd,"Per=M","Days=A","Fill=P","Currency="&amp;FxCurrency)</f>
        <v/>
      </c>
      <c r="AMK4" s="9">
        <f>BDH(AMK$1,"TOT_RETURN_INDEX_GROSS_DVDS",DataStart,DataEnd,"Per=M","Days=A","Fill=P","Currency="&amp;FxCurrency)</f>
        <v/>
      </c>
      <c r="AMM4" s="9">
        <f>BDH(AMM$1,"TOT_RETURN_INDEX_GROSS_DVDS",DataStart,DataEnd,"Per=M","Days=A","Fill=P","Currency="&amp;FxCurrency)</f>
        <v/>
      </c>
      <c r="AMO4" s="9">
        <f>BDH(AMO$1,"TOT_RETURN_INDEX_GROSS_DVDS",DataStart,DataEnd,"Per=M","Days=A","Fill=P","Currency="&amp;FxCurrency)</f>
        <v/>
      </c>
      <c r="AMQ4" s="9">
        <f>BDH(AMQ$1,"TOT_RETURN_INDEX_GROSS_DVDS",DataStart,DataEnd,"Per=M","Days=A","Fill=P","Currency="&amp;FxCurrency)</f>
        <v/>
      </c>
      <c r="AMS4" s="9">
        <f>BDH(AMS$1,"TOT_RETURN_INDEX_GROSS_DVDS",DataStart,DataEnd,"Per=M","Days=A","Fill=P","Currency="&amp;FxCurrency)</f>
        <v/>
      </c>
      <c r="AMU4" s="9">
        <f>BDH(AMU$1,"TOT_RETURN_INDEX_GROSS_DVDS",DataStart,DataEnd,"Per=M","Days=A","Fill=P","Currency="&amp;FxCurrency)</f>
        <v/>
      </c>
      <c r="AMW4" s="9">
        <f>BDH(AMW$1,"TOT_RETURN_INDEX_GROSS_DVDS",DataStart,DataEnd,"Per=M","Days=A","Fill=P","Currency="&amp;FxCurrency)</f>
        <v/>
      </c>
      <c r="AMY4" s="9">
        <f>BDH(AMY$1,"TOT_RETURN_INDEX_GROSS_DVDS",DataStart,DataEnd,"Per=M","Days=A","Fill=P","Currency="&amp;FxCurrency)</f>
        <v/>
      </c>
      <c r="ANA4" s="9">
        <f>BDH(ANA$1,"TOT_RETURN_INDEX_GROSS_DVDS",DataStart,DataEnd,"Per=M","Days=A","Fill=P","Currency="&amp;FxCurrency)</f>
        <v/>
      </c>
      <c r="ANC4" s="9">
        <f>BDH(ANC$1,"TOT_RETURN_INDEX_GROSS_DVDS",DataStart,DataEnd,"Per=M","Days=A","Fill=P","Currency="&amp;FxCurrency)</f>
        <v/>
      </c>
      <c r="ANE4" s="9">
        <f>BDH(ANE$1,"TOT_RETURN_INDEX_GROSS_DVDS",DataStart,DataEnd,"Per=M","Days=A","Fill=P","Currency="&amp;FxCurrency)</f>
        <v/>
      </c>
      <c r="ANG4" s="9">
        <f>BDH(ANG$1,"TOT_RETURN_INDEX_GROSS_DVDS",DataStart,DataEnd,"Per=M","Days=A","Fill=P","Currency="&amp;FxCurrency)</f>
        <v/>
      </c>
      <c r="ANI4" s="9">
        <f>BDH(ANI$1,"TOT_RETURN_INDEX_GROSS_DVDS",DataStart,DataEnd,"Per=M","Days=A","Fill=P","Currency="&amp;FxCurrency)</f>
        <v/>
      </c>
      <c r="ANK4" s="9">
        <f>BDH(ANK$1,"TOT_RETURN_INDEX_GROSS_DVDS",DataStart,DataEnd,"Per=M","Days=A","Fill=P","Currency="&amp;FxCurrency)</f>
        <v/>
      </c>
      <c r="ANM4" s="9">
        <f>BDH(ANM$1,"TOT_RETURN_INDEX_GROSS_DVDS",DataStart,DataEnd,"Per=M","Days=A","Fill=P","Currency="&amp;FxCurrency)</f>
        <v/>
      </c>
      <c r="ANO4" s="9">
        <f>BDH(ANO$1,"TOT_RETURN_INDEX_GROSS_DVDS",DataStart,DataEnd,"Per=M","Days=A","Fill=P","Currency="&amp;FxCurrency)</f>
        <v/>
      </c>
      <c r="ANQ4" s="9">
        <f>BDH(ANQ$1,"TOT_RETURN_INDEX_GROSS_DVDS",DataStart,DataEnd,"Per=M","Days=A","Fill=P","Currency="&amp;FxCurrency)</f>
        <v/>
      </c>
      <c r="ANS4" s="9">
        <f>BDH(ANS$1,"TOT_RETURN_INDEX_GROSS_DVDS",DataStart,DataEnd,"Per=M","Days=A","Fill=P","Currency="&amp;FxCurrency)</f>
        <v/>
      </c>
      <c r="ANU4" s="9">
        <f>BDH(ANU$1,"TOT_RETURN_INDEX_GROSS_DVDS",DataStart,DataEnd,"Per=M","Days=A","Fill=P","Currency="&amp;FxCurrency)</f>
        <v/>
      </c>
      <c r="ANW4" s="9">
        <f>BDH(ANW$1,"TOT_RETURN_INDEX_GROSS_DVDS",DataStart,DataEnd,"Per=M","Days=A","Fill=P","Currency="&amp;FxCurrency)</f>
        <v/>
      </c>
      <c r="ANY4" s="9">
        <f>BDH(ANY$1,"TOT_RETURN_INDEX_GROSS_DVDS",DataStart,DataEnd,"Per=M","Days=A","Fill=P","Currency="&amp;FxCurrency)</f>
        <v/>
      </c>
      <c r="AOA4" s="9">
        <f>BDH(AOA$1,"TOT_RETURN_INDEX_GROSS_DVDS",DataStart,DataEnd,"Per=M","Days=A","Fill=P","Currency="&amp;FxCurrency)</f>
        <v/>
      </c>
      <c r="AOC4" s="9">
        <f>BDH(AOC$1,"TOT_RETURN_INDEX_GROSS_DVDS",DataStart,DataEnd,"Per=M","Days=A","Fill=P","Currency="&amp;FxCurrency)</f>
        <v/>
      </c>
      <c r="AOE4" s="9">
        <f>BDH(AOE$1,"TOT_RETURN_INDEX_GROSS_DVDS",DataStart,DataEnd,"Per=M","Days=A","Fill=P","Currency="&amp;FxCurrency)</f>
        <v/>
      </c>
      <c r="AOG4" s="9">
        <f>BDH(AOG$1,"TOT_RETURN_INDEX_GROSS_DVDS",DataStart,DataEnd,"Per=M","Days=A","Fill=P","Currency="&amp;FxCurrency)</f>
        <v/>
      </c>
      <c r="AOI4" s="9">
        <f>BDH(AOI$1,"TOT_RETURN_INDEX_GROSS_DVDS",DataStart,DataEnd,"Per=M","Days=A","Fill=P","Currency="&amp;FxCurrency)</f>
        <v/>
      </c>
      <c r="AOK4" s="9">
        <f>BDH(AOK$1,"TOT_RETURN_INDEX_GROSS_DVDS",DataStart,DataEnd,"Per=M","Days=A","Fill=P","Currency="&amp;FxCurrency)</f>
        <v/>
      </c>
      <c r="AOM4" s="9">
        <f>BDH(AOM$1,"TOT_RETURN_INDEX_GROSS_DVDS",DataStart,DataEnd,"Per=M","Days=A","Fill=P","Currency="&amp;FxCurrency)</f>
        <v/>
      </c>
      <c r="AOO4" s="9">
        <f>BDH(AOO$1,"TOT_RETURN_INDEX_GROSS_DVDS",DataStart,DataEnd,"Per=M","Days=A","Fill=P","Currency="&amp;FxCurrency)</f>
        <v/>
      </c>
      <c r="AOQ4" s="9">
        <f>BDH(AOQ$1,"TOT_RETURN_INDEX_GROSS_DVDS",DataStart,DataEnd,"Per=M","Days=A","Fill=P","Currency="&amp;FxCurrency)</f>
        <v/>
      </c>
      <c r="AOS4" s="9">
        <f>BDH(AOS$1,"TOT_RETURN_INDEX_GROSS_DVDS",DataStart,DataEnd,"Per=M","Days=A","Fill=P","Currency="&amp;FxCurrency)</f>
        <v/>
      </c>
      <c r="AOU4" s="9">
        <f>BDH(AOU$1,"TOT_RETURN_INDEX_GROSS_DVDS",DataStart,DataEnd,"Per=M","Days=A","Fill=P","Currency="&amp;FxCurrency)</f>
        <v/>
      </c>
      <c r="AOW4" s="9">
        <f>BDH(AOW$1,"TOT_RETURN_INDEX_GROSS_DVDS",DataStart,DataEnd,"Per=M","Days=A","Fill=P","Currency="&amp;FxCurrency)</f>
        <v/>
      </c>
      <c r="AOY4" s="9">
        <f>BDH(AOY$1,"TOT_RETURN_INDEX_GROSS_DVDS",DataStart,DataEnd,"Per=M","Days=A","Fill=P","Currency="&amp;FxCurrency)</f>
        <v/>
      </c>
      <c r="APA4" s="9">
        <f>BDH(APA$1,"TOT_RETURN_INDEX_GROSS_DVDS",DataStart,DataEnd,"Per=M","Days=A","Fill=P","Currency="&amp;FxCurrency)</f>
        <v/>
      </c>
      <c r="APC4" s="9">
        <f>BDH(APC$1,"TOT_RETURN_INDEX_GROSS_DVDS",DataStart,DataEnd,"Per=M","Days=A","Fill=P","Currency="&amp;FxCurrency)</f>
        <v/>
      </c>
      <c r="APE4" s="9">
        <f>BDH(APE$1,"TOT_RETURN_INDEX_GROSS_DVDS",DataStart,DataEnd,"Per=M","Days=A","Fill=P","Currency="&amp;FxCurrency)</f>
        <v/>
      </c>
      <c r="APG4" s="9">
        <f>BDH(APG$1,"TOT_RETURN_INDEX_GROSS_DVDS",DataStart,DataEnd,"Per=M","Days=A","Fill=P","Currency="&amp;FxCurrency)</f>
        <v/>
      </c>
      <c r="API4" s="9">
        <f>BDH(API$1,"TOT_RETURN_INDEX_GROSS_DVDS",DataStart,DataEnd,"Per=M","Days=A","Fill=P","Currency="&amp;FxCurrency)</f>
        <v/>
      </c>
      <c r="APK4" s="9">
        <f>BDH(APK$1,"TOT_RETURN_INDEX_GROSS_DVDS",DataStart,DataEnd,"Per=M","Days=A","Fill=P","Currency="&amp;FxCurrency)</f>
        <v/>
      </c>
      <c r="APM4" s="9">
        <f>BDH(APM$1,"TOT_RETURN_INDEX_GROSS_DVDS",DataStart,DataEnd,"Per=M","Days=A","Fill=P","Currency="&amp;FxCurrency)</f>
        <v/>
      </c>
      <c r="APO4" s="9">
        <f>BDH(APO$1,"TOT_RETURN_INDEX_GROSS_DVDS",DataStart,DataEnd,"Per=M","Days=A","Fill=P","Currency="&amp;FxCurrency)</f>
        <v/>
      </c>
      <c r="APQ4" s="9">
        <f>BDH(APQ$1,"TOT_RETURN_INDEX_GROSS_DVDS",DataStart,DataEnd,"Per=M","Days=A","Fill=P","Currency="&amp;FxCurrency)</f>
        <v/>
      </c>
      <c r="APS4" s="9">
        <f>BDH(APS$1,"TOT_RETURN_INDEX_GROSS_DVDS",DataStart,DataEnd,"Per=M","Days=A","Fill=P","Currency="&amp;FxCurrency)</f>
        <v/>
      </c>
      <c r="APU4" s="9">
        <f>BDH(APU$1,"TOT_RETURN_INDEX_GROSS_DVDS",DataStart,DataEnd,"Per=M","Days=A","Fill=P","Currency="&amp;FxCurrency)</f>
        <v/>
      </c>
      <c r="APW4" s="9">
        <f>BDH(APW$1,"TOT_RETURN_INDEX_GROSS_DVDS",DataStart,DataEnd,"Per=M","Days=A","Fill=P","Currency="&amp;FxCurrency)</f>
        <v/>
      </c>
      <c r="APY4" s="9">
        <f>BDH(APY$1,"TOT_RETURN_INDEX_GROSS_DVDS",DataStart,DataEnd,"Per=M","Days=A","Fill=P","Currency="&amp;FxCurrency)</f>
        <v/>
      </c>
      <c r="AQA4" s="9">
        <f>BDH(AQA$1,"TOT_RETURN_INDEX_GROSS_DVDS",DataStart,DataEnd,"Per=M","Days=A","Fill=P","Currency="&amp;FxCurrency)</f>
        <v/>
      </c>
      <c r="AQC4" s="9">
        <f>BDH(AQC$1,"TOT_RETURN_INDEX_GROSS_DVDS",DataStart,DataEnd,"Per=M","Days=A","Fill=P","Currency="&amp;FxCurrency)</f>
        <v/>
      </c>
      <c r="AQE4" s="9">
        <f>BDH(AQE$1,"TOT_RETURN_INDEX_GROSS_DVDS",DataStart,DataEnd,"Per=M","Days=A","Fill=P","Currency="&amp;FxCurrency)</f>
        <v/>
      </c>
      <c r="AQG4" s="9">
        <f>BDH(AQG$1,"TOT_RETURN_INDEX_GROSS_DVDS",DataStart,DataEnd,"Per=M","Days=A","Fill=P","Currency="&amp;FxCurrency)</f>
        <v/>
      </c>
      <c r="AQI4" s="9">
        <f>BDH(AQI$1,"TOT_RETURN_INDEX_GROSS_DVDS",DataStart,DataEnd,"Per=M","Days=A","Fill=P","Currency="&amp;FxCurrency)</f>
        <v/>
      </c>
      <c r="AQK4" s="9">
        <f>BDH(AQK$1,"TOT_RETURN_INDEX_GROSS_DVDS",DataStart,DataEnd,"Per=M","Days=A","Fill=P","Currency="&amp;FxCurrency)</f>
        <v/>
      </c>
      <c r="AQM4" s="9">
        <f>BDH(AQM$1,"TOT_RETURN_INDEX_GROSS_DVDS",DataStart,DataEnd,"Per=M","Days=A","Fill=P","Currency="&amp;FxCurrency)</f>
        <v/>
      </c>
      <c r="AQO4" s="9">
        <f>BDH(AQO$1,"TOT_RETURN_INDEX_GROSS_DVDS",DataStart,DataEnd,"Per=M","Days=A","Fill=P","Currency="&amp;FxCurrency)</f>
        <v/>
      </c>
      <c r="AQQ4" s="9">
        <f>BDH(AQQ$1,"TOT_RETURN_INDEX_GROSS_DVDS",DataStart,DataEnd,"Per=M","Days=A","Fill=P","Currency="&amp;FxCurrency)</f>
        <v/>
      </c>
      <c r="AQS4" s="9">
        <f>BDH(AQS$1,"TOT_RETURN_INDEX_GROSS_DVDS",DataStart,DataEnd,"Per=M","Days=A","Fill=P","Currency="&amp;FxCurrency)</f>
        <v/>
      </c>
      <c r="AQU4" s="9">
        <f>BDH(AQU$1,"TOT_RETURN_INDEX_GROSS_DVDS",DataStart,DataEnd,"Per=M","Days=A","Fill=P","Currency="&amp;FxCurrency)</f>
        <v/>
      </c>
      <c r="AQW4" s="9">
        <f>BDH(AQW$1,"TOT_RETURN_INDEX_GROSS_DVDS",DataStart,DataEnd,"Per=M","Days=A","Fill=P","Currency="&amp;FxCurrency)</f>
        <v/>
      </c>
      <c r="AQY4" s="9">
        <f>BDH(AQY$1,"TOT_RETURN_INDEX_GROSS_DVDS",DataStart,DataEnd,"Per=M","Days=A","Fill=P","Currency="&amp;FxCurrency)</f>
        <v/>
      </c>
      <c r="ARA4" s="9">
        <f>BDH(ARA$1,"TOT_RETURN_INDEX_GROSS_DVDS",DataStart,DataEnd,"Per=M","Days=A","Fill=P","Currency="&amp;FxCurrency)</f>
        <v/>
      </c>
      <c r="ARC4" s="9">
        <f>BDH(ARC$1,"TOT_RETURN_INDEX_GROSS_DVDS",DataStart,DataEnd,"Per=M","Days=A","Fill=P","Currency="&amp;FxCurrency)</f>
        <v/>
      </c>
      <c r="ARE4" s="9">
        <f>BDH(ARE$1,"TOT_RETURN_INDEX_GROSS_DVDS",DataStart,DataEnd,"Per=M","Days=A","Fill=P","Currency="&amp;FxCurrency)</f>
        <v/>
      </c>
      <c r="ARG4" s="9">
        <f>BDH(ARG$1,"TOT_RETURN_INDEX_GROSS_DVDS",DataStart,DataEnd,"Per=M","Days=A","Fill=P","Currency="&amp;FxCurrency)</f>
        <v/>
      </c>
      <c r="ARI4" s="9">
        <f>BDH(ARI$1,"TOT_RETURN_INDEX_GROSS_DVDS",DataStart,DataEnd,"Per=M","Days=A","Fill=P","Currency="&amp;FxCurrency)</f>
        <v/>
      </c>
      <c r="ARK4" s="9">
        <f>BDH(ARK$1,"TOT_RETURN_INDEX_GROSS_DVDS",DataStart,DataEnd,"Per=M","Days=A","Fill=P","Currency="&amp;FxCurrency)</f>
        <v/>
      </c>
      <c r="ARM4" s="9">
        <f>BDH(ARM$1,"TOT_RETURN_INDEX_GROSS_DVDS",DataStart,DataEnd,"Per=M","Days=A","Fill=P","Currency="&amp;FxCurrency)</f>
        <v/>
      </c>
      <c r="ARO4" s="9">
        <f>BDH(ARO$1,"TOT_RETURN_INDEX_GROSS_DVDS",DataStart,DataEnd,"Per=M","Days=A","Fill=P","Currency="&amp;FxCurrency)</f>
        <v/>
      </c>
      <c r="ARQ4" s="9">
        <f>BDH(ARQ$1,"TOT_RETURN_INDEX_GROSS_DVDS",DataStart,DataEnd,"Per=M","Days=A","Fill=P","Currency="&amp;FxCurrency)</f>
        <v/>
      </c>
      <c r="ARS4" s="9">
        <f>BDH(ARS$1,"TOT_RETURN_INDEX_GROSS_DVDS",DataStart,DataEnd,"Per=M","Days=A","Fill=P","Currency="&amp;FxCurrency)</f>
        <v/>
      </c>
      <c r="ARU4" s="9">
        <f>BDH(ARU$1,"TOT_RETURN_INDEX_GROSS_DVDS",DataStart,DataEnd,"Per=M","Days=A","Fill=P","Currency="&amp;FxCurrency)</f>
        <v/>
      </c>
      <c r="ARW4" s="9">
        <f>BDH(ARW$1,"TOT_RETURN_INDEX_GROSS_DVDS",DataStart,DataEnd,"Per=M","Days=A","Fill=P","Currency="&amp;FxCurrency)</f>
        <v/>
      </c>
      <c r="ARY4" s="9">
        <f>BDH(ARY$1,"TOT_RETURN_INDEX_GROSS_DVDS",DataStart,DataEnd,"Per=M","Days=A","Fill=P","Currency="&amp;FxCurrency)</f>
        <v/>
      </c>
      <c r="ASA4" s="9">
        <f>BDH(ASA$1,"TOT_RETURN_INDEX_GROSS_DVDS",DataStart,DataEnd,"Per=M","Days=A","Fill=P","Currency="&amp;FxCurrency)</f>
        <v/>
      </c>
      <c r="ASC4" s="9">
        <f>BDH(ASC$1,"TOT_RETURN_INDEX_GROSS_DVDS",DataStart,DataEnd,"Per=M","Days=A","Fill=P","Currency="&amp;FxCurrency)</f>
        <v/>
      </c>
      <c r="ASE4" s="9">
        <f>BDH(ASE$1,"TOT_RETURN_INDEX_GROSS_DVDS",DataStart,DataEnd,"Per=M","Days=A","Fill=P","Currency="&amp;FxCurrency)</f>
        <v/>
      </c>
      <c r="ASG4" s="9">
        <f>BDH(ASG$1,"TOT_RETURN_INDEX_GROSS_DVDS",DataStart,DataEnd,"Per=M","Days=A","Fill=P","Currency="&amp;FxCurrency)</f>
        <v/>
      </c>
      <c r="ASI4" s="9">
        <f>BDH(ASI$1,"TOT_RETURN_INDEX_GROSS_DVDS",DataStart,DataEnd,"Per=M","Days=A","Fill=P","Currency="&amp;FxCurrency)</f>
        <v/>
      </c>
      <c r="ASK4" s="9">
        <f>BDH(ASK$1,"TOT_RETURN_INDEX_GROSS_DVDS",DataStart,DataEnd,"Per=M","Days=A","Fill=P","Currency="&amp;FxCurrency)</f>
        <v/>
      </c>
      <c r="ASM4" s="9">
        <f>BDH(ASM$1,"TOT_RETURN_INDEX_GROSS_DVDS",DataStart,DataEnd,"Per=M","Days=A","Fill=P","Currency="&amp;FxCurrency)</f>
        <v/>
      </c>
      <c r="ASO4" s="9">
        <f>BDH(ASO$1,"TOT_RETURN_INDEX_GROSS_DVDS",DataStart,DataEnd,"Per=M","Days=A","Fill=P","Currency="&amp;FxCurrency)</f>
        <v/>
      </c>
      <c r="ASQ4" s="9">
        <f>BDH(ASQ$1,"TOT_RETURN_INDEX_GROSS_DVDS",DataStart,DataEnd,"Per=M","Days=A","Fill=P","Currency="&amp;FxCurrency)</f>
        <v/>
      </c>
      <c r="ASS4" s="9">
        <f>BDH(ASS$1,"TOT_RETURN_INDEX_GROSS_DVDS",DataStart,DataEnd,"Per=M","Days=A","Fill=P","Currency="&amp;FxCurrency)</f>
        <v/>
      </c>
      <c r="ASU4" s="9">
        <f>BDH(ASU$1,"TOT_RETURN_INDEX_GROSS_DVDS",DataStart,DataEnd,"Per=M","Days=A","Fill=P","Currency="&amp;FxCurrency)</f>
        <v/>
      </c>
      <c r="ASW4" s="9">
        <f>BDH(ASW$1,"TOT_RETURN_INDEX_GROSS_DVDS",DataStart,DataEnd,"Per=M","Days=A","Fill=P","Currency="&amp;FxCurrency)</f>
        <v/>
      </c>
      <c r="ASY4" s="9">
        <f>BDH(ASY$1,"TOT_RETURN_INDEX_GROSS_DVDS",DataStart,DataEnd,"Per=M","Days=A","Fill=P","Currency="&amp;FxCurrency)</f>
        <v/>
      </c>
      <c r="ATA4" s="9">
        <f>BDH(ATA$1,"TOT_RETURN_INDEX_GROSS_DVDS",DataStart,DataEnd,"Per=M","Days=A","Fill=P","Currency="&amp;FxCurrency)</f>
        <v/>
      </c>
      <c r="ATC4" s="9">
        <f>BDH(ATC$1,"TOT_RETURN_INDEX_GROSS_DVDS",DataStart,DataEnd,"Per=M","Days=A","Fill=P","Currency="&amp;FxCurrency)</f>
        <v/>
      </c>
      <c r="ATE4" s="9">
        <f>BDH(ATE$1,"TOT_RETURN_INDEX_GROSS_DVDS",DataStart,DataEnd,"Per=M","Days=A","Fill=P","Currency="&amp;FxCurrency)</f>
        <v/>
      </c>
      <c r="ATG4" s="9">
        <f>BDH(ATG$1,"TOT_RETURN_INDEX_GROSS_DVDS",DataStart,DataEnd,"Per=M","Days=A","Fill=P","Currency="&amp;FxCurrency)</f>
        <v/>
      </c>
      <c r="ATI4" s="9">
        <f>BDH(ATI$1,"TOT_RETURN_INDEX_GROSS_DVDS",DataStart,DataEnd,"Per=M","Days=A","Fill=P","Currency="&amp;FxCurrency)</f>
        <v/>
      </c>
      <c r="ATK4" s="9">
        <f>BDH(ATK$1,"TOT_RETURN_INDEX_GROSS_DVDS",DataStart,DataEnd,"Per=M","Days=A","Fill=P","Currency="&amp;FxCurrency)</f>
        <v/>
      </c>
      <c r="ATM4" s="9">
        <f>BDH(ATM$1,"TOT_RETURN_INDEX_GROSS_DVDS",DataStart,DataEnd,"Per=M","Days=A","Fill=P","Currency="&amp;FxCurrency)</f>
        <v/>
      </c>
      <c r="ATO4" s="9">
        <f>BDH(ATO$1,"TOT_RETURN_INDEX_GROSS_DVDS",DataStart,DataEnd,"Per=M","Days=A","Fill=P","Currency="&amp;FxCurrency)</f>
        <v/>
      </c>
      <c r="ATQ4" s="9">
        <f>BDH(ATQ$1,"TOT_RETURN_INDEX_GROSS_DVDS",DataStart,DataEnd,"Per=M","Days=A","Fill=P","Currency="&amp;FxCurrency)</f>
        <v/>
      </c>
      <c r="ATS4" s="9">
        <f>BDH(ATS$1,"TOT_RETURN_INDEX_GROSS_DVDS",DataStart,DataEnd,"Per=M","Days=A","Fill=P","Currency="&amp;FxCurrency)</f>
        <v/>
      </c>
      <c r="ATU4" s="9">
        <f>BDH(ATU$1,"TOT_RETURN_INDEX_GROSS_DVDS",DataStart,DataEnd,"Per=M","Days=A","Fill=P","Currency="&amp;FxCurrency)</f>
        <v/>
      </c>
      <c r="ATW4" s="9">
        <f>BDH(ATW$1,"TOT_RETURN_INDEX_GROSS_DVDS",DataStart,DataEnd,"Per=M","Days=A","Fill=P","Currency="&amp;FxCurrency)</f>
        <v/>
      </c>
      <c r="ATY4" s="9">
        <f>BDH(ATY$1,"TOT_RETURN_INDEX_GROSS_DVDS",DataStart,DataEnd,"Per=M","Days=A","Fill=P","Currency="&amp;FxCurrency)</f>
        <v/>
      </c>
      <c r="AUA4" s="9">
        <f>BDH(AUA$1,"TOT_RETURN_INDEX_GROSS_DVDS",DataStart,DataEnd,"Per=M","Days=A","Fill=P","Currency="&amp;FxCurrency)</f>
        <v/>
      </c>
      <c r="AUC4" s="9">
        <f>BDH(AUC$1,"TOT_RETURN_INDEX_GROSS_DVDS",DataStart,DataEnd,"Per=M","Days=A","Fill=P","Currency="&amp;FxCurrency)</f>
        <v/>
      </c>
      <c r="AUE4" s="9">
        <f>BDH(AUE$1,"TOT_RETURN_INDEX_GROSS_DVDS",DataStart,DataEnd,"Per=M","Days=A","Fill=P","Currency="&amp;FxCurrency)</f>
        <v/>
      </c>
      <c r="AUG4" s="9">
        <f>BDH(AUG$1,"TOT_RETURN_INDEX_GROSS_DVDS",DataStart,DataEnd,"Per=M","Days=A","Fill=P","Currency="&amp;FxCurrency)</f>
        <v/>
      </c>
      <c r="AUI4" s="9">
        <f>BDH(AUI$1,"TOT_RETURN_INDEX_GROSS_DVDS",DataStart,DataEnd,"Per=M","Days=A","Fill=P","Currency="&amp;FxCurrency)</f>
        <v/>
      </c>
      <c r="AUK4" s="9">
        <f>BDH(AUK$1,"TOT_RETURN_INDEX_GROSS_DVDS",DataStart,DataEnd,"Per=M","Days=A","Fill=P","Currency="&amp;FxCurrency)</f>
        <v/>
      </c>
      <c r="AUM4" s="9">
        <f>BDH(AUM$1,"TOT_RETURN_INDEX_GROSS_DVDS",DataStart,DataEnd,"Per=M","Days=A","Fill=P","Currency="&amp;FxCurrency)</f>
        <v/>
      </c>
      <c r="AUO4" s="9">
        <f>BDH(AUO$1,"TOT_RETURN_INDEX_GROSS_DVDS",DataStart,DataEnd,"Per=M","Days=A","Fill=P","Currency="&amp;FxCurrency)</f>
        <v/>
      </c>
      <c r="AUQ4" s="9">
        <f>BDH(AUQ$1,"TOT_RETURN_INDEX_GROSS_DVDS",DataStart,DataEnd,"Per=M","Days=A","Fill=P","Currency="&amp;FxCurrency)</f>
        <v/>
      </c>
      <c r="AUS4" s="9">
        <f>BDH(AUS$1,"TOT_RETURN_INDEX_GROSS_DVDS",DataStart,DataEnd,"Per=M","Days=A","Fill=P","Currency="&amp;FxCurrency)</f>
        <v/>
      </c>
      <c r="AUU4" s="9">
        <f>BDH(AUU$1,"TOT_RETURN_INDEX_GROSS_DVDS",DataStart,DataEnd,"Per=M","Days=A","Fill=P","Currency="&amp;FxCurrency)</f>
        <v/>
      </c>
      <c r="AUW4" s="9">
        <f>BDH(AUW$1,"TOT_RETURN_INDEX_GROSS_DVDS",DataStart,DataEnd,"Per=M","Days=A","Fill=P","Currency="&amp;FxCurrency)</f>
        <v/>
      </c>
      <c r="AUY4" s="9">
        <f>BDH(AUY$1,"TOT_RETURN_INDEX_GROSS_DVDS",DataStart,DataEnd,"Per=M","Days=A","Fill=P","Currency="&amp;FxCurrency)</f>
        <v/>
      </c>
      <c r="AVA4" s="9">
        <f>BDH(AVA$1,"TOT_RETURN_INDEX_GROSS_DVDS",DataStart,DataEnd,"Per=M","Days=A","Fill=P","Currency="&amp;FxCurrency)</f>
        <v/>
      </c>
      <c r="AVC4" s="9">
        <f>BDH(AVC$1,"TOT_RETURN_INDEX_GROSS_DVDS",DataStart,DataEnd,"Per=M","Days=A","Fill=P","Currency="&amp;FxCurrency)</f>
        <v/>
      </c>
      <c r="AVE4" s="9">
        <f>BDH(AVE$1,"TOT_RETURN_INDEX_GROSS_DVDS",DataStart,DataEnd,"Per=M","Days=A","Fill=P","Currency="&amp;FxCurrency)</f>
        <v/>
      </c>
      <c r="AVG4" s="9">
        <f>BDH(AVG$1,"TOT_RETURN_INDEX_GROSS_DVDS",DataStart,DataEnd,"Per=M","Days=A","Fill=P","Currency="&amp;FxCurrency)</f>
        <v/>
      </c>
      <c r="AVI4" s="9">
        <f>BDH(AVI$1,"TOT_RETURN_INDEX_GROSS_DVDS",DataStart,DataEnd,"Per=M","Days=A","Fill=P","Currency="&amp;FxCurrency)</f>
        <v/>
      </c>
      <c r="AVK4" s="9">
        <f>BDH(AVK$1,"TOT_RETURN_INDEX_GROSS_DVDS",DataStart,DataEnd,"Per=M","Days=A","Fill=P","Currency="&amp;FxCurrency)</f>
        <v/>
      </c>
      <c r="AVM4" s="9">
        <f>BDH(AVM$1,"TOT_RETURN_INDEX_GROSS_DVDS",DataStart,DataEnd,"Per=M","Days=A","Fill=P","Currency="&amp;FxCurrency)</f>
        <v/>
      </c>
      <c r="AVO4" s="9">
        <f>BDH(AVO$1,"TOT_RETURN_INDEX_GROSS_DVDS",DataStart,DataEnd,"Per=M","Days=A","Fill=P","Currency="&amp;FxCurrency)</f>
        <v/>
      </c>
      <c r="AVQ4" s="9">
        <f>BDH(AVQ$1,"TOT_RETURN_INDEX_GROSS_DVDS",DataStart,DataEnd,"Per=M","Days=A","Fill=P","Currency="&amp;FxCurrency)</f>
        <v/>
      </c>
      <c r="AVS4" s="9">
        <f>BDH(AVS$1,"TOT_RETURN_INDEX_GROSS_DVDS",DataStart,DataEnd,"Per=M","Days=A","Fill=P","Currency="&amp;FxCurrency)</f>
        <v/>
      </c>
      <c r="AVU4" s="9">
        <f>BDH(AVU$1,"TOT_RETURN_INDEX_GROSS_DVDS",DataStart,DataEnd,"Per=M","Days=A","Fill=P","Currency="&amp;FxCurrency)</f>
        <v/>
      </c>
      <c r="AVW4" s="9">
        <f>BDH(AVW$1,"TOT_RETURN_INDEX_GROSS_DVDS",DataStart,DataEnd,"Per=M","Days=A","Fill=P","Currency="&amp;FxCurrency)</f>
        <v/>
      </c>
      <c r="AVY4" s="9">
        <f>BDH(AVY$1,"TOT_RETURN_INDEX_GROSS_DVDS",DataStart,DataEnd,"Per=M","Days=A","Fill=P","Currency="&amp;FxCurrency)</f>
        <v/>
      </c>
      <c r="AWA4" s="9">
        <f>BDH(AWA$1,"TOT_RETURN_INDEX_GROSS_DVDS",DataStart,DataEnd,"Per=M","Days=A","Fill=P","Currency="&amp;FxCurrency)</f>
        <v/>
      </c>
      <c r="AWC4" s="9">
        <f>BDH(AWC$1,"TOT_RETURN_INDEX_GROSS_DVDS",DataStart,DataEnd,"Per=M","Days=A","Fill=P","Currency="&amp;FxCurrency)</f>
        <v/>
      </c>
      <c r="AWE4" s="9">
        <f>BDH(AWE$1,"TOT_RETURN_INDEX_GROSS_DVDS",DataStart,DataEnd,"Per=M","Days=A","Fill=P","Currency="&amp;FxCurrency)</f>
        <v/>
      </c>
      <c r="AWG4" s="9">
        <f>BDH(AWG$1,"TOT_RETURN_INDEX_GROSS_DVDS",DataStart,DataEnd,"Per=M","Days=A","Fill=P","Currency="&amp;FxCurrency)</f>
        <v/>
      </c>
      <c r="AWI4" s="9">
        <f>BDH(AWI$1,"TOT_RETURN_INDEX_GROSS_DVDS",DataStart,DataEnd,"Per=M","Days=A","Fill=P","Currency="&amp;FxCurrency)</f>
        <v/>
      </c>
      <c r="AWK4" s="9">
        <f>BDH(AWK$1,"TOT_RETURN_INDEX_GROSS_DVDS",DataStart,DataEnd,"Per=M","Days=A","Fill=P","Currency="&amp;FxCurrency)</f>
        <v/>
      </c>
      <c r="AWM4" s="9">
        <f>BDH(AWM$1,"TOT_RETURN_INDEX_GROSS_DVDS",DataStart,DataEnd,"Per=M","Days=A","Fill=P","Currency="&amp;FxCurrency)</f>
        <v/>
      </c>
      <c r="AWO4" s="9">
        <f>BDH(AWO$1,"TOT_RETURN_INDEX_GROSS_DVDS",DataStart,DataEnd,"Per=M","Days=A","Fill=P","Currency="&amp;FxCurrency)</f>
        <v/>
      </c>
      <c r="AWQ4" s="9">
        <f>BDH(AWQ$1,"TOT_RETURN_INDEX_GROSS_DVDS",DataStart,DataEnd,"Per=M","Days=A","Fill=P","Currency="&amp;FxCurrency)</f>
        <v/>
      </c>
      <c r="AWS4" s="9">
        <f>BDH(AWS$1,"TOT_RETURN_INDEX_GROSS_DVDS",DataStart,DataEnd,"Per=M","Days=A","Fill=P","Currency="&amp;FxCurrency)</f>
        <v/>
      </c>
      <c r="AWU4" s="9">
        <f>BDH(AWU$1,"TOT_RETURN_INDEX_GROSS_DVDS",DataStart,DataEnd,"Per=M","Days=A","Fill=P","Currency="&amp;FxCurrency)</f>
        <v/>
      </c>
      <c r="AWW4" s="9">
        <f>BDH(AWW$1,"TOT_RETURN_INDEX_GROSS_DVDS",DataStart,DataEnd,"Per=M","Days=A","Fill=P","Currency="&amp;FxCurrency)</f>
        <v/>
      </c>
      <c r="AWY4" s="9">
        <f>BDH(AWY$1,"TOT_RETURN_INDEX_GROSS_DVDS",DataStart,DataEnd,"Per=M","Days=A","Fill=P","Currency="&amp;FxCurrency)</f>
        <v/>
      </c>
      <c r="AXA4" s="9">
        <f>BDH(AXA$1,"TOT_RETURN_INDEX_GROSS_DVDS",DataStart,DataEnd,"Per=M","Days=A","Fill=P","Currency="&amp;FxCurrency)</f>
        <v/>
      </c>
      <c r="AXC4" s="9">
        <f>BDH(AXC$1,"TOT_RETURN_INDEX_GROSS_DVDS",DataStart,DataEnd,"Per=M","Days=A","Fill=P","Currency="&amp;FxCurrency)</f>
        <v/>
      </c>
      <c r="AXE4" s="9">
        <f>BDH(AXE$1,"TOT_RETURN_INDEX_GROSS_DVDS",DataStart,DataEnd,"Per=M","Days=A","Fill=P","Currency="&amp;FxCurrency)</f>
        <v/>
      </c>
      <c r="AXG4" s="9">
        <f>BDH(AXG$1,"TOT_RETURN_INDEX_GROSS_DVDS",DataStart,DataEnd,"Per=M","Days=A","Fill=P","Currency="&amp;FxCurrency)</f>
        <v/>
      </c>
      <c r="AXI4" s="9">
        <f>BDH(AXI$1,"TOT_RETURN_INDEX_GROSS_DVDS",DataStart,DataEnd,"Per=M","Days=A","Fill=P","Currency="&amp;FxCurrency)</f>
        <v/>
      </c>
      <c r="AXK4" s="9">
        <f>BDH(AXK$1,"TOT_RETURN_INDEX_GROSS_DVDS",DataStart,DataEnd,"Per=M","Days=A","Fill=P","Currency="&amp;FxCurrency)</f>
        <v/>
      </c>
      <c r="AXM4" s="9">
        <f>BDH(AXM$1,"TOT_RETURN_INDEX_GROSS_DVDS",DataStart,DataEnd,"Per=M","Days=A","Fill=P","Currency="&amp;FxCurrency)</f>
        <v/>
      </c>
      <c r="AXO4" s="9">
        <f>BDH(AXO$1,"TOT_RETURN_INDEX_GROSS_DVDS",DataStart,DataEnd,"Per=M","Days=A","Fill=P","Currency="&amp;FxCurrency)</f>
        <v/>
      </c>
      <c r="AXQ4" s="9">
        <f>BDH(AXQ$1,"TOT_RETURN_INDEX_GROSS_DVDS",DataStart,DataEnd,"Per=M","Days=A","Fill=P","Currency="&amp;FxCurrency)</f>
        <v/>
      </c>
      <c r="AXS4" s="9">
        <f>BDH(AXS$1,"TOT_RETURN_INDEX_GROSS_DVDS",DataStart,DataEnd,"Per=M","Days=A","Fill=P","Currency="&amp;FxCurrency)</f>
        <v/>
      </c>
      <c r="AXU4" s="9">
        <f>BDH(AXU$1,"TOT_RETURN_INDEX_GROSS_DVDS",DataStart,DataEnd,"Per=M","Days=A","Fill=P","Currency="&amp;FxCurrency)</f>
        <v/>
      </c>
      <c r="AXW4" s="9">
        <f>BDH(AXW$1,"TOT_RETURN_INDEX_GROSS_DVDS",DataStart,DataEnd,"Per=M","Days=A","Fill=P","Currency="&amp;FxCurrency)</f>
        <v/>
      </c>
      <c r="AXY4" s="9">
        <f>BDH(AXY$1,"TOT_RETURN_INDEX_GROSS_DVDS",DataStart,DataEnd,"Per=M","Days=A","Fill=P","Currency="&amp;FxCurrency)</f>
        <v/>
      </c>
      <c r="AYA4" s="9">
        <f>BDH(AYA$1,"TOT_RETURN_INDEX_GROSS_DVDS",DataStart,DataEnd,"Per=M","Days=A","Fill=P","Currency="&amp;FxCurrency)</f>
        <v/>
      </c>
      <c r="AYC4" s="9">
        <f>BDH(AYC$1,"TOT_RETURN_INDEX_GROSS_DVDS",DataStart,DataEnd,"Per=M","Days=A","Fill=P","Currency="&amp;FxCurrency)</f>
        <v/>
      </c>
      <c r="AYE4" s="9">
        <f>BDH(AYE$1,"TOT_RETURN_INDEX_GROSS_DVDS",DataStart,DataEnd,"Per=M","Days=A","Fill=P","Currency="&amp;FxCurrency)</f>
        <v/>
      </c>
      <c r="AYG4" s="9">
        <f>BDH(AYG$1,"TOT_RETURN_INDEX_GROSS_DVDS",DataStart,DataEnd,"Per=M","Days=A","Fill=P","Currency="&amp;FxCurrency)</f>
        <v/>
      </c>
      <c r="AYI4" s="9">
        <f>BDH(AYI$1,"TOT_RETURN_INDEX_GROSS_DVDS",DataStart,DataEnd,"Per=M","Days=A","Fill=P","Currency="&amp;FxCurrency)</f>
        <v/>
      </c>
      <c r="AYK4" s="9">
        <f>BDH(AYK$1,"TOT_RETURN_INDEX_GROSS_DVDS",DataStart,DataEnd,"Per=M","Days=A","Fill=P","Currency="&amp;FxCurrency)</f>
        <v/>
      </c>
      <c r="AYM4" s="9">
        <f>BDH(AYM$1,"TOT_RETURN_INDEX_GROSS_DVDS",DataStart,DataEnd,"Per=M","Days=A","Fill=P","Currency="&amp;FxCurrency)</f>
        <v/>
      </c>
      <c r="AYO4" s="9">
        <f>BDH(AYO$1,"TOT_RETURN_INDEX_GROSS_DVDS",DataStart,DataEnd,"Per=M","Days=A","Fill=P","Currency="&amp;FxCurrency)</f>
        <v/>
      </c>
      <c r="AYQ4" s="9">
        <f>BDH(AYQ$1,"TOT_RETURN_INDEX_GROSS_DVDS",DataStart,DataEnd,"Per=M","Days=A","Fill=P","Currency="&amp;FxCurrency)</f>
        <v/>
      </c>
      <c r="AYS4" s="9">
        <f>BDH(AYS$1,"TOT_RETURN_INDEX_GROSS_DVDS",DataStart,DataEnd,"Per=M","Days=A","Fill=P","Currency="&amp;FxCurrency)</f>
        <v/>
      </c>
      <c r="AYU4" s="9">
        <f>BDH(AYU$1,"TOT_RETURN_INDEX_GROSS_DVDS",DataStart,DataEnd,"Per=M","Days=A","Fill=P","Currency="&amp;FxCurrency)</f>
        <v/>
      </c>
      <c r="AYW4" s="9">
        <f>BDH(AYW$1,"TOT_RETURN_INDEX_GROSS_DVDS",DataStart,DataEnd,"Per=M","Days=A","Fill=P","Currency="&amp;FxCurrency)</f>
        <v/>
      </c>
      <c r="AYY4" s="9">
        <f>BDH(AYY$1,"TOT_RETURN_INDEX_GROSS_DVDS",DataStart,DataEnd,"Per=M","Days=A","Fill=P","Currency="&amp;FxCurrency)</f>
        <v/>
      </c>
      <c r="AZA4" s="9">
        <f>BDH(AZA$1,"TOT_RETURN_INDEX_GROSS_DVDS",DataStart,DataEnd,"Per=M","Days=A","Fill=P","Currency="&amp;FxCurrency)</f>
        <v/>
      </c>
      <c r="AZC4" s="9">
        <f>BDH(AZC$1,"TOT_RETURN_INDEX_GROSS_DVDS",DataStart,DataEnd,"Per=M","Days=A","Fill=P","Currency="&amp;FxCurrency)</f>
        <v/>
      </c>
      <c r="AZE4" s="9">
        <f>BDH(AZE$1,"TOT_RETURN_INDEX_GROSS_DVDS",DataStart,DataEnd,"Per=M","Days=A","Fill=P","Currency="&amp;FxCurrency)</f>
        <v/>
      </c>
      <c r="AZG4" s="9">
        <f>BDH(AZG$1,"TOT_RETURN_INDEX_GROSS_DVDS",DataStart,DataEnd,"Per=M","Days=A","Fill=P","Currency="&amp;FxCurrency)</f>
        <v/>
      </c>
      <c r="AZI4" s="9">
        <f>BDH(AZI$1,"TOT_RETURN_INDEX_GROSS_DVDS",DataStart,DataEnd,"Per=M","Days=A","Fill=P","Currency="&amp;FxCurrency)</f>
        <v/>
      </c>
      <c r="AZK4" s="9">
        <f>BDH(AZK$1,"TOT_RETURN_INDEX_GROSS_DVDS",DataStart,DataEnd,"Per=M","Days=A","Fill=P","Currency="&amp;FxCurrency)</f>
        <v/>
      </c>
      <c r="AZM4" s="9">
        <f>BDH(AZM$1,"TOT_RETURN_INDEX_GROSS_DVDS",DataStart,DataEnd,"Per=M","Days=A","Fill=P","Currency="&amp;FxCurrency)</f>
        <v/>
      </c>
      <c r="AZO4" s="9">
        <f>BDH(AZO$1,"TOT_RETURN_INDEX_GROSS_DVDS",DataStart,DataEnd,"Per=M","Days=A","Fill=P","Currency="&amp;FxCurrency)</f>
        <v/>
      </c>
      <c r="AZQ4" s="9">
        <f>BDH(AZQ$1,"TOT_RETURN_INDEX_GROSS_DVDS",DataStart,DataEnd,"Per=M","Days=A","Fill=P","Currency="&amp;FxCurrency)</f>
        <v/>
      </c>
      <c r="AZS4" s="9">
        <f>BDH(AZS$1,"TOT_RETURN_INDEX_GROSS_DVDS",DataStart,DataEnd,"Per=M","Days=A","Fill=P","Currency="&amp;FxCurrency)</f>
        <v/>
      </c>
      <c r="AZU4" s="9">
        <f>BDH(AZU$1,"TOT_RETURN_INDEX_GROSS_DVDS",DataStart,DataEnd,"Per=M","Days=A","Fill=P","Currency="&amp;FxCurrency)</f>
        <v/>
      </c>
      <c r="AZW4" s="9">
        <f>BDH(AZW$1,"TOT_RETURN_INDEX_GROSS_DVDS",DataStart,DataEnd,"Per=M","Days=A","Fill=P","Currency="&amp;FxCurrency)</f>
        <v/>
      </c>
      <c r="AZY4" s="9">
        <f>BDH(AZY$1,"TOT_RETURN_INDEX_GROSS_DVDS",DataStart,DataEnd,"Per=M","Days=A","Fill=P","Currency="&amp;FxCurrency)</f>
        <v/>
      </c>
      <c r="BAA4" s="9">
        <f>BDH(BAA$1,"TOT_RETURN_INDEX_GROSS_DVDS",DataStart,DataEnd,"Per=M","Days=A","Fill=P","Currency="&amp;FxCurrency)</f>
        <v/>
      </c>
      <c r="BAC4" s="9">
        <f>BDH(BAC$1,"TOT_RETURN_INDEX_GROSS_DVDS",DataStart,DataEnd,"Per=M","Days=A","Fill=P","Currency="&amp;FxCurrency)</f>
        <v/>
      </c>
      <c r="BAE4" s="9">
        <f>BDH(BAE$1,"TOT_RETURN_INDEX_GROSS_DVDS",DataStart,DataEnd,"Per=M","Days=A","Fill=P","Currency="&amp;FxCurrency)</f>
        <v/>
      </c>
      <c r="BAG4" s="9">
        <f>BDH(BAG$1,"TOT_RETURN_INDEX_GROSS_DVDS",DataStart,DataEnd,"Per=M","Days=A","Fill=P","Currency="&amp;FxCurrency)</f>
        <v/>
      </c>
      <c r="BAI4" s="9">
        <f>BDH(BAI$1,"TOT_RETURN_INDEX_GROSS_DVDS",DataStart,DataEnd,"Per=M","Days=A","Fill=P","Currency="&amp;FxCurrency)</f>
        <v/>
      </c>
      <c r="BAK4" s="9">
        <f>BDH(BAK$1,"TOT_RETURN_INDEX_GROSS_DVDS",DataStart,DataEnd,"Per=M","Days=A","Fill=P","Currency="&amp;FxCurrency)</f>
        <v/>
      </c>
      <c r="BAM4" s="9">
        <f>BDH(BAM$1,"TOT_RETURN_INDEX_GROSS_DVDS",DataStart,DataEnd,"Per=M","Days=A","Fill=P","Currency="&amp;FxCurrency)</f>
        <v/>
      </c>
      <c r="BAO4" s="9">
        <f>BDH(BAO$1,"TOT_RETURN_INDEX_GROSS_DVDS",DataStart,DataEnd,"Per=M","Days=A","Fill=P","Currency="&amp;FxCurrency)</f>
        <v/>
      </c>
      <c r="BAQ4" s="9">
        <f>BDH(BAQ$1,"TOT_RETURN_INDEX_GROSS_DVDS",DataStart,DataEnd,"Per=M","Days=A","Fill=P","Currency="&amp;FxCurrency)</f>
        <v/>
      </c>
      <c r="BAS4" s="9">
        <f>BDH(BAS$1,"TOT_RETURN_INDEX_GROSS_DVDS",DataStart,DataEnd,"Per=M","Days=A","Fill=P","Currency="&amp;FxCurrency)</f>
        <v/>
      </c>
      <c r="BAU4" s="9">
        <f>BDH(BAU$1,"TOT_RETURN_INDEX_GROSS_DVDS",DataStart,DataEnd,"Per=M","Days=A","Fill=P","Currency="&amp;FxCurrency)</f>
        <v/>
      </c>
      <c r="BAW4" s="9">
        <f>BDH(BAW$1,"TOT_RETURN_INDEX_GROSS_DVDS",DataStart,DataEnd,"Per=M","Days=A","Fill=P","Currency="&amp;FxCurrency)</f>
        <v/>
      </c>
      <c r="BAY4" s="9">
        <f>BDH(BAY$1,"TOT_RETURN_INDEX_GROSS_DVDS",DataStart,DataEnd,"Per=M","Days=A","Fill=P","Currency="&amp;FxCurrency)</f>
        <v/>
      </c>
      <c r="BBA4" s="9">
        <f>BDH(BBA$1,"TOT_RETURN_INDEX_GROSS_DVDS",DataStart,DataEnd,"Per=M","Days=A","Fill=P","Currency="&amp;FxCurrency)</f>
        <v/>
      </c>
      <c r="BBC4" s="9">
        <f>BDH(BBC$1,"TOT_RETURN_INDEX_GROSS_DVDS",DataStart,DataEnd,"Per=M","Days=A","Fill=P","Currency="&amp;FxCurrency)</f>
        <v/>
      </c>
      <c r="BBE4" s="9">
        <f>BDH(BBE$1,"TOT_RETURN_INDEX_GROSS_DVDS",DataStart,DataEnd,"Per=M","Days=A","Fill=P","Currency="&amp;FxCurrency)</f>
        <v/>
      </c>
      <c r="BBG4" s="9">
        <f>BDH(BBG$1,"TOT_RETURN_INDEX_GROSS_DVDS",DataStart,DataEnd,"Per=M","Days=A","Fill=P","Currency="&amp;FxCurrency)</f>
        <v/>
      </c>
      <c r="BBI4" s="9">
        <f>BDH(BBI$1,"TOT_RETURN_INDEX_GROSS_DVDS",DataStart,DataEnd,"Per=M","Days=A","Fill=P","Currency="&amp;FxCurrency)</f>
        <v/>
      </c>
      <c r="BBK4" s="9">
        <f>BDH(BBK$1,"TOT_RETURN_INDEX_GROSS_DVDS",DataStart,DataEnd,"Per=M","Days=A","Fill=P","Currency="&amp;FxCurrency)</f>
        <v/>
      </c>
      <c r="BBM4" s="9">
        <f>BDH(BBM$1,"TOT_RETURN_INDEX_GROSS_DVDS",DataStart,DataEnd,"Per=M","Days=A","Fill=P","Currency="&amp;FxCurrency)</f>
        <v/>
      </c>
      <c r="BBO4" s="9">
        <f>BDH(BBO$1,"TOT_RETURN_INDEX_GROSS_DVDS",DataStart,DataEnd,"Per=M","Days=A","Fill=P","Currency="&amp;FxCurrency)</f>
        <v/>
      </c>
      <c r="BBQ4" s="9">
        <f>BDH(BBQ$1,"TOT_RETURN_INDEX_GROSS_DVDS",DataStart,DataEnd,"Per=M","Days=A","Fill=P","Currency="&amp;FxCurrency)</f>
        <v/>
      </c>
      <c r="BBS4" s="9">
        <f>BDH(BBS$1,"TOT_RETURN_INDEX_GROSS_DVDS",DataStart,DataEnd,"Per=M","Days=A","Fill=P","Currency="&amp;FxCurrency)</f>
        <v/>
      </c>
      <c r="BBU4" s="9">
        <f>BDH(BBU$1,"TOT_RETURN_INDEX_GROSS_DVDS",DataStart,DataEnd,"Per=M","Days=A","Fill=P","Currency="&amp;FxCurrency)</f>
        <v/>
      </c>
      <c r="BBW4" s="9">
        <f>BDH(BBW$1,"TOT_RETURN_INDEX_GROSS_DVDS",DataStart,DataEnd,"Per=M","Days=A","Fill=P","Currency="&amp;FxCurrency)</f>
        <v/>
      </c>
      <c r="BBY4" s="9">
        <f>BDH(BBY$1,"TOT_RETURN_INDEX_GROSS_DVDS",DataStart,DataEnd,"Per=M","Days=A","Fill=P","Currency="&amp;FxCurrency)</f>
        <v/>
      </c>
      <c r="BCA4" s="9">
        <f>BDH(BCA$1,"TOT_RETURN_INDEX_GROSS_DVDS",DataStart,DataEnd,"Per=M","Days=A","Fill=P","Currency="&amp;FxCurrency)</f>
        <v/>
      </c>
      <c r="BCC4" s="9">
        <f>BDH(BCC$1,"TOT_RETURN_INDEX_GROSS_DVDS",DataStart,DataEnd,"Per=M","Days=A","Fill=P","Currency="&amp;FxCurrency)</f>
        <v/>
      </c>
      <c r="BCE4" s="9">
        <f>BDH(BCE$1,"TOT_RETURN_INDEX_GROSS_DVDS",DataStart,DataEnd,"Per=M","Days=A","Fill=P","Currency="&amp;FxCurrency)</f>
        <v/>
      </c>
      <c r="BCG4" s="9">
        <f>BDH(BCG$1,"TOT_RETURN_INDEX_GROSS_DVDS",DataStart,DataEnd,"Per=M","Days=A","Fill=P","Currency="&amp;FxCurrency)</f>
        <v/>
      </c>
      <c r="BCI4" s="9">
        <f>BDH(BCI$1,"TOT_RETURN_INDEX_GROSS_DVDS",DataStart,DataEnd,"Per=M","Days=A","Fill=P","Currency="&amp;FxCurrency)</f>
        <v/>
      </c>
      <c r="BCK4" s="9">
        <f>BDH(BCK$1,"TOT_RETURN_INDEX_GROSS_DVDS",DataStart,DataEnd,"Per=M","Days=A","Fill=P","Currency="&amp;FxCurrency)</f>
        <v/>
      </c>
      <c r="BCM4" s="9">
        <f>BDH(BCM$1,"TOT_RETURN_INDEX_GROSS_DVDS",DataStart,DataEnd,"Per=M","Days=A","Fill=P","Currency="&amp;FxCurrency)</f>
        <v/>
      </c>
      <c r="BCO4" s="9">
        <f>BDH(BCO$1,"TOT_RETURN_INDEX_GROSS_DVDS",DataStart,DataEnd,"Per=M","Days=A","Fill=P","Currency="&amp;FxCurrency)</f>
        <v/>
      </c>
      <c r="BCQ4" s="9">
        <f>BDH(BCQ$1,"TOT_RETURN_INDEX_GROSS_DVDS",DataStart,DataEnd,"Per=M","Days=A","Fill=P","Currency="&amp;FxCurrency)</f>
        <v/>
      </c>
      <c r="BCS4" s="9">
        <f>BDH(BCS$1,"TOT_RETURN_INDEX_GROSS_DVDS",DataStart,DataEnd,"Per=M","Days=A","Fill=P","Currency="&amp;FxCurrency)</f>
        <v/>
      </c>
      <c r="BCU4" s="9">
        <f>BDH(BCU$1,"TOT_RETURN_INDEX_GROSS_DVDS",DataStart,DataEnd,"Per=M","Days=A","Fill=P","Currency="&amp;FxCurrency)</f>
        <v/>
      </c>
      <c r="BCW4" s="9">
        <f>BDH(BCW$1,"TOT_RETURN_INDEX_GROSS_DVDS",DataStart,DataEnd,"Per=M","Days=A","Fill=P","Currency="&amp;FxCurrency)</f>
        <v/>
      </c>
      <c r="BCY4" s="9">
        <f>BDH(BCY$1,"TOT_RETURN_INDEX_GROSS_DVDS",DataStart,DataEnd,"Per=M","Days=A","Fill=P","Currency="&amp;FxCurrency)</f>
        <v/>
      </c>
      <c r="BDA4" s="9">
        <f>BDH(BDA$1,"TOT_RETURN_INDEX_GROSS_DVDS",DataStart,DataEnd,"Per=M","Days=A","Fill=P","Currency="&amp;FxCurrency)</f>
        <v/>
      </c>
      <c r="BDC4" s="9">
        <f>BDH(BDC$1,"TOT_RETURN_INDEX_GROSS_DVDS",DataStart,DataEnd,"Per=M","Days=A","Fill=P","Currency="&amp;FxCurrency)</f>
        <v/>
      </c>
      <c r="BDE4" s="9">
        <f>BDH(BDE$1,"TOT_RETURN_INDEX_GROSS_DVDS",DataStart,DataEnd,"Per=M","Days=A","Fill=P","Currency="&amp;FxCurrency)</f>
        <v/>
      </c>
      <c r="BDG4" s="9">
        <f>BDH(BDG$1,"TOT_RETURN_INDEX_GROSS_DVDS",DataStart,DataEnd,"Per=M","Days=A","Fill=P","Currency="&amp;FxCurrency)</f>
        <v/>
      </c>
      <c r="BDI4" s="9">
        <f>BDH(BDI$1,"TOT_RETURN_INDEX_GROSS_DVDS",DataStart,DataEnd,"Per=M","Days=A","Fill=P","Currency="&amp;FxCurrency)</f>
        <v/>
      </c>
      <c r="BDK4" s="9">
        <f>BDH(BDK$1,"TOT_RETURN_INDEX_GROSS_DVDS",DataStart,DataEnd,"Per=M","Days=A","Fill=P","Currency="&amp;FxCurrency)</f>
        <v/>
      </c>
      <c r="BDM4" s="9">
        <f>BDH(BDM$1,"TOT_RETURN_INDEX_GROSS_DVDS",DataStart,DataEnd,"Per=M","Days=A","Fill=P","Currency="&amp;FxCurrency)</f>
        <v/>
      </c>
      <c r="BDO4" s="9">
        <f>BDH(BDO$1,"TOT_RETURN_INDEX_GROSS_DVDS",DataStart,DataEnd,"Per=M","Days=A","Fill=P","Currency="&amp;FxCurrency)</f>
        <v/>
      </c>
      <c r="BDQ4" s="9">
        <f>BDH(BDQ$1,"TOT_RETURN_INDEX_GROSS_DVDS",DataStart,DataEnd,"Per=M","Days=A","Fill=P","Currency="&amp;FxCurrency)</f>
        <v/>
      </c>
      <c r="BDS4" s="9">
        <f>BDH(BDS$1,"TOT_RETURN_INDEX_GROSS_DVDS",DataStart,DataEnd,"Per=M","Days=A","Fill=P","Currency="&amp;FxCurrency)</f>
        <v/>
      </c>
      <c r="BDU4" s="9">
        <f>BDH(BDU$1,"TOT_RETURN_INDEX_GROSS_DVDS",DataStart,DataEnd,"Per=M","Days=A","Fill=P","Currency="&amp;FxCurrency)</f>
        <v/>
      </c>
      <c r="BDW4" s="9">
        <f>BDH(BDW$1,"TOT_RETURN_INDEX_GROSS_DVDS",DataStart,DataEnd,"Per=M","Days=A","Fill=P","Currency="&amp;FxCurrency)</f>
        <v/>
      </c>
      <c r="BDY4" s="9">
        <f>BDH(BDY$1,"TOT_RETURN_INDEX_GROSS_DVDS",DataStart,DataEnd,"Per=M","Days=A","Fill=P","Currency="&amp;FxCurrency)</f>
        <v/>
      </c>
      <c r="BEA4" s="9">
        <f>BDH(BEA$1,"TOT_RETURN_INDEX_GROSS_DVDS",DataStart,DataEnd,"Per=M","Days=A","Fill=P","Currency="&amp;FxCurrency)</f>
        <v/>
      </c>
      <c r="BEC4" s="9">
        <f>BDH(BEC$1,"TOT_RETURN_INDEX_GROSS_DVDS",DataStart,DataEnd,"Per=M","Days=A","Fill=P","Currency="&amp;FxCurrency)</f>
        <v/>
      </c>
      <c r="BEE4" s="9">
        <f>BDH(BEE$1,"TOT_RETURN_INDEX_GROSS_DVDS",DataStart,DataEnd,"Per=M","Days=A","Fill=P","Currency="&amp;FxCurrency)</f>
        <v/>
      </c>
      <c r="BEG4" s="9">
        <f>BDH(BEG$1,"TOT_RETURN_INDEX_GROSS_DVDS",DataStart,DataEnd,"Per=M","Days=A","Fill=P","Currency="&amp;FxCurrency)</f>
        <v/>
      </c>
      <c r="BEI4" s="9">
        <f>BDH(BEI$1,"TOT_RETURN_INDEX_GROSS_DVDS",DataStart,DataEnd,"Per=M","Days=A","Fill=P","Currency="&amp;FxCurrency)</f>
        <v/>
      </c>
      <c r="BEK4" s="9">
        <f>BDH(BEK$1,"TOT_RETURN_INDEX_GROSS_DVDS",DataStart,DataEnd,"Per=M","Days=A","Fill=P","Currency="&amp;FxCurrency)</f>
        <v/>
      </c>
      <c r="BEM4" s="9">
        <f>BDH(BEM$1,"TOT_RETURN_INDEX_GROSS_DVDS",DataStart,DataEnd,"Per=M","Days=A","Fill=P","Currency="&amp;FxCurrency)</f>
        <v/>
      </c>
      <c r="BEO4" s="9">
        <f>BDH(BEO$1,"TOT_RETURN_INDEX_GROSS_DVDS",DataStart,DataEnd,"Per=M","Days=A","Fill=P","Currency="&amp;FxCurrency)</f>
        <v/>
      </c>
      <c r="BEQ4" s="9">
        <f>BDH(BEQ$1,"TOT_RETURN_INDEX_GROSS_DVDS",DataStart,DataEnd,"Per=M","Days=A","Fill=P","Currency="&amp;FxCurrency)</f>
        <v/>
      </c>
      <c r="BES4" s="9">
        <f>BDH(BES$1,"TOT_RETURN_INDEX_GROSS_DVDS",DataStart,DataEnd,"Per=M","Days=A","Fill=P","Currency="&amp;FxCurrency)</f>
        <v/>
      </c>
      <c r="BEU4" s="9">
        <f>BDH(BEU$1,"TOT_RETURN_INDEX_GROSS_DVDS",DataStart,DataEnd,"Per=M","Days=A","Fill=P","Currency="&amp;FxCurrency)</f>
        <v/>
      </c>
      <c r="BEW4" s="9">
        <f>BDH(BEW$1,"TOT_RETURN_INDEX_GROSS_DVDS",DataStart,DataEnd,"Per=M","Days=A","Fill=P","Currency="&amp;FxCurrency)</f>
        <v/>
      </c>
      <c r="BEY4" s="9">
        <f>BDH(BEY$1,"TOT_RETURN_INDEX_GROSS_DVDS",DataStart,DataEnd,"Per=M","Days=A","Fill=P","Currency="&amp;FxCurrency)</f>
        <v/>
      </c>
      <c r="BFA4" s="9">
        <f>BDH(BFA$1,"TOT_RETURN_INDEX_GROSS_DVDS",DataStart,DataEnd,"Per=M","Days=A","Fill=P","Currency="&amp;FxCurrency)</f>
        <v/>
      </c>
      <c r="BFC4" s="9">
        <f>BDH(BFC$1,"TOT_RETURN_INDEX_GROSS_DVDS",DataStart,DataEnd,"Per=M","Days=A","Fill=P","Currency="&amp;FxCurrency)</f>
        <v/>
      </c>
      <c r="BFE4" s="9">
        <f>BDH(BFE$1,"TOT_RETURN_INDEX_GROSS_DVDS",DataStart,DataEnd,"Per=M","Days=A","Fill=P","Currency="&amp;FxCurrency)</f>
        <v/>
      </c>
      <c r="BFG4" s="9">
        <f>BDH(BFG$1,"TOT_RETURN_INDEX_GROSS_DVDS",DataStart,DataEnd,"Per=M","Days=A","Fill=P","Currency="&amp;FxCurrency)</f>
        <v/>
      </c>
      <c r="BFI4" s="9">
        <f>BDH(BFI$1,"TOT_RETURN_INDEX_GROSS_DVDS",DataStart,DataEnd,"Per=M","Days=A","Fill=P","Currency="&amp;FxCurrency)</f>
        <v/>
      </c>
      <c r="BFK4" s="9">
        <f>BDH(BFK$1,"TOT_RETURN_INDEX_GROSS_DVDS",DataStart,DataEnd,"Per=M","Days=A","Fill=P","Currency="&amp;FxCurrency)</f>
        <v/>
      </c>
      <c r="BFM4" s="9">
        <f>BDH(BFM$1,"TOT_RETURN_INDEX_GROSS_DVDS",DataStart,DataEnd,"Per=M","Days=A","Fill=P","Currency="&amp;FxCurrency)</f>
        <v/>
      </c>
      <c r="BFO4" s="9">
        <f>BDH(BFO$1,"TOT_RETURN_INDEX_GROSS_DVDS",DataStart,DataEnd,"Per=M","Days=A","Fill=P","Currency="&amp;FxCurrency)</f>
        <v/>
      </c>
      <c r="BFQ4" s="9">
        <f>BDH(BFQ$1,"TOT_RETURN_INDEX_GROSS_DVDS",DataStart,DataEnd,"Per=M","Days=A","Fill=P","Currency="&amp;FxCurrency)</f>
        <v/>
      </c>
      <c r="BFS4" s="9">
        <f>BDH(BFS$1,"TOT_RETURN_INDEX_GROSS_DVDS",DataStart,DataEnd,"Per=M","Days=A","Fill=P","Currency="&amp;FxCurrency)</f>
        <v/>
      </c>
      <c r="BFU4" s="9">
        <f>BDH(BFU$1,"TOT_RETURN_INDEX_GROSS_DVDS",DataStart,DataEnd,"Per=M","Days=A","Fill=P","Currency="&amp;FxCurrency)</f>
        <v/>
      </c>
      <c r="BFW4" s="9">
        <f>BDH(BFW$1,"TOT_RETURN_INDEX_GROSS_DVDS",DataStart,DataEnd,"Per=M","Days=A","Fill=P","Currency="&amp;FxCurrency)</f>
        <v/>
      </c>
      <c r="BFY4" s="9">
        <f>BDH(BFY$1,"TOT_RETURN_INDEX_GROSS_DVDS",DataStart,DataEnd,"Per=M","Days=A","Fill=P","Currency="&amp;FxCurrency)</f>
        <v/>
      </c>
      <c r="BGA4" s="9">
        <f>BDH(BGA$1,"TOT_RETURN_INDEX_GROSS_DVDS",DataStart,DataEnd,"Per=M","Days=A","Fill=P","Currency="&amp;FxCurrency)</f>
        <v/>
      </c>
      <c r="BGC4" s="9">
        <f>BDH(BGC$1,"TOT_RETURN_INDEX_GROSS_DVDS",DataStart,DataEnd,"Per=M","Days=A","Fill=P","Currency="&amp;FxCurrency)</f>
        <v/>
      </c>
      <c r="BGE4" s="9">
        <f>BDH(BGE$1,"TOT_RETURN_INDEX_GROSS_DVDS",DataStart,DataEnd,"Per=M","Days=A","Fill=P","Currency="&amp;FxCurrency)</f>
        <v/>
      </c>
      <c r="BGG4" s="9">
        <f>BDH(BGG$1,"TOT_RETURN_INDEX_GROSS_DVDS",DataStart,DataEnd,"Per=M","Days=A","Fill=P","Currency="&amp;FxCurrency)</f>
        <v/>
      </c>
      <c r="BGI4" s="9">
        <f>BDH(BGI$1,"TOT_RETURN_INDEX_GROSS_DVDS",DataStart,DataEnd,"Per=M","Days=A","Fill=P","Currency="&amp;FxCurrency)</f>
        <v/>
      </c>
      <c r="BGK4" s="9">
        <f>BDH(BGK$1,"TOT_RETURN_INDEX_GROSS_DVDS",DataStart,DataEnd,"Per=M","Days=A","Fill=P","Currency="&amp;FxCurrency)</f>
        <v/>
      </c>
      <c r="BGM4" s="9">
        <f>BDH(BGM$1,"TOT_RETURN_INDEX_GROSS_DVDS",DataStart,DataEnd,"Per=M","Days=A","Fill=P","Currency="&amp;FxCurrency)</f>
        <v/>
      </c>
      <c r="BGO4" s="9">
        <f>BDH(BGO$1,"TOT_RETURN_INDEX_GROSS_DVDS",DataStart,DataEnd,"Per=M","Days=A","Fill=P","Currency="&amp;FxCurrency)</f>
        <v/>
      </c>
      <c r="BGQ4" s="9">
        <f>BDH(BGQ$1,"TOT_RETURN_INDEX_GROSS_DVDS",DataStart,DataEnd,"Per=M","Days=A","Fill=P","Currency="&amp;FxCurrency)</f>
        <v/>
      </c>
      <c r="BGS4" s="9">
        <f>BDH(BGS$1,"TOT_RETURN_INDEX_GROSS_DVDS",DataStart,DataEnd,"Per=M","Days=A","Fill=P","Currency="&amp;FxCurrency)</f>
        <v/>
      </c>
      <c r="BGU4" s="9">
        <f>BDH(BGU$1,"TOT_RETURN_INDEX_GROSS_DVDS",DataStart,DataEnd,"Per=M","Days=A","Fill=P","Currency="&amp;FxCurrency)</f>
        <v/>
      </c>
      <c r="BGW4" s="9">
        <f>BDH(BGW$1,"TOT_RETURN_INDEX_GROSS_DVDS",DataStart,DataEnd,"Per=M","Days=A","Fill=P","Currency="&amp;FxCurrency)</f>
        <v/>
      </c>
      <c r="BGY4" s="9">
        <f>BDH(BGY$1,"TOT_RETURN_INDEX_GROSS_DVDS",DataStart,DataEnd,"Per=M","Days=A","Fill=P","Currency="&amp;FxCurrency)</f>
        <v/>
      </c>
      <c r="BHA4" s="9">
        <f>BDH(BHA$1,"TOT_RETURN_INDEX_GROSS_DVDS",DataStart,DataEnd,"Per=M","Days=A","Fill=P","Currency="&amp;FxCurrency)</f>
        <v/>
      </c>
      <c r="BHC4" s="9">
        <f>BDH(BHC$1,"TOT_RETURN_INDEX_GROSS_DVDS",DataStart,DataEnd,"Per=M","Days=A","Fill=P","Currency="&amp;FxCurrency)</f>
        <v/>
      </c>
      <c r="BHE4" s="9">
        <f>BDH(BHE$1,"TOT_RETURN_INDEX_GROSS_DVDS",DataStart,DataEnd,"Per=M","Days=A","Fill=P","Currency="&amp;FxCurrency)</f>
        <v/>
      </c>
      <c r="BHG4" s="9">
        <f>BDH(BHG$1,"TOT_RETURN_INDEX_GROSS_DVDS",DataStart,DataEnd,"Per=M","Days=A","Fill=P","Currency="&amp;FxCurrency)</f>
        <v/>
      </c>
      <c r="BHI4" s="9">
        <f>BDH(BHI$1,"TOT_RETURN_INDEX_GROSS_DVDS",DataStart,DataEnd,"Per=M","Days=A","Fill=P","Currency="&amp;FxCurrency)</f>
        <v/>
      </c>
      <c r="BHK4" s="9">
        <f>BDH(BHK$1,"TOT_RETURN_INDEX_GROSS_DVDS",DataStart,DataEnd,"Per=M","Days=A","Fill=P","Currency="&amp;FxCurrency)</f>
        <v/>
      </c>
      <c r="BHM4" s="9">
        <f>BDH(BHM$1,"TOT_RETURN_INDEX_GROSS_DVDS",DataStart,DataEnd,"Per=M","Days=A","Fill=P","Currency="&amp;FxCurrency)</f>
        <v/>
      </c>
      <c r="BHO4" s="9">
        <f>BDH(BHO$1,"TOT_RETURN_INDEX_GROSS_DVDS",DataStart,DataEnd,"Per=M","Days=A","Fill=P","Currency="&amp;FxCurrency)</f>
        <v/>
      </c>
      <c r="BHQ4" s="9">
        <f>BDH(BHQ$1,"TOT_RETURN_INDEX_GROSS_DVDS",DataStart,DataEnd,"Per=M","Days=A","Fill=P","Currency="&amp;FxCurrency)</f>
        <v/>
      </c>
      <c r="BHS4" s="9">
        <f>BDH(BHS$1,"TOT_RETURN_INDEX_GROSS_DVDS",DataStart,DataEnd,"Per=M","Days=A","Fill=P","Currency="&amp;FxCurrency)</f>
        <v/>
      </c>
      <c r="BHU4" s="9">
        <f>BDH(BHU$1,"TOT_RETURN_INDEX_GROSS_DVDS",DataStart,DataEnd,"Per=M","Days=A","Fill=P","Currency="&amp;FxCurrency)</f>
        <v/>
      </c>
      <c r="BHW4" s="9">
        <f>BDH(BHW$1,"TOT_RETURN_INDEX_GROSS_DVDS",DataStart,DataEnd,"Per=M","Days=A","Fill=P","Currency="&amp;FxCurrency)</f>
        <v/>
      </c>
      <c r="BHY4" s="9">
        <f>BDH(BHY$1,"TOT_RETURN_INDEX_GROSS_DVDS",DataStart,DataEnd,"Per=M","Days=A","Fill=P","Currency="&amp;FxCurrency)</f>
        <v/>
      </c>
      <c r="BIA4" s="9">
        <f>BDH(BIA$1,"TOT_RETURN_INDEX_GROSS_DVDS",DataStart,DataEnd,"Per=M","Days=A","Fill=P","Currency="&amp;FxCurrency)</f>
        <v/>
      </c>
      <c r="BIC4" s="9">
        <f>BDH(BIC$1,"TOT_RETURN_INDEX_GROSS_DVDS",DataStart,DataEnd,"Per=M","Days=A","Fill=P","Currency="&amp;FxCurrency)</f>
        <v/>
      </c>
      <c r="BIE4" s="9">
        <f>BDH(BIE$1,"TOT_RETURN_INDEX_GROSS_DVDS",DataStart,DataEnd,"Per=M","Days=A","Fill=P","Currency="&amp;FxCurrency)</f>
        <v/>
      </c>
      <c r="BIG4" s="9">
        <f>BDH(BIG$1,"TOT_RETURN_INDEX_GROSS_DVDS",DataStart,DataEnd,"Per=M","Days=A","Fill=P","Currency="&amp;FxCurrency)</f>
        <v/>
      </c>
      <c r="BII4" s="9">
        <f>BDH(BII$1,"TOT_RETURN_INDEX_GROSS_DVDS",DataStart,DataEnd,"Per=M","Days=A","Fill=P","Currency="&amp;FxCurrency)</f>
        <v/>
      </c>
      <c r="BIK4" s="9">
        <f>BDH(BIK$1,"TOT_RETURN_INDEX_GROSS_DVDS",DataStart,DataEnd,"Per=M","Days=A","Fill=P","Currency="&amp;FxCurrency)</f>
        <v/>
      </c>
      <c r="BIM4" s="9">
        <f>BDH(BIM$1,"TOT_RETURN_INDEX_GROSS_DVDS",DataStart,DataEnd,"Per=M","Days=A","Fill=P","Currency="&amp;FxCurrency)</f>
        <v/>
      </c>
      <c r="BIO4" s="9">
        <f>BDH(BIO$1,"TOT_RETURN_INDEX_GROSS_DVDS",DataStart,DataEnd,"Per=M","Days=A","Fill=P","Currency="&amp;FxCurrency)</f>
        <v/>
      </c>
      <c r="BIQ4" s="9">
        <f>BDH(BIQ$1,"TOT_RETURN_INDEX_GROSS_DVDS",DataStart,DataEnd,"Per=M","Days=A","Fill=P","Currency="&amp;FxCurrency)</f>
        <v/>
      </c>
      <c r="BIS4" s="9">
        <f>BDH(BIS$1,"TOT_RETURN_INDEX_GROSS_DVDS",DataStart,DataEnd,"Per=M","Days=A","Fill=P","Currency="&amp;FxCurrency)</f>
        <v/>
      </c>
      <c r="BIU4" s="9">
        <f>BDH(BIU$1,"TOT_RETURN_INDEX_GROSS_DVDS",DataStart,DataEnd,"Per=M","Days=A","Fill=P","Currency="&amp;FxCurrency)</f>
        <v/>
      </c>
      <c r="BIW4" s="9">
        <f>BDH(BIW$1,"TOT_RETURN_INDEX_GROSS_DVDS",DataStart,DataEnd,"Per=M","Days=A","Fill=P","Currency="&amp;FxCurrency)</f>
        <v/>
      </c>
      <c r="BIY4" s="9">
        <f>BDH(BIY$1,"TOT_RETURN_INDEX_GROSS_DVDS",DataStart,DataEnd,"Per=M","Days=A","Fill=P","Currency="&amp;FxCurrency)</f>
        <v/>
      </c>
      <c r="BJA4" s="9">
        <f>BDH(BJA$1,"TOT_RETURN_INDEX_GROSS_DVDS",DataStart,DataEnd,"Per=M","Days=A","Fill=P","Currency="&amp;FxCurrency)</f>
        <v/>
      </c>
      <c r="BJC4" s="9">
        <f>BDH(BJC$1,"TOT_RETURN_INDEX_GROSS_DVDS",DataStart,DataEnd,"Per=M","Days=A","Fill=P","Currency="&amp;FxCurrency)</f>
        <v/>
      </c>
      <c r="BJE4" s="9">
        <f>BDH(BJE$1,"TOT_RETURN_INDEX_GROSS_DVDS",DataStart,DataEnd,"Per=M","Days=A","Fill=P","Currency="&amp;FxCurrency)</f>
        <v/>
      </c>
      <c r="BJG4" s="9">
        <f>BDH(BJG$1,"TOT_RETURN_INDEX_GROSS_DVDS",DataStart,DataEnd,"Per=M","Days=A","Fill=P","Currency="&amp;FxCurrency)</f>
        <v/>
      </c>
      <c r="BJI4" s="9">
        <f>BDH(BJI$1,"TOT_RETURN_INDEX_GROSS_DVDS",DataStart,DataEnd,"Per=M","Days=A","Fill=P","Currency="&amp;FxCurrency)</f>
        <v/>
      </c>
      <c r="BJK4" s="9">
        <f>BDH(BJK$1,"TOT_RETURN_INDEX_GROSS_DVDS",DataStart,DataEnd,"Per=M","Days=A","Fill=P","Currency="&amp;FxCurrency)</f>
        <v/>
      </c>
      <c r="BJM4" s="9">
        <f>BDH(BJM$1,"TOT_RETURN_INDEX_GROSS_DVDS",DataStart,DataEnd,"Per=M","Days=A","Fill=P","Currency="&amp;FxCurrency)</f>
        <v/>
      </c>
      <c r="BJO4" s="9">
        <f>BDH(BJO$1,"TOT_RETURN_INDEX_GROSS_DVDS",DataStart,DataEnd,"Per=M","Days=A","Fill=P","Currency="&amp;FxCurrency)</f>
        <v/>
      </c>
      <c r="BJQ4" s="9">
        <f>BDH(BJQ$1,"TOT_RETURN_INDEX_GROSS_DVDS",DataStart,DataEnd,"Per=M","Days=A","Fill=P","Currency="&amp;FxCurrency)</f>
        <v/>
      </c>
      <c r="BJS4" s="9">
        <f>BDH(BJS$1,"TOT_RETURN_INDEX_GROSS_DVDS",DataStart,DataEnd,"Per=M","Days=A","Fill=P","Currency="&amp;FxCurrency)</f>
        <v/>
      </c>
      <c r="BJU4" s="9">
        <f>BDH(BJU$1,"TOT_RETURN_INDEX_GROSS_DVDS",DataStart,DataEnd,"Per=M","Days=A","Fill=P","Currency="&amp;FxCurrency)</f>
        <v/>
      </c>
      <c r="BJW4" s="9">
        <f>BDH(BJW$1,"TOT_RETURN_INDEX_GROSS_DVDS",DataStart,DataEnd,"Per=M","Days=A","Fill=P","Currency="&amp;FxCurrency)</f>
        <v/>
      </c>
      <c r="BJY4" s="9">
        <f>BDH(BJY$1,"TOT_RETURN_INDEX_GROSS_DVDS",DataStart,DataEnd,"Per=M","Days=A","Fill=P","Currency="&amp;FxCurrency)</f>
        <v/>
      </c>
      <c r="BKA4" s="9">
        <f>BDH(BKA$1,"TOT_RETURN_INDEX_GROSS_DVDS",DataStart,DataEnd,"Per=M","Days=A","Fill=P","Currency="&amp;FxCurrency)</f>
        <v/>
      </c>
      <c r="BKC4" s="9">
        <f>BDH(BKC$1,"TOT_RETURN_INDEX_GROSS_DVDS",DataStart,DataEnd,"Per=M","Days=A","Fill=P","Currency="&amp;FxCurrency)</f>
        <v/>
      </c>
      <c r="BKE4" s="9">
        <f>BDH(BKE$1,"TOT_RETURN_INDEX_GROSS_DVDS",DataStart,DataEnd,"Per=M","Days=A","Fill=P","Currency="&amp;FxCurrency)</f>
        <v/>
      </c>
      <c r="BKG4" s="9">
        <f>BDH(BKG$1,"TOT_RETURN_INDEX_GROSS_DVDS",DataStart,DataEnd,"Per=M","Days=A","Fill=P","Currency="&amp;FxCurrency)</f>
        <v/>
      </c>
      <c r="BKI4" s="9">
        <f>BDH(BKI$1,"TOT_RETURN_INDEX_GROSS_DVDS",DataStart,DataEnd,"Per=M","Days=A","Fill=P","Currency="&amp;FxCurrency)</f>
        <v/>
      </c>
      <c r="BKK4" s="9">
        <f>BDH(BKK$1,"TOT_RETURN_INDEX_GROSS_DVDS",DataStart,DataEnd,"Per=M","Days=A","Fill=P","Currency="&amp;FxCurrency)</f>
        <v/>
      </c>
      <c r="BKM4" s="9">
        <f>BDH(BKM$1,"TOT_RETURN_INDEX_GROSS_DVDS",DataStart,DataEnd,"Per=M","Days=A","Fill=P","Currency="&amp;FxCurrency)</f>
        <v/>
      </c>
      <c r="BKO4" s="9">
        <f>BDH(BKO$1,"TOT_RETURN_INDEX_GROSS_DVDS",DataStart,DataEnd,"Per=M","Days=A","Fill=P","Currency="&amp;FxCurrency)</f>
        <v/>
      </c>
      <c r="BKQ4" s="9">
        <f>BDH(BKQ$1,"TOT_RETURN_INDEX_GROSS_DVDS",DataStart,DataEnd,"Per=M","Days=A","Fill=P","Currency="&amp;FxCurrency)</f>
        <v/>
      </c>
      <c r="BKS4" s="9">
        <f>BDH(BKS$1,"TOT_RETURN_INDEX_GROSS_DVDS",DataStart,DataEnd,"Per=M","Days=A","Fill=P","Currency="&amp;FxCurrency)</f>
        <v/>
      </c>
      <c r="BKU4" s="9">
        <f>BDH(BKU$1,"TOT_RETURN_INDEX_GROSS_DVDS",DataStart,DataEnd,"Per=M","Days=A","Fill=P","Currency="&amp;FxCurrency)</f>
        <v/>
      </c>
      <c r="BKW4" s="9">
        <f>BDH(BKW$1,"TOT_RETURN_INDEX_GROSS_DVDS",DataStart,DataEnd,"Per=M","Days=A","Fill=P","Currency="&amp;FxCurrency)</f>
        <v/>
      </c>
      <c r="BKY4" s="9">
        <f>BDH(BKY$1,"TOT_RETURN_INDEX_GROSS_DVDS",DataStart,DataEnd,"Per=M","Days=A","Fill=P","Currency="&amp;FxCurrency)</f>
        <v/>
      </c>
      <c r="BLA4" s="9">
        <f>BDH(BLA$1,"TOT_RETURN_INDEX_GROSS_DVDS",DataStart,DataEnd,"Per=M","Days=A","Fill=P","Currency="&amp;FxCurrency)</f>
        <v/>
      </c>
      <c r="BLC4" s="9">
        <f>BDH(BLC$1,"TOT_RETURN_INDEX_GROSS_DVDS",DataStart,DataEnd,"Per=M","Days=A","Fill=P","Currency="&amp;FxCurrency)</f>
        <v/>
      </c>
      <c r="BLE4" s="9">
        <f>BDH(BLE$1,"TOT_RETURN_INDEX_GROSS_DVDS",DataStart,DataEnd,"Per=M","Days=A","Fill=P","Currency="&amp;FxCurrency)</f>
        <v/>
      </c>
      <c r="BLG4" s="9">
        <f>BDH(BLG$1,"TOT_RETURN_INDEX_GROSS_DVDS",DataStart,DataEnd,"Per=M","Days=A","Fill=P","Currency="&amp;FxCurrency)</f>
        <v/>
      </c>
      <c r="BLI4" s="9">
        <f>BDH(BLI$1,"TOT_RETURN_INDEX_GROSS_DVDS",DataStart,DataEnd,"Per=M","Days=A","Fill=P","Currency="&amp;FxCurrency)</f>
        <v/>
      </c>
      <c r="BLK4" s="9">
        <f>BDH(BLK$1,"TOT_RETURN_INDEX_GROSS_DVDS",DataStart,DataEnd,"Per=M","Days=A","Fill=P","Currency="&amp;FxCurrency)</f>
        <v/>
      </c>
      <c r="BLM4" s="9">
        <f>BDH(BLM$1,"TOT_RETURN_INDEX_GROSS_DVDS",DataStart,DataEnd,"Per=M","Days=A","Fill=P","Currency="&amp;FxCurrency)</f>
        <v/>
      </c>
      <c r="BLO4" s="9">
        <f>BDH(BLO$1,"TOT_RETURN_INDEX_GROSS_DVDS",DataStart,DataEnd,"Per=M","Days=A","Fill=P","Currency="&amp;FxCurrency)</f>
        <v/>
      </c>
      <c r="BLQ4" s="9">
        <f>BDH(BLQ$1,"TOT_RETURN_INDEX_GROSS_DVDS",DataStart,DataEnd,"Per=M","Days=A","Fill=P","Currency="&amp;FxCurrency)</f>
        <v/>
      </c>
      <c r="BLS4" s="9">
        <f>BDH(BLS$1,"TOT_RETURN_INDEX_GROSS_DVDS",DataStart,DataEnd,"Per=M","Days=A","Fill=P","Currency="&amp;FxCurrency)</f>
        <v/>
      </c>
      <c r="BLU4" s="9">
        <f>BDH(BLU$1,"TOT_RETURN_INDEX_GROSS_DVDS",DataStart,DataEnd,"Per=M","Days=A","Fill=P","Currency="&amp;FxCurrency)</f>
        <v/>
      </c>
      <c r="BLW4" s="9">
        <f>BDH(BLW$1,"TOT_RETURN_INDEX_GROSS_DVDS",DataStart,DataEnd,"Per=M","Days=A","Fill=P","Currency="&amp;FxCurrency)</f>
        <v/>
      </c>
      <c r="BLY4" s="9">
        <f>BDH(BLY$1,"TOT_RETURN_INDEX_GROSS_DVDS",DataStart,DataEnd,"Per=M","Days=A","Fill=P","Currency="&amp;FxCurrency)</f>
        <v/>
      </c>
      <c r="BMA4" s="9">
        <f>BDH(BMA$1,"TOT_RETURN_INDEX_GROSS_DVDS",DataStart,DataEnd,"Per=M","Days=A","Fill=P","Currency="&amp;FxCurrency)</f>
        <v/>
      </c>
      <c r="BMC4" s="9">
        <f>BDH(BMC$1,"TOT_RETURN_INDEX_GROSS_DVDS",DataStart,DataEnd,"Per=M","Days=A","Fill=P","Currency="&amp;FxCurrency)</f>
        <v/>
      </c>
      <c r="BME4" s="9">
        <f>BDH(BME$1,"TOT_RETURN_INDEX_GROSS_DVDS",DataStart,DataEnd,"Per=M","Days=A","Fill=P","Currency="&amp;FxCurrency)</f>
        <v/>
      </c>
      <c r="BMG4" s="9">
        <f>BDH(BMG$1,"TOT_RETURN_INDEX_GROSS_DVDS",DataStart,DataEnd,"Per=M","Days=A","Fill=P","Currency="&amp;FxCurrency)</f>
        <v/>
      </c>
      <c r="BMI4" s="9">
        <f>BDH(BMI$1,"TOT_RETURN_INDEX_GROSS_DVDS",DataStart,DataEnd,"Per=M","Days=A","Fill=P","Currency="&amp;FxCurrency)</f>
        <v/>
      </c>
      <c r="BMK4" s="9">
        <f>BDH(BMK$1,"TOT_RETURN_INDEX_GROSS_DVDS",DataStart,DataEnd,"Per=M","Days=A","Fill=P","Currency="&amp;FxCurrency)</f>
        <v/>
      </c>
      <c r="BMM4" s="9">
        <f>BDH(BMM$1,"TOT_RETURN_INDEX_GROSS_DVDS",DataStart,DataEnd,"Per=M","Days=A","Fill=P","Currency="&amp;FxCurrency)</f>
        <v/>
      </c>
      <c r="BMO4" s="9">
        <f>BDH(BMO$1,"TOT_RETURN_INDEX_GROSS_DVDS",DataStart,DataEnd,"Per=M","Days=A","Fill=P","Currency="&amp;FxCurrency)</f>
        <v/>
      </c>
      <c r="BMQ4" s="9">
        <f>BDH(BMQ$1,"TOT_RETURN_INDEX_GROSS_DVDS",DataStart,DataEnd,"Per=M","Days=A","Fill=P","Currency="&amp;FxCurrency)</f>
        <v/>
      </c>
      <c r="BMS4" s="9">
        <f>BDH(BMS$1,"TOT_RETURN_INDEX_GROSS_DVDS",DataStart,DataEnd,"Per=M","Days=A","Fill=P","Currency="&amp;FxCurrency)</f>
        <v/>
      </c>
      <c r="BMU4" s="9">
        <f>BDH(BMU$1,"TOT_RETURN_INDEX_GROSS_DVDS",DataStart,DataEnd,"Per=M","Days=A","Fill=P","Currency="&amp;FxCurrency)</f>
        <v/>
      </c>
      <c r="BMW4" s="9">
        <f>BDH(BMW$1,"TOT_RETURN_INDEX_GROSS_DVDS",DataStart,DataEnd,"Per=M","Days=A","Fill=P","Currency="&amp;FxCurrency)</f>
        <v/>
      </c>
      <c r="BMY4" s="9">
        <f>BDH(BMY$1,"TOT_RETURN_INDEX_GROSS_DVDS",DataStart,DataEnd,"Per=M","Days=A","Fill=P","Currency="&amp;FxCurrency)</f>
        <v/>
      </c>
      <c r="BNA4" s="9">
        <f>BDH(BNA$1,"TOT_RETURN_INDEX_GROSS_DVDS",DataStart,DataEnd,"Per=M","Days=A","Fill=P","Currency="&amp;FxCurrency)</f>
        <v/>
      </c>
      <c r="BNC4" s="9">
        <f>BDH(BNC$1,"TOT_RETURN_INDEX_GROSS_DVDS",DataStart,DataEnd,"Per=M","Days=A","Fill=P","Currency="&amp;FxCurrency)</f>
        <v/>
      </c>
      <c r="BNE4" s="9">
        <f>BDH(BNE$1,"TOT_RETURN_INDEX_GROSS_DVDS",DataStart,DataEnd,"Per=M","Days=A","Fill=P","Currency="&amp;FxCurrency)</f>
        <v/>
      </c>
      <c r="BNG4" s="9">
        <f>BDH(BNG$1,"TOT_RETURN_INDEX_GROSS_DVDS",DataStart,DataEnd,"Per=M","Days=A","Fill=P","Currency="&amp;FxCurrency)</f>
        <v/>
      </c>
      <c r="BNI4" s="9">
        <f>BDH(BNI$1,"TOT_RETURN_INDEX_GROSS_DVDS",DataStart,DataEnd,"Per=M","Days=A","Fill=P","Currency="&amp;FxCurrency)</f>
        <v/>
      </c>
      <c r="BNK4" s="9">
        <f>BDH(BNK$1,"TOT_RETURN_INDEX_GROSS_DVDS",DataStart,DataEnd,"Per=M","Days=A","Fill=P","Currency="&amp;FxCurrency)</f>
        <v/>
      </c>
      <c r="BNM4" s="9">
        <f>BDH(BNM$1,"TOT_RETURN_INDEX_GROSS_DVDS",DataStart,DataEnd,"Per=M","Days=A","Fill=P","Currency="&amp;FxCurrency)</f>
        <v/>
      </c>
      <c r="BNO4" s="9">
        <f>BDH(BNO$1,"TOT_RETURN_INDEX_GROSS_DVDS",DataStart,DataEnd,"Per=M","Days=A","Fill=P","Currency="&amp;FxCurrency)</f>
        <v/>
      </c>
      <c r="BNQ4" s="9">
        <f>BDH(BNQ$1,"TOT_RETURN_INDEX_GROSS_DVDS",DataStart,DataEnd,"Per=M","Days=A","Fill=P","Currency="&amp;FxCurrency)</f>
        <v/>
      </c>
      <c r="BNS4" s="9">
        <f>BDH(BNS$1,"TOT_RETURN_INDEX_GROSS_DVDS",DataStart,DataEnd,"Per=M","Days=A","Fill=P","Currency="&amp;FxCurrency)</f>
        <v/>
      </c>
      <c r="BNU4" s="9">
        <f>BDH(BNU$1,"TOT_RETURN_INDEX_GROSS_DVDS",DataStart,DataEnd,"Per=M","Days=A","Fill=P","Currency="&amp;FxCurrency)</f>
        <v/>
      </c>
      <c r="BNW4" s="9">
        <f>BDH(BNW$1,"TOT_RETURN_INDEX_GROSS_DVDS",DataStart,DataEnd,"Per=M","Days=A","Fill=P","Currency="&amp;FxCurrency)</f>
        <v/>
      </c>
      <c r="BNY4" s="9">
        <f>BDH(BNY$1,"TOT_RETURN_INDEX_GROSS_DVDS",DataStart,DataEnd,"Per=M","Days=A","Fill=P","Currency="&amp;FxCurrency)</f>
        <v/>
      </c>
      <c r="BOA4" s="9">
        <f>BDH(BOA$1,"TOT_RETURN_INDEX_GROSS_DVDS",DataStart,DataEnd,"Per=M","Days=A","Fill=P","Currency="&amp;FxCurrency)</f>
        <v/>
      </c>
      <c r="BOC4" s="9">
        <f>BDH(BOC$1,"TOT_RETURN_INDEX_GROSS_DVDS",DataStart,DataEnd,"Per=M","Days=A","Fill=P","Currency="&amp;FxCurrency)</f>
        <v/>
      </c>
      <c r="BOE4" s="9">
        <f>BDH(BOE$1,"TOT_RETURN_INDEX_GROSS_DVDS",DataStart,DataEnd,"Per=M","Days=A","Fill=P","Currency="&amp;FxCurrency)</f>
        <v/>
      </c>
      <c r="BOG4" s="9">
        <f>BDH(BOG$1,"TOT_RETURN_INDEX_GROSS_DVDS",DataStart,DataEnd,"Per=M","Days=A","Fill=P","Currency="&amp;FxCurrency)</f>
        <v/>
      </c>
      <c r="BOI4" s="9">
        <f>BDH(BOI$1,"TOT_RETURN_INDEX_GROSS_DVDS",DataStart,DataEnd,"Per=M","Days=A","Fill=P","Currency="&amp;FxCurrency)</f>
        <v/>
      </c>
      <c r="BOK4" s="9">
        <f>BDH(BOK$1,"TOT_RETURN_INDEX_GROSS_DVDS",DataStart,DataEnd,"Per=M","Days=A","Fill=P","Currency="&amp;FxCurrency)</f>
        <v/>
      </c>
      <c r="BOM4" s="9">
        <f>BDH(BOM$1,"TOT_RETURN_INDEX_GROSS_DVDS",DataStart,DataEnd,"Per=M","Days=A","Fill=P","Currency="&amp;FxCurrency)</f>
        <v/>
      </c>
      <c r="BOO4" s="9">
        <f>BDH(BOO$1,"TOT_RETURN_INDEX_GROSS_DVDS",DataStart,DataEnd,"Per=M","Days=A","Fill=P","Currency="&amp;FxCurrency)</f>
        <v/>
      </c>
      <c r="BOQ4" s="9">
        <f>BDH(BOQ$1,"TOT_RETURN_INDEX_GROSS_DVDS",DataStart,DataEnd,"Per=M","Days=A","Fill=P","Currency="&amp;FxCurrency)</f>
        <v/>
      </c>
      <c r="BOS4" s="9">
        <f>BDH(BOS$1,"TOT_RETURN_INDEX_GROSS_DVDS",DataStart,DataEnd,"Per=M","Days=A","Fill=P","Currency="&amp;FxCurrency)</f>
        <v/>
      </c>
      <c r="BOU4" s="9">
        <f>BDH(BOU$1,"TOT_RETURN_INDEX_GROSS_DVDS",DataStart,DataEnd,"Per=M","Days=A","Fill=P","Currency="&amp;FxCurrency)</f>
        <v/>
      </c>
      <c r="BOW4" s="9">
        <f>BDH(BOW$1,"TOT_RETURN_INDEX_GROSS_DVDS",DataStart,DataEnd,"Per=M","Days=A","Fill=P","Currency="&amp;FxCurrency)</f>
        <v/>
      </c>
      <c r="BOY4" s="9">
        <f>BDH(BOY$1,"TOT_RETURN_INDEX_GROSS_DVDS",DataStart,DataEnd,"Per=M","Days=A","Fill=P","Currency="&amp;FxCurrency)</f>
        <v/>
      </c>
      <c r="BPA4" s="9">
        <f>BDH(BPA$1,"TOT_RETURN_INDEX_GROSS_DVDS",DataStart,DataEnd,"Per=M","Days=A","Fill=P","Currency="&amp;FxCurrency)</f>
        <v/>
      </c>
      <c r="BPC4" s="9">
        <f>BDH(BPC$1,"TOT_RETURN_INDEX_GROSS_DVDS",DataStart,DataEnd,"Per=M","Days=A","Fill=P","Currency="&amp;FxCurrency)</f>
        <v/>
      </c>
      <c r="BPE4" s="9">
        <f>BDH(BPE$1,"TOT_RETURN_INDEX_GROSS_DVDS",DataStart,DataEnd,"Per=M","Days=A","Fill=P","Currency="&amp;FxCurrency)</f>
        <v/>
      </c>
      <c r="BPG4" s="9">
        <f>BDH(BPG$1,"TOT_RETURN_INDEX_GROSS_DVDS",DataStart,DataEnd,"Per=M","Days=A","Fill=P","Currency="&amp;FxCurrency)</f>
        <v/>
      </c>
      <c r="BPI4" s="9">
        <f>BDH(BPI$1,"TOT_RETURN_INDEX_GROSS_DVDS",DataStart,DataEnd,"Per=M","Days=A","Fill=P","Currency="&amp;FxCurrency)</f>
        <v/>
      </c>
      <c r="BPK4" s="9">
        <f>BDH(BPK$1,"TOT_RETURN_INDEX_GROSS_DVDS",DataStart,DataEnd,"Per=M","Days=A","Fill=P","Currency="&amp;FxCurrency)</f>
        <v/>
      </c>
      <c r="BPM4" s="9">
        <f>BDH(BPM$1,"TOT_RETURN_INDEX_GROSS_DVDS",DataStart,DataEnd,"Per=M","Days=A","Fill=P","Currency="&amp;FxCurrency)</f>
        <v/>
      </c>
      <c r="BPO4" s="9">
        <f>BDH(BPO$1,"TOT_RETURN_INDEX_GROSS_DVDS",DataStart,DataEnd,"Per=M","Days=A","Fill=P","Currency="&amp;FxCurrency)</f>
        <v/>
      </c>
      <c r="BPQ4" s="9">
        <f>BDH(BPQ$1,"TOT_RETURN_INDEX_GROSS_DVDS",DataStart,DataEnd,"Per=M","Days=A","Fill=P","Currency="&amp;FxCurrency)</f>
        <v/>
      </c>
      <c r="BPS4" s="9">
        <f>BDH(BPS$1,"TOT_RETURN_INDEX_GROSS_DVDS",DataStart,DataEnd,"Per=M","Days=A","Fill=P","Currency="&amp;FxCurrency)</f>
        <v/>
      </c>
      <c r="BPU4" s="9">
        <f>BDH(BPU$1,"TOT_RETURN_INDEX_GROSS_DVDS",DataStart,DataEnd,"Per=M","Days=A","Fill=P","Currency="&amp;FxCurrency)</f>
        <v/>
      </c>
      <c r="BPW4" s="9">
        <f>BDH(BPW$1,"TOT_RETURN_INDEX_GROSS_DVDS",DataStart,DataEnd,"Per=M","Days=A","Fill=P","Currency="&amp;FxCurrency)</f>
        <v/>
      </c>
      <c r="BPY4" s="9">
        <f>BDH(BPY$1,"TOT_RETURN_INDEX_GROSS_DVDS",DataStart,DataEnd,"Per=M","Days=A","Fill=P","Currency="&amp;FxCurrency)</f>
        <v/>
      </c>
      <c r="BQA4" s="9">
        <f>BDH(BQA$1,"TOT_RETURN_INDEX_GROSS_DVDS",DataStart,DataEnd,"Per=M","Days=A","Fill=P","Currency="&amp;FxCurrency)</f>
        <v/>
      </c>
      <c r="BQC4" s="9">
        <f>BDH(BQC$1,"TOT_RETURN_INDEX_GROSS_DVDS",DataStart,DataEnd,"Per=M","Days=A","Fill=P","Currency="&amp;FxCurrency)</f>
        <v/>
      </c>
      <c r="BQE4" s="9">
        <f>BDH(BQE$1,"TOT_RETURN_INDEX_GROSS_DVDS",DataStart,DataEnd,"Per=M","Days=A","Fill=P","Currency="&amp;FxCurrency)</f>
        <v/>
      </c>
      <c r="BQG4" s="9">
        <f>BDH(BQG$1,"TOT_RETURN_INDEX_GROSS_DVDS",DataStart,DataEnd,"Per=M","Days=A","Fill=P","Currency="&amp;FxCurrency)</f>
        <v/>
      </c>
      <c r="BQI4" s="9">
        <f>BDH(BQI$1,"TOT_RETURN_INDEX_GROSS_DVDS",DataStart,DataEnd,"Per=M","Days=A","Fill=P","Currency="&amp;FxCurrency)</f>
        <v/>
      </c>
      <c r="BQK4" s="9">
        <f>BDH(BQK$1,"TOT_RETURN_INDEX_GROSS_DVDS",DataStart,DataEnd,"Per=M","Days=A","Fill=P","Currency="&amp;FxCurrency)</f>
        <v/>
      </c>
      <c r="BQM4" s="9">
        <f>BDH(BQM$1,"TOT_RETURN_INDEX_GROSS_DVDS",DataStart,DataEnd,"Per=M","Days=A","Fill=P","Currency="&amp;FxCurrency)</f>
        <v/>
      </c>
      <c r="BQO4" s="9">
        <f>BDH(BQO$1,"TOT_RETURN_INDEX_GROSS_DVDS",DataStart,DataEnd,"Per=M","Days=A","Fill=P","Currency="&amp;FxCurrency)</f>
        <v/>
      </c>
      <c r="BQQ4" s="9">
        <f>BDH(BQQ$1,"TOT_RETURN_INDEX_GROSS_DVDS",DataStart,DataEnd,"Per=M","Days=A","Fill=P","Currency="&amp;FxCurrency)</f>
        <v/>
      </c>
      <c r="BQS4" s="9">
        <f>BDH(BQS$1,"TOT_RETURN_INDEX_GROSS_DVDS",DataStart,DataEnd,"Per=M","Days=A","Fill=P","Currency="&amp;FxCurrency)</f>
        <v/>
      </c>
      <c r="BQU4" s="9">
        <f>BDH(BQU$1,"TOT_RETURN_INDEX_GROSS_DVDS",DataStart,DataEnd,"Per=M","Days=A","Fill=P","Currency="&amp;FxCurrency)</f>
        <v/>
      </c>
      <c r="BQW4" s="9">
        <f>BDH(BQW$1,"TOT_RETURN_INDEX_GROSS_DVDS",DataStart,DataEnd,"Per=M","Days=A","Fill=P","Currency="&amp;FxCurrency)</f>
        <v/>
      </c>
      <c r="BQY4" s="9">
        <f>BDH(BQY$1,"TOT_RETURN_INDEX_GROSS_DVDS",DataStart,DataEnd,"Per=M","Days=A","Fill=P","Currency="&amp;FxCurrency)</f>
        <v/>
      </c>
      <c r="BRA4" s="9">
        <f>BDH(BRA$1,"TOT_RETURN_INDEX_GROSS_DVDS",DataStart,DataEnd,"Per=M","Days=A","Fill=P","Currency="&amp;FxCurrency)</f>
        <v/>
      </c>
      <c r="BRC4" s="9">
        <f>BDH(BRC$1,"TOT_RETURN_INDEX_GROSS_DVDS",DataStart,DataEnd,"Per=M","Days=A","Fill=P","Currency="&amp;FxCurrency)</f>
        <v/>
      </c>
      <c r="BRE4" s="9">
        <f>BDH(BRE$1,"TOT_RETURN_INDEX_GROSS_DVDS",DataStart,DataEnd,"Per=M","Days=A","Fill=P","Currency="&amp;FxCurrency)</f>
        <v/>
      </c>
      <c r="BRG4" s="9">
        <f>BDH(BRG$1,"TOT_RETURN_INDEX_GROSS_DVDS",DataStart,DataEnd,"Per=M","Days=A","Fill=P","Currency="&amp;FxCurrency)</f>
        <v/>
      </c>
      <c r="BRI4" s="9">
        <f>BDH(BRI$1,"TOT_RETURN_INDEX_GROSS_DVDS",DataStart,DataEnd,"Per=M","Days=A","Fill=P","Currency="&amp;FxCurrency)</f>
        <v/>
      </c>
      <c r="BRK4" s="9">
        <f>BDH(BRK$1,"TOT_RETURN_INDEX_GROSS_DVDS",DataStart,DataEnd,"Per=M","Days=A","Fill=P","Currency="&amp;FxCurrency)</f>
        <v/>
      </c>
      <c r="BRM4" s="9">
        <f>BDH(BRM$1,"TOT_RETURN_INDEX_GROSS_DVDS",DataStart,DataEnd,"Per=M","Days=A","Fill=P","Currency="&amp;FxCurrency)</f>
        <v/>
      </c>
      <c r="BRO4" s="9">
        <f>BDH(BRO$1,"TOT_RETURN_INDEX_GROSS_DVDS",DataStart,DataEnd,"Per=M","Days=A","Fill=P","Currency="&amp;FxCurrency)</f>
        <v/>
      </c>
      <c r="BRQ4" s="9">
        <f>BDH(BRQ$1,"TOT_RETURN_INDEX_GROSS_DVDS",DataStart,DataEnd,"Per=M","Days=A","Fill=P","Currency="&amp;FxCurrency)</f>
        <v/>
      </c>
      <c r="BRS4" s="9">
        <f>BDH(BRS$1,"TOT_RETURN_INDEX_GROSS_DVDS",DataStart,DataEnd,"Per=M","Days=A","Fill=P","Currency="&amp;FxCurrency)</f>
        <v/>
      </c>
      <c r="BRU4" s="9">
        <f>BDH(BRU$1,"TOT_RETURN_INDEX_GROSS_DVDS",DataStart,DataEnd,"Per=M","Days=A","Fill=P","Currency="&amp;FxCurrency)</f>
        <v/>
      </c>
      <c r="BRW4" s="9">
        <f>BDH(BRW$1,"TOT_RETURN_INDEX_GROSS_DVDS",DataStart,DataEnd,"Per=M","Days=A","Fill=P","Currency="&amp;FxCurrency)</f>
        <v/>
      </c>
      <c r="BRY4" s="9">
        <f>BDH(BRY$1,"TOT_RETURN_INDEX_GROSS_DVDS",DataStart,DataEnd,"Per=M","Days=A","Fill=P","Currency="&amp;FxCurrency)</f>
        <v/>
      </c>
      <c r="BSA4" s="9">
        <f>BDH(BSA$1,"TOT_RETURN_INDEX_GROSS_DVDS",DataStart,DataEnd,"Per=M","Days=A","Fill=P","Currency="&amp;FxCurrency)</f>
        <v/>
      </c>
      <c r="BSC4" s="9">
        <f>BDH(BSC$1,"TOT_RETURN_INDEX_GROSS_DVDS",DataStart,DataEnd,"Per=M","Days=A","Fill=P","Currency="&amp;FxCurrency)</f>
        <v/>
      </c>
      <c r="BSE4" s="9">
        <f>BDH(BSE$1,"TOT_RETURN_INDEX_GROSS_DVDS",DataStart,DataEnd,"Per=M","Days=A","Fill=P","Currency="&amp;FxCurrency)</f>
        <v/>
      </c>
      <c r="BSG4" s="9">
        <f>BDH(BSG$1,"TOT_RETURN_INDEX_GROSS_DVDS",DataStart,DataEnd,"Per=M","Days=A","Fill=P","Currency="&amp;FxCurrency)</f>
        <v/>
      </c>
      <c r="BSI4" s="9">
        <f>BDH(BSI$1,"TOT_RETURN_INDEX_GROSS_DVDS",DataStart,DataEnd,"Per=M","Days=A","Fill=P","Currency="&amp;FxCurrency)</f>
        <v/>
      </c>
      <c r="BSK4" s="9">
        <f>BDH(BSK$1,"TOT_RETURN_INDEX_GROSS_DVDS",DataStart,DataEnd,"Per=M","Days=A","Fill=P","Currency="&amp;FxCurrency)</f>
        <v/>
      </c>
      <c r="BSM4" s="9">
        <f>BDH(BSM$1,"TOT_RETURN_INDEX_GROSS_DVDS",DataStart,DataEnd,"Per=M","Days=A","Fill=P","Currency="&amp;FxCurrency)</f>
        <v/>
      </c>
      <c r="BSO4" s="9">
        <f>BDH(BSO$1,"TOT_RETURN_INDEX_GROSS_DVDS",DataStart,DataEnd,"Per=M","Days=A","Fill=P","Currency="&amp;FxCurrency)</f>
        <v/>
      </c>
      <c r="BSQ4" s="9">
        <f>BDH(BSQ$1,"TOT_RETURN_INDEX_GROSS_DVDS",DataStart,DataEnd,"Per=M","Days=A","Fill=P","Currency="&amp;FxCurrency)</f>
        <v/>
      </c>
      <c r="BSS4" s="9">
        <f>BDH(BSS$1,"TOT_RETURN_INDEX_GROSS_DVDS",DataStart,DataEnd,"Per=M","Days=A","Fill=P","Currency="&amp;FxCurrency)</f>
        <v/>
      </c>
      <c r="BSU4" s="9">
        <f>BDH(BSU$1,"TOT_RETURN_INDEX_GROSS_DVDS",DataStart,DataEnd,"Per=M","Days=A","Fill=P","Currency="&amp;FxCurrency)</f>
        <v/>
      </c>
      <c r="BSW4" s="9">
        <f>BDH(BSW$1,"TOT_RETURN_INDEX_GROSS_DVDS",DataStart,DataEnd,"Per=M","Days=A","Fill=P","Currency="&amp;FxCurrency)</f>
        <v/>
      </c>
      <c r="BSY4" s="9">
        <f>BDH(BSY$1,"TOT_RETURN_INDEX_GROSS_DVDS",DataStart,DataEnd,"Per=M","Days=A","Fill=P","Currency="&amp;FxCurrency)</f>
        <v/>
      </c>
      <c r="BTA4" s="9">
        <f>BDH(BTA$1,"TOT_RETURN_INDEX_GROSS_DVDS",DataStart,DataEnd,"Per=M","Days=A","Fill=P","Currency="&amp;FxCurrency)</f>
        <v/>
      </c>
      <c r="BTC4" s="9">
        <f>BDH(BTC$1,"TOT_RETURN_INDEX_GROSS_DVDS",DataStart,DataEnd,"Per=M","Days=A","Fill=P","Currency="&amp;FxCurrency)</f>
        <v/>
      </c>
      <c r="BTE4" s="9">
        <f>BDH(BTE$1,"TOT_RETURN_INDEX_GROSS_DVDS",DataStart,DataEnd,"Per=M","Days=A","Fill=P","Currency="&amp;FxCurrency)</f>
        <v/>
      </c>
      <c r="BTG4" s="9">
        <f>BDH(BTG$1,"TOT_RETURN_INDEX_GROSS_DVDS",DataStart,DataEnd,"Per=M","Days=A","Fill=P","Currency="&amp;FxCurrency)</f>
        <v/>
      </c>
      <c r="BTI4" s="9">
        <f>BDH(BTI$1,"TOT_RETURN_INDEX_GROSS_DVDS",DataStart,DataEnd,"Per=M","Days=A","Fill=P","Currency="&amp;FxCurrency)</f>
        <v/>
      </c>
      <c r="BTK4" s="9">
        <f>BDH(BTK$1,"TOT_RETURN_INDEX_GROSS_DVDS",DataStart,DataEnd,"Per=M","Days=A","Fill=P","Currency="&amp;FxCurrency)</f>
        <v/>
      </c>
      <c r="BTM4" s="9">
        <f>BDH(BTM$1,"TOT_RETURN_INDEX_GROSS_DVDS",DataStart,DataEnd,"Per=M","Days=A","Fill=P","Currency="&amp;FxCurrency)</f>
        <v/>
      </c>
      <c r="BTO4" s="9">
        <f>BDH(BTO$1,"TOT_RETURN_INDEX_GROSS_DVDS",DataStart,DataEnd,"Per=M","Days=A","Fill=P","Currency="&amp;FxCurrency)</f>
        <v/>
      </c>
      <c r="BTQ4" s="9">
        <f>BDH(BTQ$1,"TOT_RETURN_INDEX_GROSS_DVDS",DataStart,DataEnd,"Per=M","Days=A","Fill=P","Currency="&amp;FxCurrency)</f>
        <v/>
      </c>
      <c r="BTS4" s="9">
        <f>BDH(BTS$1,"TOT_RETURN_INDEX_GROSS_DVDS",DataStart,DataEnd,"Per=M","Days=A","Fill=P","Currency="&amp;FxCurrency)</f>
        <v/>
      </c>
      <c r="BTU4" s="9">
        <f>BDH(BTU$1,"TOT_RETURN_INDEX_GROSS_DVDS",DataStart,DataEnd,"Per=M","Days=A","Fill=P","Currency="&amp;FxCurrency)</f>
        <v/>
      </c>
      <c r="BTW4" s="9">
        <f>BDH(BTW$1,"TOT_RETURN_INDEX_GROSS_DVDS",DataStart,DataEnd,"Per=M","Days=A","Fill=P","Currency="&amp;FxCurrency)</f>
        <v/>
      </c>
      <c r="BTY4" s="9">
        <f>BDH(BTY$1,"TOT_RETURN_INDEX_GROSS_DVDS",DataStart,DataEnd,"Per=M","Days=A","Fill=P","Currency="&amp;FxCurrency)</f>
        <v/>
      </c>
      <c r="BUA4" s="9">
        <f>BDH(BUA$1,"TOT_RETURN_INDEX_GROSS_DVDS",DataStart,DataEnd,"Per=M","Days=A","Fill=P","Currency="&amp;FxCurrency)</f>
        <v/>
      </c>
      <c r="BUC4" s="9">
        <f>BDH(BUC$1,"TOT_RETURN_INDEX_GROSS_DVDS",DataStart,DataEnd,"Per=M","Days=A","Fill=P","Currency="&amp;FxCurrency)</f>
        <v/>
      </c>
      <c r="BUE4" s="9">
        <f>BDH(BUE$1,"TOT_RETURN_INDEX_GROSS_DVDS",DataStart,DataEnd,"Per=M","Days=A","Fill=P","Currency="&amp;FxCurrency)</f>
        <v/>
      </c>
      <c r="BUG4" s="9">
        <f>BDH(BUG$1,"TOT_RETURN_INDEX_GROSS_DVDS",DataStart,DataEnd,"Per=M","Days=A","Fill=P","Currency="&amp;FxCurrency)</f>
        <v/>
      </c>
      <c r="BUI4" s="9">
        <f>BDH(BUI$1,"TOT_RETURN_INDEX_GROSS_DVDS",DataStart,DataEnd,"Per=M","Days=A","Fill=P","Currency="&amp;FxCurrency)</f>
        <v/>
      </c>
      <c r="BUK4" s="9">
        <f>BDH(BUK$1,"TOT_RETURN_INDEX_GROSS_DVDS",DataStart,DataEnd,"Per=M","Days=A","Fill=P","Currency="&amp;FxCurrency)</f>
        <v/>
      </c>
      <c r="BUM4" s="9">
        <f>BDH(BUM$1,"TOT_RETURN_INDEX_GROSS_DVDS",DataStart,DataEnd,"Per=M","Days=A","Fill=P","Currency="&amp;FxCurrency)</f>
        <v/>
      </c>
      <c r="BUO4" s="9">
        <f>BDH(BUO$1,"TOT_RETURN_INDEX_GROSS_DVDS",DataStart,DataEnd,"Per=M","Days=A","Fill=P","Currency="&amp;FxCurrency)</f>
        <v/>
      </c>
      <c r="BUQ4" s="9">
        <f>BDH(BUQ$1,"TOT_RETURN_INDEX_GROSS_DVDS",DataStart,DataEnd,"Per=M","Days=A","Fill=P","Currency="&amp;FxCurrency)</f>
        <v/>
      </c>
      <c r="BUS4" s="9">
        <f>BDH(BUS$1,"TOT_RETURN_INDEX_GROSS_DVDS",DataStart,DataEnd,"Per=M","Days=A","Fill=P","Currency="&amp;FxCurrency)</f>
        <v/>
      </c>
      <c r="BUU4" s="9">
        <f>BDH(BUU$1,"TOT_RETURN_INDEX_GROSS_DVDS",DataStart,DataEnd,"Per=M","Days=A","Fill=P","Currency="&amp;FxCurrency)</f>
        <v/>
      </c>
      <c r="BUW4" s="9">
        <f>BDH(BUW$1,"TOT_RETURN_INDEX_GROSS_DVDS",DataStart,DataEnd,"Per=M","Days=A","Fill=P","Currency="&amp;FxCurrency)</f>
        <v/>
      </c>
      <c r="BUY4" s="9">
        <f>BDH(BUY$1,"TOT_RETURN_INDEX_GROSS_DVDS",DataStart,DataEnd,"Per=M","Days=A","Fill=P","Currency="&amp;FxCurrency)</f>
        <v/>
      </c>
      <c r="BVA4" s="9">
        <f>BDH(BVA$1,"TOT_RETURN_INDEX_GROSS_DVDS",DataStart,DataEnd,"Per=M","Days=A","Fill=P","Currency="&amp;FxCurrency)</f>
        <v/>
      </c>
      <c r="BVC4" s="9">
        <f>BDH(BVC$1,"TOT_RETURN_INDEX_GROSS_DVDS",DataStart,DataEnd,"Per=M","Days=A","Fill=P","Currency="&amp;FxCurrency)</f>
        <v/>
      </c>
      <c r="BVE4" s="9">
        <f>BDH(BVE$1,"TOT_RETURN_INDEX_GROSS_DVDS",DataStart,DataEnd,"Per=M","Days=A","Fill=P","Currency="&amp;FxCurrency)</f>
        <v/>
      </c>
      <c r="BVG4" s="9">
        <f>BDH(BVG$1,"TOT_RETURN_INDEX_GROSS_DVDS",DataStart,DataEnd,"Per=M","Days=A","Fill=P","Currency="&amp;FxCurrency)</f>
        <v/>
      </c>
      <c r="BVI4" s="9">
        <f>BDH(BVI$1,"TOT_RETURN_INDEX_GROSS_DVDS",DataStart,DataEnd,"Per=M","Days=A","Fill=P","Currency="&amp;FxCurrency)</f>
        <v/>
      </c>
      <c r="BVK4" s="9">
        <f>BDH(BVK$1,"TOT_RETURN_INDEX_GROSS_DVDS",DataStart,DataEnd,"Per=M","Days=A","Fill=P","Currency="&amp;FxCurrency)</f>
        <v/>
      </c>
      <c r="BVM4" s="9">
        <f>BDH(BVM$1,"TOT_RETURN_INDEX_GROSS_DVDS",DataStart,DataEnd,"Per=M","Days=A","Fill=P","Currency="&amp;FxCurrency)</f>
        <v/>
      </c>
      <c r="BVO4" s="9">
        <f>BDH(BVO$1,"TOT_RETURN_INDEX_GROSS_DVDS",DataStart,DataEnd,"Per=M","Days=A","Fill=P","Currency="&amp;FxCurrency)</f>
        <v/>
      </c>
      <c r="BVQ4" s="9">
        <f>BDH(BVQ$1,"TOT_RETURN_INDEX_GROSS_DVDS",DataStart,DataEnd,"Per=M","Days=A","Fill=P","Currency="&amp;FxCurrency)</f>
        <v/>
      </c>
      <c r="BVS4" s="9">
        <f>BDH(BVS$1,"TOT_RETURN_INDEX_GROSS_DVDS",DataStart,DataEnd,"Per=M","Days=A","Fill=P","Currency="&amp;FxCurrency)</f>
        <v/>
      </c>
      <c r="BVU4" s="9">
        <f>BDH(BVU$1,"TOT_RETURN_INDEX_GROSS_DVDS",DataStart,DataEnd,"Per=M","Days=A","Fill=P","Currency="&amp;FxCurrency)</f>
        <v/>
      </c>
      <c r="BVW4" s="9">
        <f>BDH(BVW$1,"TOT_RETURN_INDEX_GROSS_DVDS",DataStart,DataEnd,"Per=M","Days=A","Fill=P","Currency="&amp;FxCurrency)</f>
        <v/>
      </c>
      <c r="BVY4" s="9">
        <f>BDH(BVY$1,"TOT_RETURN_INDEX_GROSS_DVDS",DataStart,DataEnd,"Per=M","Days=A","Fill=P","Currency="&amp;FxCurrency)</f>
        <v/>
      </c>
      <c r="BWA4" s="9">
        <f>BDH(BWA$1,"TOT_RETURN_INDEX_GROSS_DVDS",DataStart,DataEnd,"Per=M","Days=A","Fill=P","Currency="&amp;FxCurrency)</f>
        <v/>
      </c>
      <c r="BWC4" s="9">
        <f>BDH(BWC$1,"TOT_RETURN_INDEX_GROSS_DVDS",DataStart,DataEnd,"Per=M","Days=A","Fill=P","Currency="&amp;FxCurrency)</f>
        <v/>
      </c>
      <c r="BWE4" s="9">
        <f>BDH(BWE$1,"TOT_RETURN_INDEX_GROSS_DVDS",DataStart,DataEnd,"Per=M","Days=A","Fill=P","Currency="&amp;FxCurrency)</f>
        <v/>
      </c>
      <c r="BWG4" s="9">
        <f>BDH(BWG$1,"TOT_RETURN_INDEX_GROSS_DVDS",DataStart,DataEnd,"Per=M","Days=A","Fill=P","Currency="&amp;FxCurrency)</f>
        <v/>
      </c>
      <c r="BWI4" s="9">
        <f>BDH(BWI$1,"TOT_RETURN_INDEX_GROSS_DVDS",DataStart,DataEnd,"Per=M","Days=A","Fill=P","Currency="&amp;FxCurrency)</f>
        <v/>
      </c>
      <c r="BWK4" s="9">
        <f>BDH(BWK$1,"TOT_RETURN_INDEX_GROSS_DVDS",DataStart,DataEnd,"Per=M","Days=A","Fill=P","Currency="&amp;FxCurrency)</f>
        <v/>
      </c>
      <c r="BWM4" s="9">
        <f>BDH(BWM$1,"TOT_RETURN_INDEX_GROSS_DVDS",DataStart,DataEnd,"Per=M","Days=A","Fill=P","Currency="&amp;FxCurrency)</f>
        <v/>
      </c>
      <c r="BWO4" s="9">
        <f>BDH(BWO$1,"TOT_RETURN_INDEX_GROSS_DVDS",DataStart,DataEnd,"Per=M","Days=A","Fill=P","Currency="&amp;FxCurrency)</f>
        <v/>
      </c>
      <c r="BWQ4" s="9">
        <f>BDH(BWQ$1,"TOT_RETURN_INDEX_GROSS_DVDS",DataStart,DataEnd,"Per=M","Days=A","Fill=P","Currency="&amp;FxCurrency)</f>
        <v/>
      </c>
      <c r="BWS4" s="9">
        <f>BDH(BWS$1,"TOT_RETURN_INDEX_GROSS_DVDS",DataStart,DataEnd,"Per=M","Days=A","Fill=P","Currency="&amp;FxCurrency)</f>
        <v/>
      </c>
      <c r="BWU4" s="9">
        <f>BDH(BWU$1,"TOT_RETURN_INDEX_GROSS_DVDS",DataStart,DataEnd,"Per=M","Days=A","Fill=P","Currency="&amp;FxCurrency)</f>
        <v/>
      </c>
      <c r="BWW4" s="9">
        <f>BDH(BWW$1,"TOT_RETURN_INDEX_GROSS_DVDS",DataStart,DataEnd,"Per=M","Days=A","Fill=P","Currency="&amp;FxCurrency)</f>
        <v/>
      </c>
      <c r="BWY4" s="9">
        <f>BDH(BWY$1,"TOT_RETURN_INDEX_GROSS_DVDS",DataStart,DataEnd,"Per=M","Days=A","Fill=P","Currency="&amp;FxCurrency)</f>
        <v/>
      </c>
      <c r="BXA4" s="9">
        <f>BDH(BXA$1,"TOT_RETURN_INDEX_GROSS_DVDS",DataStart,DataEnd,"Per=M","Days=A","Fill=P","Currency="&amp;FxCurrency)</f>
        <v/>
      </c>
      <c r="BXC4" s="9">
        <f>BDH(BXC$1,"TOT_RETURN_INDEX_GROSS_DVDS",DataStart,DataEnd,"Per=M","Days=A","Fill=P","Currency="&amp;FxCurrency)</f>
        <v/>
      </c>
      <c r="BXE4" s="9">
        <f>BDH(BXE$1,"TOT_RETURN_INDEX_GROSS_DVDS",DataStart,DataEnd,"Per=M","Days=A","Fill=P","Currency="&amp;FxCurrency)</f>
        <v/>
      </c>
      <c r="BXG4" s="9">
        <f>BDH(BXG$1,"TOT_RETURN_INDEX_GROSS_DVDS",DataStart,DataEnd,"Per=M","Days=A","Fill=P","Currency="&amp;FxCurrency)</f>
        <v/>
      </c>
      <c r="BXI4" s="9">
        <f>BDH(BXI$1,"TOT_RETURN_INDEX_GROSS_DVDS",DataStart,DataEnd,"Per=M","Days=A","Fill=P","Currency="&amp;FxCurrency)</f>
        <v/>
      </c>
      <c r="BXK4" s="9">
        <f>BDH(BXK$1,"TOT_RETURN_INDEX_GROSS_DVDS",DataStart,DataEnd,"Per=M","Days=A","Fill=P","Currency="&amp;FxCurrency)</f>
        <v/>
      </c>
      <c r="BXM4" s="9">
        <f>BDH(BXM$1,"TOT_RETURN_INDEX_GROSS_DVDS",DataStart,DataEnd,"Per=M","Days=A","Fill=P","Currency="&amp;FxCurrency)</f>
        <v/>
      </c>
      <c r="BXO4" s="9">
        <f>BDH(BXO$1,"TOT_RETURN_INDEX_GROSS_DVDS",DataStart,DataEnd,"Per=M","Days=A","Fill=P","Currency="&amp;FxCurrency)</f>
        <v/>
      </c>
      <c r="BXQ4" s="9">
        <f>BDH(BXQ$1,"TOT_RETURN_INDEX_GROSS_DVDS",DataStart,DataEnd,"Per=M","Days=A","Fill=P","Currency="&amp;FxCurrency)</f>
        <v/>
      </c>
      <c r="BXS4" s="9">
        <f>BDH(BXS$1,"TOT_RETURN_INDEX_GROSS_DVDS",DataStart,DataEnd,"Per=M","Days=A","Fill=P","Currency="&amp;FxCurrency)</f>
        <v/>
      </c>
      <c r="BXU4" s="9">
        <f>BDH(BXU$1,"TOT_RETURN_INDEX_GROSS_DVDS",DataStart,DataEnd,"Per=M","Days=A","Fill=P","Currency="&amp;FxCurrency)</f>
        <v/>
      </c>
      <c r="BXW4" s="9">
        <f>BDH(BXW$1,"TOT_RETURN_INDEX_GROSS_DVDS",DataStart,DataEnd,"Per=M","Days=A","Fill=P","Currency="&amp;FxCurrency)</f>
        <v/>
      </c>
      <c r="BXY4" s="9">
        <f>BDH(BXY$1,"TOT_RETURN_INDEX_GROSS_DVDS",DataStart,DataEnd,"Per=M","Days=A","Fill=P","Currency="&amp;FxCurrency)</f>
        <v/>
      </c>
      <c r="BYA4" s="9">
        <f>BDH(BYA$1,"TOT_RETURN_INDEX_GROSS_DVDS",DataStart,DataEnd,"Per=M","Days=A","Fill=P","Currency="&amp;FxCurrency)</f>
        <v/>
      </c>
      <c r="BYC4" s="9">
        <f>BDH(BYC$1,"TOT_RETURN_INDEX_GROSS_DVDS",DataStart,DataEnd,"Per=M","Days=A","Fill=P","Currency="&amp;FxCurrency)</f>
        <v/>
      </c>
      <c r="BYE4" s="9">
        <f>BDH(BYE$1,"TOT_RETURN_INDEX_GROSS_DVDS",DataStart,DataEnd,"Per=M","Days=A","Fill=P","Currency="&amp;FxCurrency)</f>
        <v/>
      </c>
      <c r="BYG4" s="9">
        <f>BDH(BYG$1,"TOT_RETURN_INDEX_GROSS_DVDS",DataStart,DataEnd,"Per=M","Days=A","Fill=P","Currency="&amp;FxCurrency)</f>
        <v/>
      </c>
      <c r="BYI4" s="9">
        <f>BDH(BYI$1,"TOT_RETURN_INDEX_GROSS_DVDS",DataStart,DataEnd,"Per=M","Days=A","Fill=P","Currency="&amp;FxCurrency)</f>
        <v/>
      </c>
      <c r="BYK4" s="9">
        <f>BDH(BYK$1,"TOT_RETURN_INDEX_GROSS_DVDS",DataStart,DataEnd,"Per=M","Days=A","Fill=P","Currency="&amp;FxCurrency)</f>
        <v/>
      </c>
      <c r="BYM4" s="9">
        <f>BDH(BYM$1,"TOT_RETURN_INDEX_GROSS_DVDS",DataStart,DataEnd,"Per=M","Days=A","Fill=P","Currency="&amp;FxCurrency)</f>
        <v/>
      </c>
      <c r="BYO4" s="9">
        <f>BDH(BYO$1,"TOT_RETURN_INDEX_GROSS_DVDS",DataStart,DataEnd,"Per=M","Days=A","Fill=P","Currency="&amp;FxCurrency)</f>
        <v/>
      </c>
      <c r="BYQ4" s="9">
        <f>BDH(BYQ$1,"TOT_RETURN_INDEX_GROSS_DVDS",DataStart,DataEnd,"Per=M","Days=A","Fill=P","Currency="&amp;FxCurrency)</f>
        <v/>
      </c>
      <c r="BYS4" s="9">
        <f>BDH(BYS$1,"TOT_RETURN_INDEX_GROSS_DVDS",DataStart,DataEnd,"Per=M","Days=A","Fill=P","Currency="&amp;FxCurrency)</f>
        <v/>
      </c>
      <c r="BYU4" s="9">
        <f>BDH(BYU$1,"TOT_RETURN_INDEX_GROSS_DVDS",DataStart,DataEnd,"Per=M","Days=A","Fill=P","Currency="&amp;FxCurrency)</f>
        <v/>
      </c>
      <c r="BYW4" s="9">
        <f>BDH(BYW$1,"TOT_RETURN_INDEX_GROSS_DVDS",DataStart,DataEnd,"Per=M","Days=A","Fill=P","Currency="&amp;FxCurrency)</f>
        <v/>
      </c>
      <c r="BYY4" s="9">
        <f>BDH(BYY$1,"TOT_RETURN_INDEX_GROSS_DVDS",DataStart,DataEnd,"Per=M","Days=A","Fill=P","Currency="&amp;FxCurrency)</f>
        <v/>
      </c>
      <c r="BZA4" s="9">
        <f>BDH(BZA$1,"TOT_RETURN_INDEX_GROSS_DVDS",DataStart,DataEnd,"Per=M","Days=A","Fill=P","Currency="&amp;FxCurrency)</f>
        <v/>
      </c>
      <c r="BZC4" s="9">
        <f>BDH(BZC$1,"TOT_RETURN_INDEX_GROSS_DVDS",DataStart,DataEnd,"Per=M","Days=A","Fill=P","Currency="&amp;FxCurrency)</f>
        <v/>
      </c>
      <c r="BZE4" s="9">
        <f>BDH(BZE$1,"TOT_RETURN_INDEX_GROSS_DVDS",DataStart,DataEnd,"Per=M","Days=A","Fill=P","Currency="&amp;FxCurrency)</f>
        <v/>
      </c>
      <c r="BZG4" s="9">
        <f>BDH(BZG$1,"TOT_RETURN_INDEX_GROSS_DVDS",DataStart,DataEnd,"Per=M","Days=A","Fill=P","Currency="&amp;FxCurrency)</f>
        <v/>
      </c>
      <c r="BZI4" s="9">
        <f>BDH(BZI$1,"TOT_RETURN_INDEX_GROSS_DVDS",DataStart,DataEnd,"Per=M","Days=A","Fill=P","Currency="&amp;FxCurrency)</f>
        <v/>
      </c>
      <c r="BZK4" s="9">
        <f>BDH(BZK$1,"TOT_RETURN_INDEX_GROSS_DVDS",DataStart,DataEnd,"Per=M","Days=A","Fill=P","Currency="&amp;FxCurrency)</f>
        <v/>
      </c>
      <c r="BZM4" s="9">
        <f>BDH(BZM$1,"TOT_RETURN_INDEX_GROSS_DVDS",DataStart,DataEnd,"Per=M","Days=A","Fill=P","Currency="&amp;FxCurrency)</f>
        <v/>
      </c>
      <c r="BZO4" s="9">
        <f>BDH(BZO$1,"TOT_RETURN_INDEX_GROSS_DVDS",DataStart,DataEnd,"Per=M","Days=A","Fill=P","Currency="&amp;FxCurrency)</f>
        <v/>
      </c>
      <c r="BZQ4" s="9">
        <f>BDH(BZQ$1,"TOT_RETURN_INDEX_GROSS_DVDS",DataStart,DataEnd,"Per=M","Days=A","Fill=P","Currency="&amp;FxCurrency)</f>
        <v/>
      </c>
      <c r="BZS4" s="9">
        <f>BDH(BZS$1,"TOT_RETURN_INDEX_GROSS_DVDS",DataStart,DataEnd,"Per=M","Days=A","Fill=P","Currency="&amp;FxCurrency)</f>
        <v/>
      </c>
      <c r="BZU4" s="9">
        <f>BDH(BZU$1,"TOT_RETURN_INDEX_GROSS_DVDS",DataStart,DataEnd,"Per=M","Days=A","Fill=P","Currency="&amp;FxCurrency)</f>
        <v/>
      </c>
      <c r="BZW4" s="9">
        <f>BDH(BZW$1,"TOT_RETURN_INDEX_GROSS_DVDS",DataStart,DataEnd,"Per=M","Days=A","Fill=P","Currency="&amp;FxCurrency)</f>
        <v/>
      </c>
      <c r="BZY4" s="9">
        <f>BDH(BZY$1,"TOT_RETURN_INDEX_GROSS_DVDS",DataStart,DataEnd,"Per=M","Days=A","Fill=P","Currency="&amp;FxCurrency)</f>
        <v/>
      </c>
      <c r="CAA4" s="9">
        <f>BDH(CAA$1,"TOT_RETURN_INDEX_GROSS_DVDS",DataStart,DataEnd,"Per=M","Days=A","Fill=P","Currency="&amp;FxCurrency)</f>
        <v/>
      </c>
      <c r="CAC4" s="9">
        <f>BDH(CAC$1,"TOT_RETURN_INDEX_GROSS_DVDS",DataStart,DataEnd,"Per=M","Days=A","Fill=P","Currency="&amp;FxCurrency)</f>
        <v/>
      </c>
      <c r="CAE4" s="9">
        <f>BDH(CAE$1,"TOT_RETURN_INDEX_GROSS_DVDS",DataStart,DataEnd,"Per=M","Days=A","Fill=P","Currency="&amp;FxCurrency)</f>
        <v/>
      </c>
      <c r="CAG4" s="9">
        <f>BDH(CAG$1,"TOT_RETURN_INDEX_GROSS_DVDS",DataStart,DataEnd,"Per=M","Days=A","Fill=P","Currency="&amp;FxCurrency)</f>
        <v/>
      </c>
      <c r="CAI4" s="9">
        <f>BDH(CAI$1,"TOT_RETURN_INDEX_GROSS_DVDS",DataStart,DataEnd,"Per=M","Days=A","Fill=P","Currency="&amp;FxCurrency)</f>
        <v/>
      </c>
      <c r="CAK4" s="9">
        <f>BDH(CAK$1,"TOT_RETURN_INDEX_GROSS_DVDS",DataStart,DataEnd,"Per=M","Days=A","Fill=P","Currency="&amp;FxCurrency)</f>
        <v/>
      </c>
      <c r="CAM4" s="9">
        <f>BDH(CAM$1,"TOT_RETURN_INDEX_GROSS_DVDS",DataStart,DataEnd,"Per=M","Days=A","Fill=P","Currency="&amp;FxCurrency)</f>
        <v/>
      </c>
      <c r="CAO4" s="9">
        <f>BDH(CAO$1,"TOT_RETURN_INDEX_GROSS_DVDS",DataStart,DataEnd,"Per=M","Days=A","Fill=P","Currency="&amp;FxCurrency)</f>
        <v/>
      </c>
      <c r="CAQ4" s="9">
        <f>BDH(CAQ$1,"TOT_RETURN_INDEX_GROSS_DVDS",DataStart,DataEnd,"Per=M","Days=A","Fill=P","Currency="&amp;FxCurrency)</f>
        <v/>
      </c>
      <c r="CAS4" s="9">
        <f>BDH(CAS$1,"TOT_RETURN_INDEX_GROSS_DVDS",DataStart,DataEnd,"Per=M","Days=A","Fill=P","Currency="&amp;FxCurrency)</f>
        <v/>
      </c>
      <c r="CAU4" s="9">
        <f>BDH(CAU$1,"TOT_RETURN_INDEX_GROSS_DVDS",DataStart,DataEnd,"Per=M","Days=A","Fill=P","Currency="&amp;FxCurrency)</f>
        <v/>
      </c>
      <c r="CAW4" s="9">
        <f>BDH(CAW$1,"TOT_RETURN_INDEX_GROSS_DVDS",DataStart,DataEnd,"Per=M","Days=A","Fill=P","Currency="&amp;FxCurrency)</f>
        <v/>
      </c>
      <c r="CAY4" s="9">
        <f>BDH(CAY$1,"TOT_RETURN_INDEX_GROSS_DVDS",DataStart,DataEnd,"Per=M","Days=A","Fill=P","Currency="&amp;FxCurrency)</f>
        <v/>
      </c>
      <c r="CBA4" s="9">
        <f>BDH(CBA$1,"TOT_RETURN_INDEX_GROSS_DVDS",DataStart,DataEnd,"Per=M","Days=A","Fill=P","Currency="&amp;FxCurrency)</f>
        <v/>
      </c>
      <c r="CBC4" s="9">
        <f>BDH(CBC$1,"TOT_RETURN_INDEX_GROSS_DVDS",DataStart,DataEnd,"Per=M","Days=A","Fill=P","Currency="&amp;FxCurrency)</f>
        <v/>
      </c>
      <c r="CBE4" s="9">
        <f>BDH(CBE$1,"TOT_RETURN_INDEX_GROSS_DVDS",DataStart,DataEnd,"Per=M","Days=A","Fill=P","Currency="&amp;FxCurrency)</f>
        <v/>
      </c>
      <c r="CBG4" s="9">
        <f>BDH(CBG$1,"TOT_RETURN_INDEX_GROSS_DVDS",DataStart,DataEnd,"Per=M","Days=A","Fill=P","Currency="&amp;FxCurrency)</f>
        <v/>
      </c>
      <c r="CBI4" s="9">
        <f>BDH(CBI$1,"TOT_RETURN_INDEX_GROSS_DVDS",DataStart,DataEnd,"Per=M","Days=A","Fill=P","Currency="&amp;FxCurrency)</f>
        <v/>
      </c>
      <c r="CBK4" s="9">
        <f>BDH(CBK$1,"TOT_RETURN_INDEX_GROSS_DVDS",DataStart,DataEnd,"Per=M","Days=A","Fill=P","Currency="&amp;FxCurrency)</f>
        <v/>
      </c>
      <c r="CBM4" s="9">
        <f>BDH(CBM$1,"TOT_RETURN_INDEX_GROSS_DVDS",DataStart,DataEnd,"Per=M","Days=A","Fill=P","Currency="&amp;FxCurrency)</f>
        <v/>
      </c>
      <c r="CBO4" s="9">
        <f>BDH(CBO$1,"TOT_RETURN_INDEX_GROSS_DVDS",DataStart,DataEnd,"Per=M","Days=A","Fill=P","Currency="&amp;FxCurrency)</f>
        <v/>
      </c>
      <c r="CBQ4" s="9">
        <f>BDH(CBQ$1,"TOT_RETURN_INDEX_GROSS_DVDS",DataStart,DataEnd,"Per=M","Days=A","Fill=P","Currency="&amp;FxCurrency)</f>
        <v/>
      </c>
      <c r="CBS4" s="9">
        <f>BDH(CBS$1,"TOT_RETURN_INDEX_GROSS_DVDS",DataStart,DataEnd,"Per=M","Days=A","Fill=P","Currency="&amp;FxCurrency)</f>
        <v/>
      </c>
      <c r="CBU4" s="9">
        <f>BDH(CBU$1,"TOT_RETURN_INDEX_GROSS_DVDS",DataStart,DataEnd,"Per=M","Days=A","Fill=P","Currency="&amp;FxCurrency)</f>
        <v/>
      </c>
      <c r="CBW4" s="9">
        <f>BDH(CBW$1,"TOT_RETURN_INDEX_GROSS_DVDS",DataStart,DataEnd,"Per=M","Days=A","Fill=P","Currency="&amp;FxCurrency)</f>
        <v/>
      </c>
      <c r="CBY4" s="9">
        <f>BDH(CBY$1,"TOT_RETURN_INDEX_GROSS_DVDS",DataStart,DataEnd,"Per=M","Days=A","Fill=P","Currency="&amp;FxCurrency)</f>
        <v/>
      </c>
      <c r="CCA4" s="9">
        <f>BDH(CCA$1,"TOT_RETURN_INDEX_GROSS_DVDS",DataStart,DataEnd,"Per=M","Days=A","Fill=P","Currency="&amp;FxCurrency)</f>
        <v/>
      </c>
      <c r="CCC4" s="9">
        <f>BDH(CCC$1,"TOT_RETURN_INDEX_GROSS_DVDS",DataStart,DataEnd,"Per=M","Days=A","Fill=P","Currency="&amp;FxCurrency)</f>
        <v/>
      </c>
      <c r="CCE4" s="9">
        <f>BDH(CCE$1,"TOT_RETURN_INDEX_GROSS_DVDS",DataStart,DataEnd,"Per=M","Days=A","Fill=P","Currency="&amp;FxCurrency)</f>
        <v/>
      </c>
      <c r="CCG4" s="9">
        <f>BDH(CCG$1,"TOT_RETURN_INDEX_GROSS_DVDS",DataStart,DataEnd,"Per=M","Days=A","Fill=P","Currency="&amp;FxCurrency)</f>
        <v/>
      </c>
      <c r="CCI4" s="9">
        <f>BDH(CCI$1,"TOT_RETURN_INDEX_GROSS_DVDS",DataStart,DataEnd,"Per=M","Days=A","Fill=P","Currency="&amp;FxCurrency)</f>
        <v/>
      </c>
      <c r="CCK4" s="9">
        <f>BDH(CCK$1,"TOT_RETURN_INDEX_GROSS_DVDS",DataStart,DataEnd,"Per=M","Days=A","Fill=P","Currency="&amp;FxCurrency)</f>
        <v/>
      </c>
      <c r="CCM4" s="9">
        <f>BDH(CCM$1,"TOT_RETURN_INDEX_GROSS_DVDS",DataStart,DataEnd,"Per=M","Days=A","Fill=P","Currency="&amp;FxCurrency)</f>
        <v/>
      </c>
      <c r="CCO4" s="9">
        <f>BDH(CCO$1,"TOT_RETURN_INDEX_GROSS_DVDS",DataStart,DataEnd,"Per=M","Days=A","Fill=P","Currency="&amp;FxCurrency)</f>
        <v/>
      </c>
      <c r="CCQ4" s="9">
        <f>BDH(CCQ$1,"TOT_RETURN_INDEX_GROSS_DVDS",DataStart,DataEnd,"Per=M","Days=A","Fill=P","Currency="&amp;FxCurrency)</f>
        <v/>
      </c>
      <c r="CCS4" s="9">
        <f>BDH(CCS$1,"TOT_RETURN_INDEX_GROSS_DVDS",DataStart,DataEnd,"Per=M","Days=A","Fill=P","Currency="&amp;FxCurrency)</f>
        <v/>
      </c>
      <c r="CCU4" s="9">
        <f>BDH(CCU$1,"TOT_RETURN_INDEX_GROSS_DVDS",DataStart,DataEnd,"Per=M","Days=A","Fill=P","Currency="&amp;FxCurrency)</f>
        <v/>
      </c>
      <c r="CCW4" s="9">
        <f>BDH(CCW$1,"TOT_RETURN_INDEX_GROSS_DVDS",DataStart,DataEnd,"Per=M","Days=A","Fill=P","Currency="&amp;FxCurrency)</f>
        <v/>
      </c>
      <c r="CCY4" s="9">
        <f>BDH(CCY$1,"TOT_RETURN_INDEX_GROSS_DVDS",DataStart,DataEnd,"Per=M","Days=A","Fill=P","Currency="&amp;FxCurrency)</f>
        <v/>
      </c>
      <c r="CDA4" s="9">
        <f>BDH(CDA$1,"TOT_RETURN_INDEX_GROSS_DVDS",DataStart,DataEnd,"Per=M","Days=A","Fill=P","Currency="&amp;FxCurrency)</f>
        <v/>
      </c>
      <c r="CDC4" s="9">
        <f>BDH(CDC$1,"TOT_RETURN_INDEX_GROSS_DVDS",DataStart,DataEnd,"Per=M","Days=A","Fill=P","Currency="&amp;FxCurrency)</f>
        <v/>
      </c>
      <c r="CDE4" s="9">
        <f>BDH(CDE$1,"TOT_RETURN_INDEX_GROSS_DVDS",DataStart,DataEnd,"Per=M","Days=A","Fill=P","Currency="&amp;FxCurrency)</f>
        <v/>
      </c>
      <c r="CDG4" s="9">
        <f>BDH(CDG$1,"TOT_RETURN_INDEX_GROSS_DVDS",DataStart,DataEnd,"Per=M","Days=A","Fill=P","Currency="&amp;FxCurrency)</f>
        <v/>
      </c>
      <c r="CDI4" s="9">
        <f>BDH(CDI$1,"TOT_RETURN_INDEX_GROSS_DVDS",DataStart,DataEnd,"Per=M","Days=A","Fill=P","Currency="&amp;FxCurrency)</f>
        <v/>
      </c>
      <c r="CDK4" s="9">
        <f>BDH(CDK$1,"TOT_RETURN_INDEX_GROSS_DVDS",DataStart,DataEnd,"Per=M","Days=A","Fill=P","Currency="&amp;FxCurrency)</f>
        <v/>
      </c>
      <c r="CDM4" s="9">
        <f>BDH(CDM$1,"TOT_RETURN_INDEX_GROSS_DVDS",DataStart,DataEnd,"Per=M","Days=A","Fill=P","Currency="&amp;FxCurrency)</f>
        <v/>
      </c>
      <c r="CDO4" s="9">
        <f>BDH(CDO$1,"TOT_RETURN_INDEX_GROSS_DVDS",DataStart,DataEnd,"Per=M","Days=A","Fill=P","Currency="&amp;FxCurrency)</f>
        <v/>
      </c>
      <c r="CDQ4" s="9">
        <f>BDH(CDQ$1,"TOT_RETURN_INDEX_GROSS_DVDS",DataStart,DataEnd,"Per=M","Days=A","Fill=P","Currency="&amp;FxCurrency)</f>
        <v/>
      </c>
      <c r="CDS4" s="9">
        <f>BDH(CDS$1,"TOT_RETURN_INDEX_GROSS_DVDS",DataStart,DataEnd,"Per=M","Days=A","Fill=P","Currency="&amp;FxCurrency)</f>
        <v/>
      </c>
      <c r="CDU4" s="9">
        <f>BDH(CDU$1,"TOT_RETURN_INDEX_GROSS_DVDS",DataStart,DataEnd,"Per=M","Days=A","Fill=P","Currency="&amp;FxCurrency)</f>
        <v/>
      </c>
      <c r="CDW4" s="9">
        <f>BDH(CDW$1,"TOT_RETURN_INDEX_GROSS_DVDS",DataStart,DataEnd,"Per=M","Days=A","Fill=P","Currency="&amp;FxCurrency)</f>
        <v/>
      </c>
      <c r="CDY4" s="9">
        <f>BDH(CDY$1,"TOT_RETURN_INDEX_GROSS_DVDS",DataStart,DataEnd,"Per=M","Days=A","Fill=P","Currency="&amp;FxCurrency)</f>
        <v/>
      </c>
      <c r="CEA4" s="9">
        <f>BDH(CEA$1,"TOT_RETURN_INDEX_GROSS_DVDS",DataStart,DataEnd,"Per=M","Days=A","Fill=P","Currency="&amp;FxCurrency)</f>
        <v/>
      </c>
      <c r="CEC4" s="9">
        <f>BDH(CEC$1,"TOT_RETURN_INDEX_GROSS_DVDS",DataStart,DataEnd,"Per=M","Days=A","Fill=P","Currency="&amp;FxCurrency)</f>
        <v/>
      </c>
      <c r="CEE4" s="9">
        <f>BDH(CEE$1,"TOT_RETURN_INDEX_GROSS_DVDS",DataStart,DataEnd,"Per=M","Days=A","Fill=P","Currency="&amp;FxCurrency)</f>
        <v/>
      </c>
      <c r="CEG4" s="9">
        <f>BDH(CEG$1,"TOT_RETURN_INDEX_GROSS_DVDS",DataStart,DataEnd,"Per=M","Days=A","Fill=P","Currency="&amp;FxCurrency)</f>
        <v/>
      </c>
      <c r="CEI4" s="9">
        <f>BDH(CEI$1,"TOT_RETURN_INDEX_GROSS_DVDS",DataStart,DataEnd,"Per=M","Days=A","Fill=P","Currency="&amp;FxCurrency)</f>
        <v/>
      </c>
      <c r="CEK4" s="9">
        <f>BDH(CEK$1,"TOT_RETURN_INDEX_GROSS_DVDS",DataStart,DataEnd,"Per=M","Days=A","Fill=P","Currency="&amp;FxCurrency)</f>
        <v/>
      </c>
      <c r="CEM4" s="9">
        <f>BDH(CEM$1,"TOT_RETURN_INDEX_GROSS_DVDS",DataStart,DataEnd,"Per=M","Days=A","Fill=P","Currency="&amp;FxCurrency)</f>
        <v/>
      </c>
      <c r="CEO4" s="9">
        <f>BDH(CEO$1,"TOT_RETURN_INDEX_GROSS_DVDS",DataStart,DataEnd,"Per=M","Days=A","Fill=P","Currency="&amp;FxCurrency)</f>
        <v/>
      </c>
      <c r="CEQ4" s="9">
        <f>BDH(CEQ$1,"TOT_RETURN_INDEX_GROSS_DVDS",DataStart,DataEnd,"Per=M","Days=A","Fill=P","Currency="&amp;FxCurrency)</f>
        <v/>
      </c>
      <c r="CES4" s="9">
        <f>BDH(CES$1,"TOT_RETURN_INDEX_GROSS_DVDS",DataStart,DataEnd,"Per=M","Days=A","Fill=P","Currency="&amp;FxCurrency)</f>
        <v/>
      </c>
      <c r="CEU4" s="9">
        <f>BDH(CEU$1,"TOT_RETURN_INDEX_GROSS_DVDS",DataStart,DataEnd,"Per=M","Days=A","Fill=P","Currency="&amp;FxCurrency)</f>
        <v/>
      </c>
      <c r="CEW4" s="9">
        <f>BDH(CEW$1,"TOT_RETURN_INDEX_GROSS_DVDS",DataStart,DataEnd,"Per=M","Days=A","Fill=P","Currency="&amp;FxCurrency)</f>
        <v/>
      </c>
      <c r="CEY4" s="9">
        <f>BDH(CEY$1,"TOT_RETURN_INDEX_GROSS_DVDS",DataStart,DataEnd,"Per=M","Days=A","Fill=P","Currency="&amp;FxCurrency)</f>
        <v/>
      </c>
      <c r="CFA4" s="9">
        <f>BDH(CFA$1,"TOT_RETURN_INDEX_GROSS_DVDS",DataStart,DataEnd,"Per=M","Days=A","Fill=P","Currency="&amp;FxCurrency)</f>
        <v/>
      </c>
      <c r="CFC4" s="9">
        <f>BDH(CFC$1,"TOT_RETURN_INDEX_GROSS_DVDS",DataStart,DataEnd,"Per=M","Days=A","Fill=P","Currency="&amp;FxCurrency)</f>
        <v/>
      </c>
      <c r="CFE4" s="9">
        <f>BDH(CFE$1,"TOT_RETURN_INDEX_GROSS_DVDS",DataStart,DataEnd,"Per=M","Days=A","Fill=P","Currency="&amp;FxCurrency)</f>
        <v/>
      </c>
      <c r="CFG4" s="9">
        <f>BDH(CFG$1,"TOT_RETURN_INDEX_GROSS_DVDS",DataStart,DataEnd,"Per=M","Days=A","Fill=P","Currency="&amp;FxCurrency)</f>
        <v/>
      </c>
      <c r="CFI4" s="9">
        <f>BDH(CFI$1,"TOT_RETURN_INDEX_GROSS_DVDS",DataStart,DataEnd,"Per=M","Days=A","Fill=P","Currency="&amp;FxCurrency)</f>
        <v/>
      </c>
      <c r="CFK4" s="9">
        <f>BDH(CFK$1,"TOT_RETURN_INDEX_GROSS_DVDS",DataStart,DataEnd,"Per=M","Days=A","Fill=P","Currency="&amp;FxCurrency)</f>
        <v/>
      </c>
      <c r="CFM4" s="9">
        <f>BDH(CFM$1,"TOT_RETURN_INDEX_GROSS_DVDS",DataStart,DataEnd,"Per=M","Days=A","Fill=P","Currency="&amp;FxCurrency)</f>
        <v/>
      </c>
      <c r="CFO4" s="9">
        <f>BDH(CFO$1,"TOT_RETURN_INDEX_GROSS_DVDS",DataStart,DataEnd,"Per=M","Days=A","Fill=P","Currency="&amp;FxCurrency)</f>
        <v/>
      </c>
      <c r="CFQ4" s="9">
        <f>BDH(CFQ$1,"TOT_RETURN_INDEX_GROSS_DVDS",DataStart,DataEnd,"Per=M","Days=A","Fill=P","Currency="&amp;FxCurrency)</f>
        <v/>
      </c>
      <c r="CFS4" s="9">
        <f>BDH(CFS$1,"TOT_RETURN_INDEX_GROSS_DVDS",DataStart,DataEnd,"Per=M","Days=A","Fill=P","Currency="&amp;FxCurrency)</f>
        <v/>
      </c>
      <c r="CFU4" s="9">
        <f>BDH(CFU$1,"TOT_RETURN_INDEX_GROSS_DVDS",DataStart,DataEnd,"Per=M","Days=A","Fill=P","Currency="&amp;FxCurrency)</f>
        <v/>
      </c>
      <c r="CFW4" s="9">
        <f>BDH(CFW$1,"TOT_RETURN_INDEX_GROSS_DVDS",DataStart,DataEnd,"Per=M","Days=A","Fill=P","Currency="&amp;FxCurrency)</f>
        <v/>
      </c>
      <c r="CFY4" s="9">
        <f>BDH(CFY$1,"TOT_RETURN_INDEX_GROSS_DVDS",DataStart,DataEnd,"Per=M","Days=A","Fill=P","Currency="&amp;FxCurrency)</f>
        <v/>
      </c>
      <c r="CGA4" s="9">
        <f>BDH(CGA$1,"TOT_RETURN_INDEX_GROSS_DVDS",DataStart,DataEnd,"Per=M","Days=A","Fill=P","Currency="&amp;FxCurrency)</f>
        <v/>
      </c>
      <c r="CGC4" s="9">
        <f>BDH(CGC$1,"TOT_RETURN_INDEX_GROSS_DVDS",DataStart,DataEnd,"Per=M","Days=A","Fill=P","Currency="&amp;FxCurrency)</f>
        <v/>
      </c>
      <c r="CGE4" s="9">
        <f>BDH(CGE$1,"TOT_RETURN_INDEX_GROSS_DVDS",DataStart,DataEnd,"Per=M","Days=A","Fill=P","Currency="&amp;FxCurrency)</f>
        <v/>
      </c>
      <c r="CGG4" s="9">
        <f>BDH(CGG$1,"TOT_RETURN_INDEX_GROSS_DVDS",DataStart,DataEnd,"Per=M","Days=A","Fill=P","Currency="&amp;FxCurrency)</f>
        <v/>
      </c>
      <c r="CGI4" s="9">
        <f>BDH(CGI$1,"TOT_RETURN_INDEX_GROSS_DVDS",DataStart,DataEnd,"Per=M","Days=A","Fill=P","Currency="&amp;FxCurrency)</f>
        <v/>
      </c>
      <c r="CGK4" s="9">
        <f>BDH(CGK$1,"TOT_RETURN_INDEX_GROSS_DVDS",DataStart,DataEnd,"Per=M","Days=A","Fill=P","Currency="&amp;FxCurrency)</f>
        <v/>
      </c>
      <c r="CGM4" s="9">
        <f>BDH(CGM$1,"TOT_RETURN_INDEX_GROSS_DVDS",DataStart,DataEnd,"Per=M","Days=A","Fill=P","Currency="&amp;FxCurrency)</f>
        <v/>
      </c>
      <c r="CGO4" s="9">
        <f>BDH(CGO$1,"TOT_RETURN_INDEX_GROSS_DVDS",DataStart,DataEnd,"Per=M","Days=A","Fill=P","Currency="&amp;FxCurrency)</f>
        <v/>
      </c>
      <c r="CGQ4" s="9">
        <f>BDH(CGQ$1,"TOT_RETURN_INDEX_GROSS_DVDS",DataStart,DataEnd,"Per=M","Days=A","Fill=P","Currency="&amp;FxCurrency)</f>
        <v/>
      </c>
      <c r="CGS4" s="9">
        <f>BDH(CGS$1,"TOT_RETURN_INDEX_GROSS_DVDS",DataStart,DataEnd,"Per=M","Days=A","Fill=P","Currency="&amp;FxCurrency)</f>
        <v/>
      </c>
      <c r="CGU4" s="9">
        <f>BDH(CGU$1,"TOT_RETURN_INDEX_GROSS_DVDS",DataStart,DataEnd,"Per=M","Days=A","Fill=P","Currency="&amp;FxCurrency)</f>
        <v/>
      </c>
      <c r="CGW4" s="9">
        <f>BDH(CGW$1,"TOT_RETURN_INDEX_GROSS_DVDS",DataStart,DataEnd,"Per=M","Days=A","Fill=P","Currency="&amp;FxCurrency)</f>
        <v/>
      </c>
      <c r="CGY4" s="9">
        <f>BDH(CGY$1,"TOT_RETURN_INDEX_GROSS_DVDS",DataStart,DataEnd,"Per=M","Days=A","Fill=P","Currency="&amp;FxCurrency)</f>
        <v/>
      </c>
      <c r="CHA4" s="9">
        <f>BDH(CHA$1,"TOT_RETURN_INDEX_GROSS_DVDS",DataStart,DataEnd,"Per=M","Days=A","Fill=P","Currency="&amp;FxCurrency)</f>
        <v/>
      </c>
      <c r="CHC4" s="9">
        <f>BDH(CHC$1,"TOT_RETURN_INDEX_GROSS_DVDS",DataStart,DataEnd,"Per=M","Days=A","Fill=P","Currency="&amp;FxCurrency)</f>
        <v/>
      </c>
      <c r="CHE4" s="9">
        <f>BDH(CHE$1,"TOT_RETURN_INDEX_GROSS_DVDS",DataStart,DataEnd,"Per=M","Days=A","Fill=P","Currency="&amp;FxCurrency)</f>
        <v/>
      </c>
      <c r="CHG4" s="9">
        <f>BDH(CHG$1,"TOT_RETURN_INDEX_GROSS_DVDS",DataStart,DataEnd,"Per=M","Days=A","Fill=P","Currency="&amp;FxCurrency)</f>
        <v/>
      </c>
      <c r="CHI4" s="9">
        <f>BDH(CHI$1,"TOT_RETURN_INDEX_GROSS_DVDS",DataStart,DataEnd,"Per=M","Days=A","Fill=P","Currency="&amp;FxCurrency)</f>
        <v/>
      </c>
      <c r="CHK4" s="9">
        <f>BDH(CHK$1,"TOT_RETURN_INDEX_GROSS_DVDS",DataStart,DataEnd,"Per=M","Days=A","Fill=P","Currency="&amp;FxCurrency)</f>
        <v/>
      </c>
      <c r="CHM4" s="9">
        <f>BDH(CHM$1,"TOT_RETURN_INDEX_GROSS_DVDS",DataStart,DataEnd,"Per=M","Days=A","Fill=P","Currency="&amp;FxCurrency)</f>
        <v/>
      </c>
      <c r="CHO4" s="9">
        <f>BDH(CHO$1,"TOT_RETURN_INDEX_GROSS_DVDS",DataStart,DataEnd,"Per=M","Days=A","Fill=P","Currency="&amp;FxCurrency)</f>
        <v/>
      </c>
      <c r="CHQ4" s="9">
        <f>BDH(CHQ$1,"TOT_RETURN_INDEX_GROSS_DVDS",DataStart,DataEnd,"Per=M","Days=A","Fill=P","Currency="&amp;FxCurrency)</f>
        <v/>
      </c>
      <c r="CHS4" s="9">
        <f>BDH(CHS$1,"TOT_RETURN_INDEX_GROSS_DVDS",DataStart,DataEnd,"Per=M","Days=A","Fill=P","Currency="&amp;FxCurrency)</f>
        <v/>
      </c>
      <c r="CHU4" s="9">
        <f>BDH(CHU$1,"TOT_RETURN_INDEX_GROSS_DVDS",DataStart,DataEnd,"Per=M","Days=A","Fill=P","Currency="&amp;FxCurrency)</f>
        <v/>
      </c>
      <c r="CHW4" s="9">
        <f>BDH(CHW$1,"TOT_RETURN_INDEX_GROSS_DVDS",DataStart,DataEnd,"Per=M","Days=A","Fill=P","Currency="&amp;FxCurrency)</f>
        <v/>
      </c>
      <c r="CHY4" s="9">
        <f>BDH(CHY$1,"TOT_RETURN_INDEX_GROSS_DVDS",DataStart,DataEnd,"Per=M","Days=A","Fill=P","Currency="&amp;FxCurrency)</f>
        <v/>
      </c>
      <c r="CIA4" s="9">
        <f>BDH(CIA$1,"TOT_RETURN_INDEX_GROSS_DVDS",DataStart,DataEnd,"Per=M","Days=A","Fill=P","Currency="&amp;FxCurrency)</f>
        <v/>
      </c>
      <c r="CIC4" s="9">
        <f>BDH(CIC$1,"TOT_RETURN_INDEX_GROSS_DVDS",DataStart,DataEnd,"Per=M","Days=A","Fill=P","Currency="&amp;FxCurrency)</f>
        <v/>
      </c>
      <c r="CIE4" s="9">
        <f>BDH(CIE$1,"TOT_RETURN_INDEX_GROSS_DVDS",DataStart,DataEnd,"Per=M","Days=A","Fill=P","Currency="&amp;FxCurrency)</f>
        <v/>
      </c>
      <c r="CIG4" s="9">
        <f>BDH(CIG$1,"TOT_RETURN_INDEX_GROSS_DVDS",DataStart,DataEnd,"Per=M","Days=A","Fill=P","Currency="&amp;FxCurrency)</f>
        <v/>
      </c>
      <c r="CII4" s="9">
        <f>BDH(CII$1,"TOT_RETURN_INDEX_GROSS_DVDS",DataStart,DataEnd,"Per=M","Days=A","Fill=P","Currency="&amp;FxCurrency)</f>
        <v/>
      </c>
      <c r="CIK4" s="9">
        <f>BDH(CIK$1,"TOT_RETURN_INDEX_GROSS_DVDS",DataStart,DataEnd,"Per=M","Days=A","Fill=P","Currency="&amp;FxCurrency)</f>
        <v/>
      </c>
      <c r="CIM4" s="9">
        <f>BDH(CIM$1,"TOT_RETURN_INDEX_GROSS_DVDS",DataStart,DataEnd,"Per=M","Days=A","Fill=P","Currency="&amp;FxCurrency)</f>
        <v/>
      </c>
      <c r="CIO4" s="9">
        <f>BDH(CIO$1,"TOT_RETURN_INDEX_GROSS_DVDS",DataStart,DataEnd,"Per=M","Days=A","Fill=P","Currency="&amp;FxCurrency)</f>
        <v/>
      </c>
      <c r="CIQ4" s="9">
        <f>BDH(CIQ$1,"TOT_RETURN_INDEX_GROSS_DVDS",DataStart,DataEnd,"Per=M","Days=A","Fill=P","Currency="&amp;FxCurrency)</f>
        <v/>
      </c>
      <c r="CIS4" s="9">
        <f>BDH(CIS$1,"TOT_RETURN_INDEX_GROSS_DVDS",DataStart,DataEnd,"Per=M","Days=A","Fill=P","Currency="&amp;FxCurrency)</f>
        <v/>
      </c>
      <c r="CIU4" s="9">
        <f>BDH(CIU$1,"TOT_RETURN_INDEX_GROSS_DVDS",DataStart,DataEnd,"Per=M","Days=A","Fill=P","Currency="&amp;FxCurrency)</f>
        <v/>
      </c>
      <c r="CIW4" s="9">
        <f>BDH(CIW$1,"TOT_RETURN_INDEX_GROSS_DVDS",DataStart,DataEnd,"Per=M","Days=A","Fill=P","Currency="&amp;FxCurrency)</f>
        <v/>
      </c>
      <c r="CIY4" s="9">
        <f>BDH(CIY$1,"TOT_RETURN_INDEX_GROSS_DVDS",DataStart,DataEnd,"Per=M","Days=A","Fill=P","Currency="&amp;FxCurrency)</f>
        <v/>
      </c>
      <c r="CJA4" s="9">
        <f>BDH(CJA$1,"TOT_RETURN_INDEX_GROSS_DVDS",DataStart,DataEnd,"Per=M","Days=A","Fill=P","Currency="&amp;FxCurrency)</f>
        <v/>
      </c>
      <c r="CJC4" s="9">
        <f>BDH(CJC$1,"TOT_RETURN_INDEX_GROSS_DVDS",DataStart,DataEnd,"Per=M","Days=A","Fill=P","Currency="&amp;FxCurrency)</f>
        <v/>
      </c>
      <c r="CJE4" s="9">
        <f>BDH(CJE$1,"TOT_RETURN_INDEX_GROSS_DVDS",DataStart,DataEnd,"Per=M","Days=A","Fill=P","Currency="&amp;FxCurrency)</f>
        <v/>
      </c>
      <c r="CJG4" s="9">
        <f>BDH(CJG$1,"TOT_RETURN_INDEX_GROSS_DVDS",DataStart,DataEnd,"Per=M","Days=A","Fill=P","Currency="&amp;FxCurrency)</f>
        <v/>
      </c>
      <c r="CJI4" s="9">
        <f>BDH(CJI$1,"TOT_RETURN_INDEX_GROSS_DVDS",DataStart,DataEnd,"Per=M","Days=A","Fill=P","Currency="&amp;FxCurrency)</f>
        <v/>
      </c>
      <c r="CJK4" s="9">
        <f>BDH(CJK$1,"TOT_RETURN_INDEX_GROSS_DVDS",DataStart,DataEnd,"Per=M","Days=A","Fill=P","Currency="&amp;FxCurrency)</f>
        <v/>
      </c>
      <c r="CJM4" s="9">
        <f>BDH(CJM$1,"TOT_RETURN_INDEX_GROSS_DVDS",DataStart,DataEnd,"Per=M","Days=A","Fill=P","Currency="&amp;FxCurrency)</f>
        <v/>
      </c>
      <c r="CJO4" s="9">
        <f>BDH(CJO$1,"TOT_RETURN_INDEX_GROSS_DVDS",DataStart,DataEnd,"Per=M","Days=A","Fill=P","Currency="&amp;FxCurrency)</f>
        <v/>
      </c>
      <c r="CJQ4" s="9">
        <f>BDH(CJQ$1,"TOT_RETURN_INDEX_GROSS_DVDS",DataStart,DataEnd,"Per=M","Days=A","Fill=P","Currency="&amp;FxCurrency)</f>
        <v/>
      </c>
      <c r="CJS4" s="9">
        <f>BDH(CJS$1,"TOT_RETURN_INDEX_GROSS_DVDS",DataStart,DataEnd,"Per=M","Days=A","Fill=P","Currency="&amp;FxCurrency)</f>
        <v/>
      </c>
      <c r="CJU4" s="9">
        <f>BDH(CJU$1,"TOT_RETURN_INDEX_GROSS_DVDS",DataStart,DataEnd,"Per=M","Days=A","Fill=P","Currency="&amp;FxCurrency)</f>
        <v/>
      </c>
      <c r="CJW4" s="9">
        <f>BDH(CJW$1,"TOT_RETURN_INDEX_GROSS_DVDS",DataStart,DataEnd,"Per=M","Days=A","Fill=P","Currency="&amp;FxCurrency)</f>
        <v/>
      </c>
      <c r="CJY4" s="9">
        <f>BDH(CJY$1,"TOT_RETURN_INDEX_GROSS_DVDS",DataStart,DataEnd,"Per=M","Days=A","Fill=P","Currency="&amp;FxCurrency)</f>
        <v/>
      </c>
      <c r="CKA4" s="9">
        <f>BDH(CKA$1,"TOT_RETURN_INDEX_GROSS_DVDS",DataStart,DataEnd,"Per=M","Days=A","Fill=P","Currency="&amp;FxCurrency)</f>
        <v/>
      </c>
      <c r="CKC4" s="9">
        <f>BDH(CKC$1,"TOT_RETURN_INDEX_GROSS_DVDS",DataStart,DataEnd,"Per=M","Days=A","Fill=P","Currency="&amp;FxCurrency)</f>
        <v/>
      </c>
      <c r="CKE4" s="9">
        <f>BDH(CKE$1,"TOT_RETURN_INDEX_GROSS_DVDS",DataStart,DataEnd,"Per=M","Days=A","Fill=P","Currency="&amp;FxCurrency)</f>
        <v/>
      </c>
      <c r="CKG4" s="9">
        <f>BDH(CKG$1,"TOT_RETURN_INDEX_GROSS_DVDS",DataStart,DataEnd,"Per=M","Days=A","Fill=P","Currency="&amp;FxCurrency)</f>
        <v/>
      </c>
      <c r="CKI4" s="9">
        <f>BDH(CKI$1,"TOT_RETURN_INDEX_GROSS_DVDS",DataStart,DataEnd,"Per=M","Days=A","Fill=P","Currency="&amp;FxCurrency)</f>
        <v/>
      </c>
      <c r="CKK4" s="9">
        <f>BDH(CKK$1,"TOT_RETURN_INDEX_GROSS_DVDS",DataStart,DataEnd,"Per=M","Days=A","Fill=P","Currency="&amp;FxCurrency)</f>
        <v/>
      </c>
      <c r="CKM4" s="9">
        <f>BDH(CKM$1,"TOT_RETURN_INDEX_GROSS_DVDS",DataStart,DataEnd,"Per=M","Days=A","Fill=P","Currency="&amp;FxCurrency)</f>
        <v/>
      </c>
      <c r="CKO4" s="9">
        <f>BDH(CKO$1,"TOT_RETURN_INDEX_GROSS_DVDS",DataStart,DataEnd,"Per=M","Days=A","Fill=P","Currency="&amp;FxCurrency)</f>
        <v/>
      </c>
      <c r="CKQ4" s="9">
        <f>BDH(CKQ$1,"TOT_RETURN_INDEX_GROSS_DVDS",DataStart,DataEnd,"Per=M","Days=A","Fill=P","Currency="&amp;FxCurrency)</f>
        <v/>
      </c>
      <c r="CKS4" s="9">
        <f>BDH(CKS$1,"TOT_RETURN_INDEX_GROSS_DVDS",DataStart,DataEnd,"Per=M","Days=A","Fill=P","Currency="&amp;FxCurrency)</f>
        <v/>
      </c>
      <c r="CKU4" s="9">
        <f>BDH(CKU$1,"TOT_RETURN_INDEX_GROSS_DVDS",DataStart,DataEnd,"Per=M","Days=A","Fill=P","Currency="&amp;FxCurrency)</f>
        <v/>
      </c>
      <c r="CKW4" s="9">
        <f>BDH(CKW$1,"TOT_RETURN_INDEX_GROSS_DVDS",DataStart,DataEnd,"Per=M","Days=A","Fill=P","Currency="&amp;FxCurrency)</f>
        <v/>
      </c>
      <c r="CKY4" s="9">
        <f>BDH(CKY$1,"TOT_RETURN_INDEX_GROSS_DVDS",DataStart,DataEnd,"Per=M","Days=A","Fill=P","Currency="&amp;FxCurrency)</f>
        <v/>
      </c>
      <c r="CLA4" s="9">
        <f>BDH(CLA$1,"TOT_RETURN_INDEX_GROSS_DVDS",DataStart,DataEnd,"Per=M","Days=A","Fill=P","Currency="&amp;FxCurrency)</f>
        <v/>
      </c>
      <c r="CLC4" s="9">
        <f>BDH(CLC$1,"TOT_RETURN_INDEX_GROSS_DVDS",DataStart,DataEnd,"Per=M","Days=A","Fill=P","Currency="&amp;FxCurrency)</f>
        <v/>
      </c>
      <c r="CLE4" s="9">
        <f>BDH(CLE$1,"TOT_RETURN_INDEX_GROSS_DVDS",DataStart,DataEnd,"Per=M","Days=A","Fill=P","Currency="&amp;FxCurrency)</f>
        <v/>
      </c>
      <c r="CLG4" s="9">
        <f>BDH(CLG$1,"TOT_RETURN_INDEX_GROSS_DVDS",DataStart,DataEnd,"Per=M","Days=A","Fill=P","Currency="&amp;FxCurrency)</f>
        <v/>
      </c>
      <c r="CLI4" s="9">
        <f>BDH(CLI$1,"TOT_RETURN_INDEX_GROSS_DVDS",DataStart,DataEnd,"Per=M","Days=A","Fill=P","Currency="&amp;FxCurrency)</f>
        <v/>
      </c>
      <c r="CLK4" s="9">
        <f>BDH(CLK$1,"TOT_RETURN_INDEX_GROSS_DVDS",DataStart,DataEnd,"Per=M","Days=A","Fill=P","Currency="&amp;FxCurrency)</f>
        <v/>
      </c>
      <c r="CLM4" s="9">
        <f>BDH(CLM$1,"TOT_RETURN_INDEX_GROSS_DVDS",DataStart,DataEnd,"Per=M","Days=A","Fill=P","Currency="&amp;FxCurrency)</f>
        <v/>
      </c>
      <c r="CLO4" s="9">
        <f>BDH(CLO$1,"TOT_RETURN_INDEX_GROSS_DVDS",DataStart,DataEnd,"Per=M","Days=A","Fill=P","Currency="&amp;FxCurrency)</f>
        <v/>
      </c>
      <c r="CLQ4" s="9">
        <f>BDH(CLQ$1,"TOT_RETURN_INDEX_GROSS_DVDS",DataStart,DataEnd,"Per=M","Days=A","Fill=P","Currency="&amp;FxCurrency)</f>
        <v/>
      </c>
      <c r="CLS4" s="9">
        <f>BDH(CLS$1,"TOT_RETURN_INDEX_GROSS_DVDS",DataStart,DataEnd,"Per=M","Days=A","Fill=P","Currency="&amp;FxCurrency)</f>
        <v/>
      </c>
      <c r="CLU4" s="9">
        <f>BDH(CLU$1,"TOT_RETURN_INDEX_GROSS_DVDS",DataStart,DataEnd,"Per=M","Days=A","Fill=P","Currency="&amp;FxCurrency)</f>
        <v/>
      </c>
      <c r="CLW4" s="9">
        <f>BDH(CLW$1,"TOT_RETURN_INDEX_GROSS_DVDS",DataStart,DataEnd,"Per=M","Days=A","Fill=P","Currency="&amp;FxCurrency)</f>
        <v/>
      </c>
      <c r="CLY4" s="9">
        <f>BDH(CLY$1,"TOT_RETURN_INDEX_GROSS_DVDS",DataStart,DataEnd,"Per=M","Days=A","Fill=P","Currency="&amp;FxCurrency)</f>
        <v/>
      </c>
      <c r="CMA4" s="9">
        <f>BDH(CMA$1,"TOT_RETURN_INDEX_GROSS_DVDS",DataStart,DataEnd,"Per=M","Days=A","Fill=P","Currency="&amp;FxCurrency)</f>
        <v/>
      </c>
      <c r="CMC4" s="9">
        <f>BDH(CMC$1,"TOT_RETURN_INDEX_GROSS_DVDS",DataStart,DataEnd,"Per=M","Days=A","Fill=P","Currency="&amp;FxCurrency)</f>
        <v/>
      </c>
      <c r="CME4" s="9">
        <f>BDH(CME$1,"TOT_RETURN_INDEX_GROSS_DVDS",DataStart,DataEnd,"Per=M","Days=A","Fill=P","Currency="&amp;FxCurrency)</f>
        <v/>
      </c>
      <c r="CMG4" s="9">
        <f>BDH(CMG$1,"TOT_RETURN_INDEX_GROSS_DVDS",DataStart,DataEnd,"Per=M","Days=A","Fill=P","Currency="&amp;FxCurrency)</f>
        <v/>
      </c>
      <c r="CMI4" s="9">
        <f>BDH(CMI$1,"TOT_RETURN_INDEX_GROSS_DVDS",DataStart,DataEnd,"Per=M","Days=A","Fill=P","Currency="&amp;FxCurrency)</f>
        <v/>
      </c>
      <c r="CMK4" s="9">
        <f>BDH(CMK$1,"TOT_RETURN_INDEX_GROSS_DVDS",DataStart,DataEnd,"Per=M","Days=A","Fill=P","Currency="&amp;FxCurrency)</f>
        <v/>
      </c>
      <c r="CMM4" s="9">
        <f>BDH(CMM$1,"TOT_RETURN_INDEX_GROSS_DVDS",DataStart,DataEnd,"Per=M","Days=A","Fill=P","Currency="&amp;FxCurrency)</f>
        <v/>
      </c>
      <c r="CMO4" s="9">
        <f>BDH(CMO$1,"TOT_RETURN_INDEX_GROSS_DVDS",DataStart,DataEnd,"Per=M","Days=A","Fill=P","Currency="&amp;FxCurrency)</f>
        <v/>
      </c>
      <c r="CMQ4" s="9">
        <f>BDH(CMQ$1,"TOT_RETURN_INDEX_GROSS_DVDS",DataStart,DataEnd,"Per=M","Days=A","Fill=P","Currency="&amp;FxCurrency)</f>
        <v/>
      </c>
      <c r="CMS4" s="9">
        <f>BDH(CMS$1,"TOT_RETURN_INDEX_GROSS_DVDS",DataStart,DataEnd,"Per=M","Days=A","Fill=P","Currency="&amp;FxCurrency)</f>
        <v/>
      </c>
      <c r="CMU4" s="9">
        <f>BDH(CMU$1,"TOT_RETURN_INDEX_GROSS_DVDS",DataStart,DataEnd,"Per=M","Days=A","Fill=P","Currency="&amp;FxCurrency)</f>
        <v/>
      </c>
      <c r="CMW4" s="9">
        <f>BDH(CMW$1,"TOT_RETURN_INDEX_GROSS_DVDS",DataStart,DataEnd,"Per=M","Days=A","Fill=P","Currency="&amp;FxCurrency)</f>
        <v/>
      </c>
      <c r="CMY4" s="9">
        <f>BDH(CMY$1,"TOT_RETURN_INDEX_GROSS_DVDS",DataStart,DataEnd,"Per=M","Days=A","Fill=P","Currency="&amp;FxCurrency)</f>
        <v/>
      </c>
      <c r="CNA4" s="9">
        <f>BDH(CNA$1,"TOT_RETURN_INDEX_GROSS_DVDS",DataStart,DataEnd,"Per=M","Days=A","Fill=P","Currency="&amp;FxCurrency)</f>
        <v/>
      </c>
      <c r="CNC4" s="9">
        <f>BDH(CNC$1,"TOT_RETURN_INDEX_GROSS_DVDS",DataStart,DataEnd,"Per=M","Days=A","Fill=P","Currency="&amp;FxCurrency)</f>
        <v/>
      </c>
      <c r="CNE4" s="9">
        <f>BDH(CNE$1,"TOT_RETURN_INDEX_GROSS_DVDS",DataStart,DataEnd,"Per=M","Days=A","Fill=P","Currency="&amp;FxCurrency)</f>
        <v/>
      </c>
      <c r="CNG4" s="9">
        <f>BDH(CNG$1,"TOT_RETURN_INDEX_GROSS_DVDS",DataStart,DataEnd,"Per=M","Days=A","Fill=P","Currency="&amp;FxCurrency)</f>
        <v/>
      </c>
      <c r="CNI4" s="9">
        <f>BDH(CNI$1,"TOT_RETURN_INDEX_GROSS_DVDS",DataStart,DataEnd,"Per=M","Days=A","Fill=P","Currency="&amp;FxCurrency)</f>
        <v/>
      </c>
      <c r="CNK4" s="9">
        <f>BDH(CNK$1,"TOT_RETURN_INDEX_GROSS_DVDS",DataStart,DataEnd,"Per=M","Days=A","Fill=P","Currency="&amp;FxCurrency)</f>
        <v/>
      </c>
      <c r="CNM4" s="9">
        <f>BDH(CNM$1,"TOT_RETURN_INDEX_GROSS_DVDS",DataStart,DataEnd,"Per=M","Days=A","Fill=P","Currency="&amp;FxCurrency)</f>
        <v/>
      </c>
      <c r="CNO4" s="9">
        <f>BDH(CNO$1,"TOT_RETURN_INDEX_GROSS_DVDS",DataStart,DataEnd,"Per=M","Days=A","Fill=P","Currency="&amp;FxCurrency)</f>
        <v/>
      </c>
      <c r="CNQ4" s="9">
        <f>BDH(CNQ$1,"TOT_RETURN_INDEX_GROSS_DVDS",DataStart,DataEnd,"Per=M","Days=A","Fill=P","Currency="&amp;FxCurrency)</f>
        <v/>
      </c>
      <c r="CNS4" s="9">
        <f>BDH(CNS$1,"TOT_RETURN_INDEX_GROSS_DVDS",DataStart,DataEnd,"Per=M","Days=A","Fill=P","Currency="&amp;FxCurrency)</f>
        <v/>
      </c>
      <c r="CNU4" s="9">
        <f>BDH(CNU$1,"TOT_RETURN_INDEX_GROSS_DVDS",DataStart,DataEnd,"Per=M","Days=A","Fill=P","Currency="&amp;FxCurrency)</f>
        <v/>
      </c>
      <c r="CNW4" s="9">
        <f>BDH(CNW$1,"TOT_RETURN_INDEX_GROSS_DVDS",DataStart,DataEnd,"Per=M","Days=A","Fill=P","Currency="&amp;FxCurrency)</f>
        <v/>
      </c>
      <c r="CNY4" s="9">
        <f>BDH(CNY$1,"TOT_RETURN_INDEX_GROSS_DVDS",DataStart,DataEnd,"Per=M","Days=A","Fill=P","Currency="&amp;FxCurrency)</f>
        <v/>
      </c>
      <c r="COA4" s="9">
        <f>BDH(COA$1,"TOT_RETURN_INDEX_GROSS_DVDS",DataStart,DataEnd,"Per=M","Days=A","Fill=P","Currency="&amp;FxCurrency)</f>
        <v/>
      </c>
      <c r="COC4" s="9">
        <f>BDH(COC$1,"TOT_RETURN_INDEX_GROSS_DVDS",DataStart,DataEnd,"Per=M","Days=A","Fill=P","Currency="&amp;FxCurrency)</f>
        <v/>
      </c>
      <c r="COE4" s="9">
        <f>BDH(COE$1,"TOT_RETURN_INDEX_GROSS_DVDS",DataStart,DataEnd,"Per=M","Days=A","Fill=P","Currency="&amp;FxCurrency)</f>
        <v/>
      </c>
      <c r="COG4" s="9">
        <f>BDH(COG$1,"TOT_RETURN_INDEX_GROSS_DVDS",DataStart,DataEnd,"Per=M","Days=A","Fill=P","Currency="&amp;FxCurrency)</f>
        <v/>
      </c>
      <c r="COI4" s="9">
        <f>BDH(COI$1,"TOT_RETURN_INDEX_GROSS_DVDS",DataStart,DataEnd,"Per=M","Days=A","Fill=P","Currency="&amp;FxCurrency)</f>
        <v/>
      </c>
      <c r="COK4" s="9">
        <f>BDH(COK$1,"TOT_RETURN_INDEX_GROSS_DVDS",DataStart,DataEnd,"Per=M","Days=A","Fill=P","Currency="&amp;FxCurrency)</f>
        <v/>
      </c>
      <c r="COM4" s="9">
        <f>BDH(COM$1,"TOT_RETURN_INDEX_GROSS_DVDS",DataStart,DataEnd,"Per=M","Days=A","Fill=P","Currency="&amp;FxCurrency)</f>
        <v/>
      </c>
      <c r="COO4" s="9">
        <f>BDH(COO$1,"TOT_RETURN_INDEX_GROSS_DVDS",DataStart,DataEnd,"Per=M","Days=A","Fill=P","Currency="&amp;FxCurrency)</f>
        <v/>
      </c>
      <c r="COQ4" s="9">
        <f>BDH(COQ$1,"TOT_RETURN_INDEX_GROSS_DVDS",DataStart,DataEnd,"Per=M","Days=A","Fill=P","Currency="&amp;FxCurrency)</f>
        <v/>
      </c>
      <c r="COS4" s="9">
        <f>BDH(COS$1,"TOT_RETURN_INDEX_GROSS_DVDS",DataStart,DataEnd,"Per=M","Days=A","Fill=P","Currency="&amp;FxCurrency)</f>
        <v/>
      </c>
      <c r="COU4" s="9">
        <f>BDH(COU$1,"TOT_RETURN_INDEX_GROSS_DVDS",DataStart,DataEnd,"Per=M","Days=A","Fill=P","Currency="&amp;FxCurrency)</f>
        <v/>
      </c>
      <c r="COW4" s="9">
        <f>BDH(COW$1,"TOT_RETURN_INDEX_GROSS_DVDS",DataStart,DataEnd,"Per=M","Days=A","Fill=P","Currency="&amp;FxCurrency)</f>
        <v/>
      </c>
      <c r="COY4" s="9">
        <f>BDH(COY$1,"TOT_RETURN_INDEX_GROSS_DVDS",DataStart,DataEnd,"Per=M","Days=A","Fill=P","Currency="&amp;FxCurrency)</f>
        <v/>
      </c>
      <c r="CPA4" s="9">
        <f>BDH(CPA$1,"TOT_RETURN_INDEX_GROSS_DVDS",DataStart,DataEnd,"Per=M","Days=A","Fill=P","Currency="&amp;FxCurrency)</f>
        <v/>
      </c>
      <c r="CPC4" s="9">
        <f>BDH(CPC$1,"TOT_RETURN_INDEX_GROSS_DVDS",DataStart,DataEnd,"Per=M","Days=A","Fill=P","Currency="&amp;FxCurrency)</f>
        <v/>
      </c>
      <c r="CPE4" s="9">
        <f>BDH(CPE$1,"TOT_RETURN_INDEX_GROSS_DVDS",DataStart,DataEnd,"Per=M","Days=A","Fill=P","Currency="&amp;FxCurrency)</f>
        <v/>
      </c>
      <c r="CPG4" s="9">
        <f>BDH(CPG$1,"TOT_RETURN_INDEX_GROSS_DVDS",DataStart,DataEnd,"Per=M","Days=A","Fill=P","Currency="&amp;FxCurrency)</f>
        <v/>
      </c>
      <c r="CPI4" s="9">
        <f>BDH(CPI$1,"TOT_RETURN_INDEX_GROSS_DVDS",DataStart,DataEnd,"Per=M","Days=A","Fill=P","Currency="&amp;FxCurrency)</f>
        <v/>
      </c>
      <c r="CPK4" s="9">
        <f>BDH(CPK$1,"TOT_RETURN_INDEX_GROSS_DVDS",DataStart,DataEnd,"Per=M","Days=A","Fill=P","Currency="&amp;FxCurrency)</f>
        <v/>
      </c>
      <c r="CPM4" s="9">
        <f>BDH(CPM$1,"TOT_RETURN_INDEX_GROSS_DVDS",DataStart,DataEnd,"Per=M","Days=A","Fill=P","Currency="&amp;FxCurrency)</f>
        <v/>
      </c>
      <c r="CPO4" s="9">
        <f>BDH(CPO$1,"TOT_RETURN_INDEX_GROSS_DVDS",DataStart,DataEnd,"Per=M","Days=A","Fill=P","Currency="&amp;FxCurrency)</f>
        <v/>
      </c>
      <c r="CPQ4" s="9">
        <f>BDH(CPQ$1,"TOT_RETURN_INDEX_GROSS_DVDS",DataStart,DataEnd,"Per=M","Days=A","Fill=P","Currency="&amp;FxCurrency)</f>
        <v/>
      </c>
      <c r="CPS4" s="9">
        <f>BDH(CPS$1,"TOT_RETURN_INDEX_GROSS_DVDS",DataStart,DataEnd,"Per=M","Days=A","Fill=P","Currency="&amp;FxCurrency)</f>
        <v/>
      </c>
      <c r="CPU4" s="9">
        <f>BDH(CPU$1,"TOT_RETURN_INDEX_GROSS_DVDS",DataStart,DataEnd,"Per=M","Days=A","Fill=P","Currency="&amp;FxCurrency)</f>
        <v/>
      </c>
      <c r="CPW4" s="9">
        <f>BDH(CPW$1,"TOT_RETURN_INDEX_GROSS_DVDS",DataStart,DataEnd,"Per=M","Days=A","Fill=P","Currency="&amp;FxCurrency)</f>
        <v/>
      </c>
      <c r="CPY4" s="9">
        <f>BDH(CPY$1,"TOT_RETURN_INDEX_GROSS_DVDS",DataStart,DataEnd,"Per=M","Days=A","Fill=P","Currency="&amp;FxCurrency)</f>
        <v/>
      </c>
      <c r="CQA4" s="9">
        <f>BDH(CQA$1,"TOT_RETURN_INDEX_GROSS_DVDS",DataStart,DataEnd,"Per=M","Days=A","Fill=P","Currency="&amp;FxCurrency)</f>
        <v/>
      </c>
      <c r="CQC4" s="9">
        <f>BDH(CQC$1,"TOT_RETURN_INDEX_GROSS_DVDS",DataStart,DataEnd,"Per=M","Days=A","Fill=P","Currency="&amp;FxCurrency)</f>
        <v/>
      </c>
      <c r="CQE4" s="9">
        <f>BDH(CQE$1,"TOT_RETURN_INDEX_GROSS_DVDS",DataStart,DataEnd,"Per=M","Days=A","Fill=P","Currency="&amp;FxCurrency)</f>
        <v/>
      </c>
      <c r="CQG4" s="9">
        <f>BDH(CQG$1,"TOT_RETURN_INDEX_GROSS_DVDS",DataStart,DataEnd,"Per=M","Days=A","Fill=P","Currency="&amp;FxCurrency)</f>
        <v/>
      </c>
      <c r="CQI4" s="9">
        <f>BDH(CQI$1,"TOT_RETURN_INDEX_GROSS_DVDS",DataStart,DataEnd,"Per=M","Days=A","Fill=P","Currency="&amp;FxCurrency)</f>
        <v/>
      </c>
      <c r="CQK4" s="9">
        <f>BDH(CQK$1,"TOT_RETURN_INDEX_GROSS_DVDS",DataStart,DataEnd,"Per=M","Days=A","Fill=P","Currency="&amp;FxCurrency)</f>
        <v/>
      </c>
      <c r="CQM4" s="9">
        <f>BDH(CQM$1,"TOT_RETURN_INDEX_GROSS_DVDS",DataStart,DataEnd,"Per=M","Days=A","Fill=P","Currency="&amp;FxCurrency)</f>
        <v/>
      </c>
      <c r="CQO4" s="9">
        <f>BDH(CQO$1,"TOT_RETURN_INDEX_GROSS_DVDS",DataStart,DataEnd,"Per=M","Days=A","Fill=P","Currency="&amp;FxCurrency)</f>
        <v/>
      </c>
      <c r="CQQ4" s="9">
        <f>BDH(CQQ$1,"TOT_RETURN_INDEX_GROSS_DVDS",DataStart,DataEnd,"Per=M","Days=A","Fill=P","Currency="&amp;FxCurrency)</f>
        <v/>
      </c>
      <c r="CQS4" s="9">
        <f>BDH(CQS$1,"TOT_RETURN_INDEX_GROSS_DVDS",DataStart,DataEnd,"Per=M","Days=A","Fill=P","Currency="&amp;FxCurrency)</f>
        <v/>
      </c>
      <c r="CQU4" s="9">
        <f>BDH(CQU$1,"TOT_RETURN_INDEX_GROSS_DVDS",DataStart,DataEnd,"Per=M","Days=A","Fill=P","Currency="&amp;FxCurrency)</f>
        <v/>
      </c>
      <c r="CQW4" s="9">
        <f>BDH(CQW$1,"TOT_RETURN_INDEX_GROSS_DVDS",DataStart,DataEnd,"Per=M","Days=A","Fill=P","Currency="&amp;FxCurrency)</f>
        <v/>
      </c>
      <c r="CQY4" s="9">
        <f>BDH(CQY$1,"TOT_RETURN_INDEX_GROSS_DVDS",DataStart,DataEnd,"Per=M","Days=A","Fill=P","Currency="&amp;FxCurrency)</f>
        <v/>
      </c>
      <c r="CRA4" s="9">
        <f>BDH(CRA$1,"TOT_RETURN_INDEX_GROSS_DVDS",DataStart,DataEnd,"Per=M","Days=A","Fill=P","Currency="&amp;FxCurrency)</f>
        <v/>
      </c>
      <c r="CRC4" s="9">
        <f>BDH(CRC$1,"TOT_RETURN_INDEX_GROSS_DVDS",DataStart,DataEnd,"Per=M","Days=A","Fill=P","Currency="&amp;FxCurrency)</f>
        <v/>
      </c>
      <c r="CRE4" s="9">
        <f>BDH(CRE$1,"TOT_RETURN_INDEX_GROSS_DVDS",DataStart,DataEnd,"Per=M","Days=A","Fill=P","Currency="&amp;FxCurrency)</f>
        <v/>
      </c>
      <c r="CRG4" s="9">
        <f>BDH(CRG$1,"TOT_RETURN_INDEX_GROSS_DVDS",DataStart,DataEnd,"Per=M","Days=A","Fill=P","Currency="&amp;FxCurrency)</f>
        <v/>
      </c>
      <c r="CRI4" s="9">
        <f>BDH(CRI$1,"TOT_RETURN_INDEX_GROSS_DVDS",DataStart,DataEnd,"Per=M","Days=A","Fill=P","Currency="&amp;FxCurrency)</f>
        <v/>
      </c>
      <c r="CRK4" s="9">
        <f>BDH(CRK$1,"TOT_RETURN_INDEX_GROSS_DVDS",DataStart,DataEnd,"Per=M","Days=A","Fill=P","Currency="&amp;FxCurrency)</f>
        <v/>
      </c>
      <c r="CRM4" s="9">
        <f>BDH(CRM$1,"TOT_RETURN_INDEX_GROSS_DVDS",DataStart,DataEnd,"Per=M","Days=A","Fill=P","Currency="&amp;FxCurrency)</f>
        <v/>
      </c>
      <c r="CRO4" s="9">
        <f>BDH(CRO$1,"TOT_RETURN_INDEX_GROSS_DVDS",DataStart,DataEnd,"Per=M","Days=A","Fill=P","Currency="&amp;FxCurrency)</f>
        <v/>
      </c>
      <c r="CRQ4" s="9">
        <f>BDH(CRQ$1,"TOT_RETURN_INDEX_GROSS_DVDS",DataStart,DataEnd,"Per=M","Days=A","Fill=P","Currency="&amp;FxCurrency)</f>
        <v/>
      </c>
      <c r="CRS4" s="9">
        <f>BDH(CRS$1,"TOT_RETURN_INDEX_GROSS_DVDS",DataStart,DataEnd,"Per=M","Days=A","Fill=P","Currency="&amp;FxCurrency)</f>
        <v/>
      </c>
      <c r="CRU4" s="9">
        <f>BDH(CRU$1,"TOT_RETURN_INDEX_GROSS_DVDS",DataStart,DataEnd,"Per=M","Days=A","Fill=P","Currency="&amp;FxCurrency)</f>
        <v/>
      </c>
      <c r="CRW4" s="9">
        <f>BDH(CRW$1,"TOT_RETURN_INDEX_GROSS_DVDS",DataStart,DataEnd,"Per=M","Days=A","Fill=P","Currency="&amp;FxCurrency)</f>
        <v/>
      </c>
      <c r="CRY4" s="9">
        <f>BDH(CRY$1,"TOT_RETURN_INDEX_GROSS_DVDS",DataStart,DataEnd,"Per=M","Days=A","Fill=P","Currency="&amp;FxCurrency)</f>
        <v/>
      </c>
      <c r="CSA4" s="9">
        <f>BDH(CSA$1,"TOT_RETURN_INDEX_GROSS_DVDS",DataStart,DataEnd,"Per=M","Days=A","Fill=P","Currency="&amp;FxCurrency)</f>
        <v/>
      </c>
      <c r="CSC4" s="9">
        <f>BDH(CSC$1,"TOT_RETURN_INDEX_GROSS_DVDS",DataStart,DataEnd,"Per=M","Days=A","Fill=P","Currency="&amp;FxCurrency)</f>
        <v/>
      </c>
      <c r="CSE4" s="9">
        <f>BDH(CSE$1,"TOT_RETURN_INDEX_GROSS_DVDS",DataStart,DataEnd,"Per=M","Days=A","Fill=P","Currency="&amp;FxCurrency)</f>
        <v/>
      </c>
      <c r="CSG4" s="9">
        <f>BDH(CSG$1,"TOT_RETURN_INDEX_GROSS_DVDS",DataStart,DataEnd,"Per=M","Days=A","Fill=P","Currency="&amp;FxCurrency)</f>
        <v/>
      </c>
      <c r="CSI4" s="9">
        <f>BDH(CSI$1,"TOT_RETURN_INDEX_GROSS_DVDS",DataStart,DataEnd,"Per=M","Days=A","Fill=P","Currency="&amp;FxCurrency)</f>
        <v/>
      </c>
      <c r="CSK4" s="9">
        <f>BDH(CSK$1,"TOT_RETURN_INDEX_GROSS_DVDS",DataStart,DataEnd,"Per=M","Days=A","Fill=P","Currency="&amp;FxCurrency)</f>
        <v/>
      </c>
      <c r="CSM4" s="9">
        <f>BDH(CSM$1,"TOT_RETURN_INDEX_GROSS_DVDS",DataStart,DataEnd,"Per=M","Days=A","Fill=P","Currency="&amp;FxCurrency)</f>
        <v/>
      </c>
      <c r="CSO4" s="9">
        <f>BDH(CSO$1,"TOT_RETURN_INDEX_GROSS_DVDS",DataStart,DataEnd,"Per=M","Days=A","Fill=P","Currency="&amp;FxCurrency)</f>
        <v/>
      </c>
      <c r="CSQ4" s="9">
        <f>BDH(CSQ$1,"TOT_RETURN_INDEX_GROSS_DVDS",DataStart,DataEnd,"Per=M","Days=A","Fill=P","Currency="&amp;FxCurrency)</f>
        <v/>
      </c>
      <c r="CSS4" s="9">
        <f>BDH(CSS$1,"TOT_RETURN_INDEX_GROSS_DVDS",DataStart,DataEnd,"Per=M","Days=A","Fill=P","Currency="&amp;FxCurrency)</f>
        <v/>
      </c>
      <c r="CSU4" s="9">
        <f>BDH(CSU$1,"TOT_RETURN_INDEX_GROSS_DVDS",DataStart,DataEnd,"Per=M","Days=A","Fill=P","Currency="&amp;FxCurrency)</f>
        <v/>
      </c>
      <c r="CSW4" s="9">
        <f>BDH(CSW$1,"TOT_RETURN_INDEX_GROSS_DVDS",DataStart,DataEnd,"Per=M","Days=A","Fill=P","Currency="&amp;FxCurrency)</f>
        <v/>
      </c>
      <c r="CSY4" s="9">
        <f>BDH(CSY$1,"TOT_RETURN_INDEX_GROSS_DVDS",DataStart,DataEnd,"Per=M","Days=A","Fill=P","Currency="&amp;FxCurrency)</f>
        <v/>
      </c>
      <c r="CTA4" s="9">
        <f>BDH(CTA$1,"TOT_RETURN_INDEX_GROSS_DVDS",DataStart,DataEnd,"Per=M","Days=A","Fill=P","Currency="&amp;FxCurrency)</f>
        <v/>
      </c>
      <c r="CTC4" s="9">
        <f>BDH(CTC$1,"TOT_RETURN_INDEX_GROSS_DVDS",DataStart,DataEnd,"Per=M","Days=A","Fill=P","Currency="&amp;FxCurrency)</f>
        <v/>
      </c>
      <c r="CTE4" s="9">
        <f>BDH(CTE$1,"TOT_RETURN_INDEX_GROSS_DVDS",DataStart,DataEnd,"Per=M","Days=A","Fill=P","Currency="&amp;FxCurrency)</f>
        <v/>
      </c>
      <c r="CTG4" s="9">
        <f>BDH(CTG$1,"TOT_RETURN_INDEX_GROSS_DVDS",DataStart,DataEnd,"Per=M","Days=A","Fill=P","Currency="&amp;FxCurrency)</f>
        <v/>
      </c>
      <c r="CTI4" s="9">
        <f>BDH(CTI$1,"TOT_RETURN_INDEX_GROSS_DVDS",DataStart,DataEnd,"Per=M","Days=A","Fill=P","Currency="&amp;FxCurrency)</f>
        <v/>
      </c>
      <c r="CTK4" s="9">
        <f>BDH(CTK$1,"TOT_RETURN_INDEX_GROSS_DVDS",DataStart,DataEnd,"Per=M","Days=A","Fill=P","Currency="&amp;FxCurrency)</f>
        <v/>
      </c>
      <c r="CTM4" s="9">
        <f>BDH(CTM$1,"TOT_RETURN_INDEX_GROSS_DVDS",DataStart,DataEnd,"Per=M","Days=A","Fill=P","Currency="&amp;FxCurrency)</f>
        <v/>
      </c>
      <c r="CTO4" s="9">
        <f>BDH(CTO$1,"TOT_RETURN_INDEX_GROSS_DVDS",DataStart,DataEnd,"Per=M","Days=A","Fill=P","Currency="&amp;FxCurrency)</f>
        <v/>
      </c>
      <c r="CTQ4" s="9">
        <f>BDH(CTQ$1,"TOT_RETURN_INDEX_GROSS_DVDS",DataStart,DataEnd,"Per=M","Days=A","Fill=P","Currency="&amp;FxCurrency)</f>
        <v/>
      </c>
      <c r="CTS4" s="9">
        <f>BDH(CTS$1,"TOT_RETURN_INDEX_GROSS_DVDS",DataStart,DataEnd,"Per=M","Days=A","Fill=P","Currency="&amp;FxCurrency)</f>
        <v/>
      </c>
      <c r="CTU4" s="9">
        <f>BDH(CTU$1,"TOT_RETURN_INDEX_GROSS_DVDS",DataStart,DataEnd,"Per=M","Days=A","Fill=P","Currency="&amp;FxCurrency)</f>
        <v/>
      </c>
      <c r="CTW4" s="9">
        <f>BDH(CTW$1,"TOT_RETURN_INDEX_GROSS_DVDS",DataStart,DataEnd,"Per=M","Days=A","Fill=P","Currency="&amp;FxCurrency)</f>
        <v/>
      </c>
      <c r="CTY4" s="9">
        <f>BDH(CTY$1,"TOT_RETURN_INDEX_GROSS_DVDS",DataStart,DataEnd,"Per=M","Days=A","Fill=P","Currency="&amp;FxCurrency)</f>
        <v/>
      </c>
      <c r="CUA4" s="9">
        <f>BDH(CUA$1,"TOT_RETURN_INDEX_GROSS_DVDS",DataStart,DataEnd,"Per=M","Days=A","Fill=P","Currency="&amp;FxCurrency)</f>
        <v/>
      </c>
      <c r="CUC4" s="9">
        <f>BDH(CUC$1,"TOT_RETURN_INDEX_GROSS_DVDS",DataStart,DataEnd,"Per=M","Days=A","Fill=P","Currency="&amp;FxCurrency)</f>
        <v/>
      </c>
      <c r="CUE4" s="9">
        <f>BDH(CUE$1,"TOT_RETURN_INDEX_GROSS_DVDS",DataStart,DataEnd,"Per=M","Days=A","Fill=P","Currency="&amp;FxCurrency)</f>
        <v/>
      </c>
      <c r="CUG4" s="9">
        <f>BDH(CUG$1,"TOT_RETURN_INDEX_GROSS_DVDS",DataStart,DataEnd,"Per=M","Days=A","Fill=P","Currency="&amp;FxCurrency)</f>
        <v/>
      </c>
      <c r="CUI4" s="9">
        <f>BDH(CUI$1,"TOT_RETURN_INDEX_GROSS_DVDS",DataStart,DataEnd,"Per=M","Days=A","Fill=P","Currency="&amp;FxCurrency)</f>
        <v/>
      </c>
      <c r="CUK4" s="9">
        <f>BDH(CUK$1,"TOT_RETURN_INDEX_GROSS_DVDS",DataStart,DataEnd,"Per=M","Days=A","Fill=P","Currency="&amp;FxCurrency)</f>
        <v/>
      </c>
      <c r="CUM4" s="9">
        <f>BDH(CUM$1,"TOT_RETURN_INDEX_GROSS_DVDS",DataStart,DataEnd,"Per=M","Days=A","Fill=P","Currency="&amp;FxCurrency)</f>
        <v/>
      </c>
      <c r="CUO4" s="9">
        <f>BDH(CUO$1,"TOT_RETURN_INDEX_GROSS_DVDS",DataStart,DataEnd,"Per=M","Days=A","Fill=P","Currency="&amp;FxCurrency)</f>
        <v/>
      </c>
      <c r="CUQ4" s="9">
        <f>BDH(CUQ$1,"TOT_RETURN_INDEX_GROSS_DVDS",DataStart,DataEnd,"Per=M","Days=A","Fill=P","Currency="&amp;FxCurrency)</f>
        <v/>
      </c>
      <c r="CUS4" s="9">
        <f>BDH(CUS$1,"TOT_RETURN_INDEX_GROSS_DVDS",DataStart,DataEnd,"Per=M","Days=A","Fill=P","Currency="&amp;FxCurrency)</f>
        <v/>
      </c>
      <c r="CUU4" s="9">
        <f>BDH(CUU$1,"TOT_RETURN_INDEX_GROSS_DVDS",DataStart,DataEnd,"Per=M","Days=A","Fill=P","Currency="&amp;FxCurrency)</f>
        <v/>
      </c>
      <c r="CUW4" s="9">
        <f>BDH(CUW$1,"TOT_RETURN_INDEX_GROSS_DVDS",DataStart,DataEnd,"Per=M","Days=A","Fill=P","Currency="&amp;FxCurrency)</f>
        <v/>
      </c>
      <c r="CUY4" s="9">
        <f>BDH(CUY$1,"TOT_RETURN_INDEX_GROSS_DVDS",DataStart,DataEnd,"Per=M","Days=A","Fill=P","Currency="&amp;FxCurrency)</f>
        <v/>
      </c>
      <c r="CVA4" s="9">
        <f>BDH(CVA$1,"TOT_RETURN_INDEX_GROSS_DVDS",DataStart,DataEnd,"Per=M","Days=A","Fill=P","Currency="&amp;FxCurrency)</f>
        <v/>
      </c>
      <c r="CVC4" s="9">
        <f>BDH(CVC$1,"TOT_RETURN_INDEX_GROSS_DVDS",DataStart,DataEnd,"Per=M","Days=A","Fill=P","Currency="&amp;FxCurrency)</f>
        <v/>
      </c>
      <c r="CVE4" s="9">
        <f>BDH(CVE$1,"TOT_RETURN_INDEX_GROSS_DVDS",DataStart,DataEnd,"Per=M","Days=A","Fill=P","Currency="&amp;FxCurrency)</f>
        <v/>
      </c>
      <c r="CVG4" s="9">
        <f>BDH(CVG$1,"TOT_RETURN_INDEX_GROSS_DVDS",DataStart,DataEnd,"Per=M","Days=A","Fill=P","Currency="&amp;FxCurrency)</f>
        <v/>
      </c>
      <c r="CVI4" s="9">
        <f>BDH(CVI$1,"TOT_RETURN_INDEX_GROSS_DVDS",DataStart,DataEnd,"Per=M","Days=A","Fill=P","Currency="&amp;FxCurrency)</f>
        <v/>
      </c>
      <c r="CVK4" s="9">
        <f>BDH(CVK$1,"TOT_RETURN_INDEX_GROSS_DVDS",DataStart,DataEnd,"Per=M","Days=A","Fill=P","Currency="&amp;FxCurrency)</f>
        <v/>
      </c>
      <c r="CVM4" s="9">
        <f>BDH(CVM$1,"TOT_RETURN_INDEX_GROSS_DVDS",DataStart,DataEnd,"Per=M","Days=A","Fill=P","Currency="&amp;FxCurrency)</f>
        <v/>
      </c>
      <c r="CVO4" s="9">
        <f>BDH(CVO$1,"TOT_RETURN_INDEX_GROSS_DVDS",DataStart,DataEnd,"Per=M","Days=A","Fill=P","Currency="&amp;FxCurrency)</f>
        <v/>
      </c>
      <c r="CVQ4" s="9">
        <f>BDH(CVQ$1,"TOT_RETURN_INDEX_GROSS_DVDS",DataStart,DataEnd,"Per=M","Days=A","Fill=P","Currency="&amp;FxCurrency)</f>
        <v/>
      </c>
      <c r="CVS4" s="9">
        <f>BDH(CVS$1,"TOT_RETURN_INDEX_GROSS_DVDS",DataStart,DataEnd,"Per=M","Days=A","Fill=P","Currency="&amp;FxCurrency)</f>
        <v/>
      </c>
      <c r="CVU4" s="9">
        <f>BDH(CVU$1,"TOT_RETURN_INDEX_GROSS_DVDS",DataStart,DataEnd,"Per=M","Days=A","Fill=P","Currency="&amp;FxCurrency)</f>
        <v/>
      </c>
      <c r="CVW4" s="9">
        <f>BDH(CVW$1,"TOT_RETURN_INDEX_GROSS_DVDS",DataStart,DataEnd,"Per=M","Days=A","Fill=P","Currency="&amp;FxCurrency)</f>
        <v/>
      </c>
      <c r="CVY4" s="9">
        <f>BDH(CVY$1,"TOT_RETURN_INDEX_GROSS_DVDS",DataStart,DataEnd,"Per=M","Days=A","Fill=P","Currency="&amp;FxCurrency)</f>
        <v/>
      </c>
      <c r="CWA4" s="9">
        <f>BDH(CWA$1,"TOT_RETURN_INDEX_GROSS_DVDS",DataStart,DataEnd,"Per=M","Days=A","Fill=P","Currency="&amp;FxCurrency)</f>
        <v/>
      </c>
      <c r="CWC4" s="9">
        <f>BDH(CWC$1,"TOT_RETURN_INDEX_GROSS_DVDS",DataStart,DataEnd,"Per=M","Days=A","Fill=P","Currency="&amp;FxCurrency)</f>
        <v/>
      </c>
      <c r="CWE4" s="9">
        <f>BDH(CWE$1,"TOT_RETURN_INDEX_GROSS_DVDS",DataStart,DataEnd,"Per=M","Days=A","Fill=P","Currency="&amp;FxCurrency)</f>
        <v/>
      </c>
      <c r="CWG4" s="9">
        <f>BDH(CWG$1,"TOT_RETURN_INDEX_GROSS_DVDS",DataStart,DataEnd,"Per=M","Days=A","Fill=P","Currency="&amp;FxCurrency)</f>
        <v/>
      </c>
      <c r="CWI4" s="9">
        <f>BDH(CWI$1,"TOT_RETURN_INDEX_GROSS_DVDS",DataStart,DataEnd,"Per=M","Days=A","Fill=P","Currency="&amp;FxCurrency)</f>
        <v/>
      </c>
      <c r="CWK4" s="9">
        <f>BDH(CWK$1,"TOT_RETURN_INDEX_GROSS_DVDS",DataStart,DataEnd,"Per=M","Days=A","Fill=P","Currency="&amp;FxCurrency)</f>
        <v/>
      </c>
      <c r="CWM4" s="9">
        <f>BDH(CWM$1,"TOT_RETURN_INDEX_GROSS_DVDS",DataStart,DataEnd,"Per=M","Days=A","Fill=P","Currency="&amp;FxCurrency)</f>
        <v/>
      </c>
      <c r="CWO4" s="9">
        <f>BDH(CWO$1,"TOT_RETURN_INDEX_GROSS_DVDS",DataStart,DataEnd,"Per=M","Days=A","Fill=P","Currency="&amp;FxCurrency)</f>
        <v/>
      </c>
      <c r="CWQ4" s="9">
        <f>BDH(CWQ$1,"TOT_RETURN_INDEX_GROSS_DVDS",DataStart,DataEnd,"Per=M","Days=A","Fill=P","Currency="&amp;FxCurrency)</f>
        <v/>
      </c>
      <c r="CWS4" s="9">
        <f>BDH(CWS$1,"TOT_RETURN_INDEX_GROSS_DVDS",DataStart,DataEnd,"Per=M","Days=A","Fill=P","Currency="&amp;FxCurrency)</f>
        <v/>
      </c>
      <c r="CWU4" s="9">
        <f>BDH(CWU$1,"TOT_RETURN_INDEX_GROSS_DVDS",DataStart,DataEnd,"Per=M","Days=A","Fill=P","Currency="&amp;FxCurrency)</f>
        <v/>
      </c>
      <c r="CWW4" s="9">
        <f>BDH(CWW$1,"TOT_RETURN_INDEX_GROSS_DVDS",DataStart,DataEnd,"Per=M","Days=A","Fill=P","Currency="&amp;FxCurrency)</f>
        <v/>
      </c>
      <c r="CWY4" s="9">
        <f>BDH(CWY$1,"TOT_RETURN_INDEX_GROSS_DVDS",DataStart,DataEnd,"Per=M","Days=A","Fill=P","Currency="&amp;FxCurrency)</f>
        <v/>
      </c>
      <c r="CXA4" s="9">
        <f>BDH(CXA$1,"TOT_RETURN_INDEX_GROSS_DVDS",DataStart,DataEnd,"Per=M","Days=A","Fill=P","Currency="&amp;FxCurrency)</f>
        <v/>
      </c>
      <c r="CXC4" s="9">
        <f>BDH(CXC$1,"TOT_RETURN_INDEX_GROSS_DVDS",DataStart,DataEnd,"Per=M","Days=A","Fill=P","Currency="&amp;FxCurrency)</f>
        <v/>
      </c>
      <c r="CXE4" s="9">
        <f>BDH(CXE$1,"TOT_RETURN_INDEX_GROSS_DVDS",DataStart,DataEnd,"Per=M","Days=A","Fill=P","Currency="&amp;FxCurrency)</f>
        <v/>
      </c>
      <c r="CXG4" s="9">
        <f>BDH(CXG$1,"TOT_RETURN_INDEX_GROSS_DVDS",DataStart,DataEnd,"Per=M","Days=A","Fill=P","Currency="&amp;FxCurrency)</f>
        <v/>
      </c>
      <c r="CXI4" s="9">
        <f>BDH(CXI$1,"TOT_RETURN_INDEX_GROSS_DVDS",DataStart,DataEnd,"Per=M","Days=A","Fill=P","Currency="&amp;FxCurrency)</f>
        <v/>
      </c>
      <c r="CXK4" s="9">
        <f>BDH(CXK$1,"TOT_RETURN_INDEX_GROSS_DVDS",DataStart,DataEnd,"Per=M","Days=A","Fill=P","Currency="&amp;FxCurrency)</f>
        <v/>
      </c>
      <c r="CXM4" s="9">
        <f>BDH(CXM$1,"TOT_RETURN_INDEX_GROSS_DVDS",DataStart,DataEnd,"Per=M","Days=A","Fill=P","Currency="&amp;FxCurrency)</f>
        <v/>
      </c>
      <c r="CXO4" s="9">
        <f>BDH(CXO$1,"TOT_RETURN_INDEX_GROSS_DVDS",DataStart,DataEnd,"Per=M","Days=A","Fill=P","Currency="&amp;FxCurrency)</f>
        <v/>
      </c>
      <c r="CXQ4" s="9">
        <f>BDH(CXQ$1,"TOT_RETURN_INDEX_GROSS_DVDS",DataStart,DataEnd,"Per=M","Days=A","Fill=P","Currency="&amp;FxCurrency)</f>
        <v/>
      </c>
      <c r="CXS4" s="9">
        <f>BDH(CXS$1,"TOT_RETURN_INDEX_GROSS_DVDS",DataStart,DataEnd,"Per=M","Days=A","Fill=P","Currency="&amp;FxCurrency)</f>
        <v/>
      </c>
      <c r="CXU4" s="9">
        <f>BDH(CXU$1,"TOT_RETURN_INDEX_GROSS_DVDS",DataStart,DataEnd,"Per=M","Days=A","Fill=P","Currency="&amp;FxCurrency)</f>
        <v/>
      </c>
      <c r="CXW4" s="9">
        <f>BDH(CXW$1,"TOT_RETURN_INDEX_GROSS_DVDS",DataStart,DataEnd,"Per=M","Days=A","Fill=P","Currency="&amp;FxCurrency)</f>
        <v/>
      </c>
      <c r="CXY4" s="9">
        <f>BDH(CXY$1,"TOT_RETURN_INDEX_GROSS_DVDS",DataStart,DataEnd,"Per=M","Days=A","Fill=P","Currency="&amp;FxCurrency)</f>
        <v/>
      </c>
      <c r="CYA4" s="9">
        <f>BDH(CYA$1,"TOT_RETURN_INDEX_GROSS_DVDS",DataStart,DataEnd,"Per=M","Days=A","Fill=P","Currency="&amp;FxCurrency)</f>
        <v/>
      </c>
      <c r="CYC4" s="9">
        <f>BDH(CYC$1,"TOT_RETURN_INDEX_GROSS_DVDS",DataStart,DataEnd,"Per=M","Days=A","Fill=P","Currency="&amp;FxCurrency)</f>
        <v/>
      </c>
      <c r="CYE4" s="9">
        <f>BDH(CYE$1,"TOT_RETURN_INDEX_GROSS_DVDS",DataStart,DataEnd,"Per=M","Days=A","Fill=P","Currency="&amp;FxCurrency)</f>
        <v/>
      </c>
      <c r="CYG4" s="9">
        <f>BDH(CYG$1,"TOT_RETURN_INDEX_GROSS_DVDS",DataStart,DataEnd,"Per=M","Days=A","Fill=P","Currency="&amp;FxCurrency)</f>
        <v/>
      </c>
      <c r="CYI4" s="9">
        <f>BDH(CYI$1,"TOT_RETURN_INDEX_GROSS_DVDS",DataStart,DataEnd,"Per=M","Days=A","Fill=P","Currency="&amp;FxCurrency)</f>
        <v/>
      </c>
      <c r="CYK4" s="9">
        <f>BDH(CYK$1,"TOT_RETURN_INDEX_GROSS_DVDS",DataStart,DataEnd,"Per=M","Days=A","Fill=P","Currency="&amp;FxCurrency)</f>
        <v/>
      </c>
      <c r="CYM4" s="9">
        <f>BDH(CYM$1,"TOT_RETURN_INDEX_GROSS_DVDS",DataStart,DataEnd,"Per=M","Days=A","Fill=P","Currency="&amp;FxCurrency)</f>
        <v/>
      </c>
      <c r="CYO4" s="9">
        <f>BDH(CYO$1,"TOT_RETURN_INDEX_GROSS_DVDS",DataStart,DataEnd,"Per=M","Days=A","Fill=P","Currency="&amp;FxCurrency)</f>
        <v/>
      </c>
      <c r="CYQ4" s="9">
        <f>BDH(CYQ$1,"TOT_RETURN_INDEX_GROSS_DVDS",DataStart,DataEnd,"Per=M","Days=A","Fill=P","Currency="&amp;FxCurrency)</f>
        <v/>
      </c>
      <c r="CYS4" s="9">
        <f>BDH(CYS$1,"TOT_RETURN_INDEX_GROSS_DVDS",DataStart,DataEnd,"Per=M","Days=A","Fill=P","Currency="&amp;FxCurrency)</f>
        <v/>
      </c>
      <c r="CYU4" s="9">
        <f>BDH(CYU$1,"TOT_RETURN_INDEX_GROSS_DVDS",DataStart,DataEnd,"Per=M","Days=A","Fill=P","Currency="&amp;FxCurrency)</f>
        <v/>
      </c>
      <c r="CYW4" s="9">
        <f>BDH(CYW$1,"TOT_RETURN_INDEX_GROSS_DVDS",DataStart,DataEnd,"Per=M","Days=A","Fill=P","Currency="&amp;FxCurrency)</f>
        <v/>
      </c>
      <c r="CYY4" s="9">
        <f>BDH(CYY$1,"TOT_RETURN_INDEX_GROSS_DVDS",DataStart,DataEnd,"Per=M","Days=A","Fill=P","Currency="&amp;FxCurrency)</f>
        <v/>
      </c>
      <c r="CZA4" s="9">
        <f>BDH(CZA$1,"TOT_RETURN_INDEX_GROSS_DVDS",DataStart,DataEnd,"Per=M","Days=A","Fill=P","Currency="&amp;FxCurrency)</f>
        <v/>
      </c>
      <c r="CZC4" s="9">
        <f>BDH(CZC$1,"TOT_RETURN_INDEX_GROSS_DVDS",DataStart,DataEnd,"Per=M","Days=A","Fill=P","Currency="&amp;FxCurrency)</f>
        <v/>
      </c>
      <c r="CZE4" s="9">
        <f>BDH(CZE$1,"TOT_RETURN_INDEX_GROSS_DVDS",DataStart,DataEnd,"Per=M","Days=A","Fill=P","Currency="&amp;FxCurrency)</f>
        <v/>
      </c>
      <c r="CZG4" s="9">
        <f>BDH(CZG$1,"TOT_RETURN_INDEX_GROSS_DVDS",DataStart,DataEnd,"Per=M","Days=A","Fill=P","Currency="&amp;FxCurrency)</f>
        <v/>
      </c>
      <c r="CZI4" s="9">
        <f>BDH(CZI$1,"TOT_RETURN_INDEX_GROSS_DVDS",DataStart,DataEnd,"Per=M","Days=A","Fill=P","Currency="&amp;FxCurrency)</f>
        <v/>
      </c>
      <c r="CZK4" s="9">
        <f>BDH(CZK$1,"TOT_RETURN_INDEX_GROSS_DVDS",DataStart,DataEnd,"Per=M","Days=A","Fill=P","Currency="&amp;FxCurrency)</f>
        <v/>
      </c>
      <c r="CZM4" s="9">
        <f>BDH(CZM$1,"TOT_RETURN_INDEX_GROSS_DVDS",DataStart,DataEnd,"Per=M","Days=A","Fill=P","Currency="&amp;FxCurrency)</f>
        <v/>
      </c>
      <c r="CZO4" s="9">
        <f>BDH(CZO$1,"TOT_RETURN_INDEX_GROSS_DVDS",DataStart,DataEnd,"Per=M","Days=A","Fill=P","Currency="&amp;FxCurrency)</f>
        <v/>
      </c>
      <c r="CZQ4" s="9">
        <f>BDH(CZQ$1,"TOT_RETURN_INDEX_GROSS_DVDS",DataStart,DataEnd,"Per=M","Days=A","Fill=P","Currency="&amp;FxCurrency)</f>
        <v/>
      </c>
      <c r="CZS4" s="9">
        <f>BDH(CZS$1,"TOT_RETURN_INDEX_GROSS_DVDS",DataStart,DataEnd,"Per=M","Days=A","Fill=P","Currency="&amp;FxCurrency)</f>
        <v/>
      </c>
      <c r="CZU4" s="9">
        <f>BDH(CZU$1,"TOT_RETURN_INDEX_GROSS_DVDS",DataStart,DataEnd,"Per=M","Days=A","Fill=P","Currency="&amp;FxCurrency)</f>
        <v/>
      </c>
      <c r="CZW4" s="9">
        <f>BDH(CZW$1,"TOT_RETURN_INDEX_GROSS_DVDS",DataStart,DataEnd,"Per=M","Days=A","Fill=P","Currency="&amp;FxCurrency)</f>
        <v/>
      </c>
      <c r="CZY4" s="9">
        <f>BDH(CZY$1,"TOT_RETURN_INDEX_GROSS_DVDS",DataStart,DataEnd,"Per=M","Days=A","Fill=P","Currency="&amp;FxCurrency)</f>
        <v/>
      </c>
      <c r="DAA4" s="9">
        <f>BDH(DAA$1,"TOT_RETURN_INDEX_GROSS_DVDS",DataStart,DataEnd,"Per=M","Days=A","Fill=P","Currency="&amp;FxCurrency)</f>
        <v/>
      </c>
      <c r="DAC4" s="9">
        <f>BDH(DAC$1,"TOT_RETURN_INDEX_GROSS_DVDS",DataStart,DataEnd,"Per=M","Days=A","Fill=P","Currency="&amp;FxCurrency)</f>
        <v/>
      </c>
      <c r="DAE4" s="9">
        <f>BDH(DAE$1,"TOT_RETURN_INDEX_GROSS_DVDS",DataStart,DataEnd,"Per=M","Days=A","Fill=P","Currency="&amp;FxCurrency)</f>
        <v/>
      </c>
      <c r="DAG4" s="9">
        <f>BDH(DAG$1,"TOT_RETURN_INDEX_GROSS_DVDS",DataStart,DataEnd,"Per=M","Days=A","Fill=P","Currency="&amp;FxCurrency)</f>
        <v/>
      </c>
      <c r="DAI4" s="9">
        <f>BDH(DAI$1,"TOT_RETURN_INDEX_GROSS_DVDS",DataStart,DataEnd,"Per=M","Days=A","Fill=P","Currency="&amp;FxCurrency)</f>
        <v/>
      </c>
      <c r="DAK4" s="9">
        <f>BDH(DAK$1,"TOT_RETURN_INDEX_GROSS_DVDS",DataStart,DataEnd,"Per=M","Days=A","Fill=P","Currency="&amp;FxCurrency)</f>
        <v/>
      </c>
      <c r="DAM4" s="9">
        <f>BDH(DAM$1,"TOT_RETURN_INDEX_GROSS_DVDS",DataStart,DataEnd,"Per=M","Days=A","Fill=P","Currency="&amp;FxCurrency)</f>
        <v/>
      </c>
      <c r="DAO4" s="9">
        <f>BDH(DAO$1,"TOT_RETURN_INDEX_GROSS_DVDS",DataStart,DataEnd,"Per=M","Days=A","Fill=P","Currency="&amp;FxCurrency)</f>
        <v/>
      </c>
      <c r="DAQ4" s="9">
        <f>BDH(DAQ$1,"TOT_RETURN_INDEX_GROSS_DVDS",DataStart,DataEnd,"Per=M","Days=A","Fill=P","Currency="&amp;FxCurrency)</f>
        <v/>
      </c>
      <c r="DAS4" s="9">
        <f>BDH(DAS$1,"TOT_RETURN_INDEX_GROSS_DVDS",DataStart,DataEnd,"Per=M","Days=A","Fill=P","Currency="&amp;FxCurrency)</f>
        <v/>
      </c>
      <c r="DAU4" s="9">
        <f>BDH(DAU$1,"TOT_RETURN_INDEX_GROSS_DVDS",DataStart,DataEnd,"Per=M","Days=A","Fill=P","Currency="&amp;FxCurrency)</f>
        <v/>
      </c>
      <c r="DAW4" s="9">
        <f>BDH(DAW$1,"TOT_RETURN_INDEX_GROSS_DVDS",DataStart,DataEnd,"Per=M","Days=A","Fill=P","Currency="&amp;FxCurrency)</f>
        <v/>
      </c>
      <c r="DAY4" s="9">
        <f>BDH(DAY$1,"TOT_RETURN_INDEX_GROSS_DVDS",DataStart,DataEnd,"Per=M","Days=A","Fill=P","Currency="&amp;FxCurrency)</f>
        <v/>
      </c>
      <c r="DBA4" s="9">
        <f>BDH(DBA$1,"TOT_RETURN_INDEX_GROSS_DVDS",DataStart,DataEnd,"Per=M","Days=A","Fill=P","Currency="&amp;FxCurrency)</f>
        <v/>
      </c>
      <c r="DBC4" s="9">
        <f>BDH(DBC$1,"TOT_RETURN_INDEX_GROSS_DVDS",DataStart,DataEnd,"Per=M","Days=A","Fill=P","Currency="&amp;FxCurrency)</f>
        <v/>
      </c>
      <c r="DBE4" s="9">
        <f>BDH(DBE$1,"TOT_RETURN_INDEX_GROSS_DVDS",DataStart,DataEnd,"Per=M","Days=A","Fill=P","Currency="&amp;FxCurrency)</f>
        <v/>
      </c>
      <c r="DBG4" s="9">
        <f>BDH(DBG$1,"TOT_RETURN_INDEX_GROSS_DVDS",DataStart,DataEnd,"Per=M","Days=A","Fill=P","Currency="&amp;FxCurrency)</f>
        <v/>
      </c>
      <c r="DBI4" s="9">
        <f>BDH(DBI$1,"TOT_RETURN_INDEX_GROSS_DVDS",DataStart,DataEnd,"Per=M","Days=A","Fill=P","Currency="&amp;FxCurrency)</f>
        <v/>
      </c>
      <c r="DBK4" s="9">
        <f>BDH(DBK$1,"TOT_RETURN_INDEX_GROSS_DVDS",DataStart,DataEnd,"Per=M","Days=A","Fill=P","Currency="&amp;FxCurrency)</f>
        <v/>
      </c>
      <c r="DBM4" s="9">
        <f>BDH(DBM$1,"TOT_RETURN_INDEX_GROSS_DVDS",DataStart,DataEnd,"Per=M","Days=A","Fill=P","Currency="&amp;FxCurrency)</f>
        <v/>
      </c>
      <c r="DBO4" s="9">
        <f>BDH(DBO$1,"TOT_RETURN_INDEX_GROSS_DVDS",DataStart,DataEnd,"Per=M","Days=A","Fill=P","Currency="&amp;FxCurrency)</f>
        <v/>
      </c>
      <c r="DBQ4" s="9">
        <f>BDH(DBQ$1,"TOT_RETURN_INDEX_GROSS_DVDS",DataStart,DataEnd,"Per=M","Days=A","Fill=P","Currency="&amp;FxCurrency)</f>
        <v/>
      </c>
      <c r="DBS4" s="9">
        <f>BDH(DBS$1,"TOT_RETURN_INDEX_GROSS_DVDS",DataStart,DataEnd,"Per=M","Days=A","Fill=P","Currency="&amp;FxCurrency)</f>
        <v/>
      </c>
      <c r="DBU4" s="9">
        <f>BDH(DBU$1,"TOT_RETURN_INDEX_GROSS_DVDS",DataStart,DataEnd,"Per=M","Days=A","Fill=P","Currency="&amp;FxCurrency)</f>
        <v/>
      </c>
      <c r="DBW4" s="9">
        <f>BDH(DBW$1,"TOT_RETURN_INDEX_GROSS_DVDS",DataStart,DataEnd,"Per=M","Days=A","Fill=P","Currency="&amp;FxCurrency)</f>
        <v/>
      </c>
      <c r="DBY4" s="9">
        <f>BDH(DBY$1,"TOT_RETURN_INDEX_GROSS_DVDS",DataStart,DataEnd,"Per=M","Days=A","Fill=P","Currency="&amp;FxCurrency)</f>
        <v/>
      </c>
      <c r="DCA4" s="9">
        <f>BDH(DCA$1,"TOT_RETURN_INDEX_GROSS_DVDS",DataStart,DataEnd,"Per=M","Days=A","Fill=P","Currency="&amp;FxCurrency)</f>
        <v/>
      </c>
      <c r="DCC4" s="9">
        <f>BDH(DCC$1,"TOT_RETURN_INDEX_GROSS_DVDS",DataStart,DataEnd,"Per=M","Days=A","Fill=P","Currency="&amp;FxCurrency)</f>
        <v/>
      </c>
      <c r="DCE4" s="9">
        <f>BDH(DCE$1,"TOT_RETURN_INDEX_GROSS_DVDS",DataStart,DataEnd,"Per=M","Days=A","Fill=P","Currency="&amp;FxCurrency)</f>
        <v/>
      </c>
      <c r="DCG4" s="9">
        <f>BDH(DCG$1,"TOT_RETURN_INDEX_GROSS_DVDS",DataStart,DataEnd,"Per=M","Days=A","Fill=P","Currency="&amp;FxCurrency)</f>
        <v/>
      </c>
      <c r="DCI4" s="9">
        <f>BDH(DCI$1,"TOT_RETURN_INDEX_GROSS_DVDS",DataStart,DataEnd,"Per=M","Days=A","Fill=P","Currency="&amp;FxCurrency)</f>
        <v/>
      </c>
      <c r="DCK4" s="9">
        <f>BDH(DCK$1,"TOT_RETURN_INDEX_GROSS_DVDS",DataStart,DataEnd,"Per=M","Days=A","Fill=P","Currency="&amp;FxCurrency)</f>
        <v/>
      </c>
      <c r="DCM4" s="9">
        <f>BDH(DCM$1,"TOT_RETURN_INDEX_GROSS_DVDS",DataStart,DataEnd,"Per=M","Days=A","Fill=P","Currency="&amp;FxCurrency)</f>
        <v/>
      </c>
      <c r="DCO4" s="9">
        <f>BDH(DCO$1,"TOT_RETURN_INDEX_GROSS_DVDS",DataStart,DataEnd,"Per=M","Days=A","Fill=P","Currency="&amp;FxCurrency)</f>
        <v/>
      </c>
      <c r="DCQ4" s="9">
        <f>BDH(DCQ$1,"TOT_RETURN_INDEX_GROSS_DVDS",DataStart,DataEnd,"Per=M","Days=A","Fill=P","Currency="&amp;FxCurrency)</f>
        <v/>
      </c>
      <c r="DCS4" s="9">
        <f>BDH(DCS$1,"TOT_RETURN_INDEX_GROSS_DVDS",DataStart,DataEnd,"Per=M","Days=A","Fill=P","Currency="&amp;FxCurrency)</f>
        <v/>
      </c>
      <c r="DCU4" s="9">
        <f>BDH(DCU$1,"TOT_RETURN_INDEX_GROSS_DVDS",DataStart,DataEnd,"Per=M","Days=A","Fill=P","Currency="&amp;FxCurrency)</f>
        <v/>
      </c>
      <c r="DCW4" s="9">
        <f>BDH(DCW$1,"TOT_RETURN_INDEX_GROSS_DVDS",DataStart,DataEnd,"Per=M","Days=A","Fill=P","Currency="&amp;FxCurrency)</f>
        <v/>
      </c>
      <c r="DCY4" s="9">
        <f>BDH(DCY$1,"TOT_RETURN_INDEX_GROSS_DVDS",DataStart,DataEnd,"Per=M","Days=A","Fill=P","Currency="&amp;FxCurrency)</f>
        <v/>
      </c>
      <c r="DDA4" s="9">
        <f>BDH(DDA$1,"TOT_RETURN_INDEX_GROSS_DVDS",DataStart,DataEnd,"Per=M","Days=A","Fill=P","Currency="&amp;FxCurrency)</f>
        <v/>
      </c>
      <c r="DDC4" s="9">
        <f>BDH(DDC$1,"TOT_RETURN_INDEX_GROSS_DVDS",DataStart,DataEnd,"Per=M","Days=A","Fill=P","Currency="&amp;FxCurrency)</f>
        <v/>
      </c>
      <c r="DDE4" s="9">
        <f>BDH(DDE$1,"TOT_RETURN_INDEX_GROSS_DVDS",DataStart,DataEnd,"Per=M","Days=A","Fill=P","Currency="&amp;FxCurrency)</f>
        <v/>
      </c>
      <c r="DDG4" s="9">
        <f>BDH(DDG$1,"TOT_RETURN_INDEX_GROSS_DVDS",DataStart,DataEnd,"Per=M","Days=A","Fill=P","Currency="&amp;FxCurrency)</f>
        <v/>
      </c>
      <c r="DDI4" s="9">
        <f>BDH(DDI$1,"TOT_RETURN_INDEX_GROSS_DVDS",DataStart,DataEnd,"Per=M","Days=A","Fill=P","Currency="&amp;FxCurrency)</f>
        <v/>
      </c>
      <c r="DDK4" s="9">
        <f>BDH(DDK$1,"TOT_RETURN_INDEX_GROSS_DVDS",DataStart,DataEnd,"Per=M","Days=A","Fill=P","Currency="&amp;FxCurrency)</f>
        <v/>
      </c>
      <c r="DDM4" s="9">
        <f>BDH(DDM$1,"TOT_RETURN_INDEX_GROSS_DVDS",DataStart,DataEnd,"Per=M","Days=A","Fill=P","Currency="&amp;FxCurrency)</f>
        <v/>
      </c>
      <c r="DDO4" s="9">
        <f>BDH(DDO$1,"TOT_RETURN_INDEX_GROSS_DVDS",DataStart,DataEnd,"Per=M","Days=A","Fill=P","Currency="&amp;FxCurrency)</f>
        <v/>
      </c>
      <c r="DDQ4" s="9">
        <f>BDH(DDQ$1,"TOT_RETURN_INDEX_GROSS_DVDS",DataStart,DataEnd,"Per=M","Days=A","Fill=P","Currency="&amp;FxCurrency)</f>
        <v/>
      </c>
      <c r="DDS4" s="9">
        <f>BDH(DDS$1,"TOT_RETURN_INDEX_GROSS_DVDS",DataStart,DataEnd,"Per=M","Days=A","Fill=P","Currency="&amp;FxCurrency)</f>
        <v/>
      </c>
      <c r="DDU4" s="9">
        <f>BDH(DDU$1,"TOT_RETURN_INDEX_GROSS_DVDS",DataStart,DataEnd,"Per=M","Days=A","Fill=P","Currency="&amp;FxCurrency)</f>
        <v/>
      </c>
      <c r="DDW4" s="9">
        <f>BDH(DDW$1,"TOT_RETURN_INDEX_GROSS_DVDS",DataStart,DataEnd,"Per=M","Days=A","Fill=P","Currency="&amp;FxCurrency)</f>
        <v/>
      </c>
      <c r="DDY4" s="9">
        <f>BDH(DDY$1,"TOT_RETURN_INDEX_GROSS_DVDS",DataStart,DataEnd,"Per=M","Days=A","Fill=P","Currency="&amp;FxCurrency)</f>
        <v/>
      </c>
      <c r="DEA4" s="9">
        <f>BDH(DEA$1,"TOT_RETURN_INDEX_GROSS_DVDS",DataStart,DataEnd,"Per=M","Days=A","Fill=P","Currency="&amp;FxCurrency)</f>
        <v/>
      </c>
      <c r="DEC4" s="9">
        <f>BDH(DEC$1,"TOT_RETURN_INDEX_GROSS_DVDS",DataStart,DataEnd,"Per=M","Days=A","Fill=P","Currency="&amp;FxCurrency)</f>
        <v/>
      </c>
      <c r="DEE4" s="9">
        <f>BDH(DEE$1,"TOT_RETURN_INDEX_GROSS_DVDS",DataStart,DataEnd,"Per=M","Days=A","Fill=P","Currency="&amp;FxCurrency)</f>
        <v/>
      </c>
      <c r="DEG4" s="9">
        <f>BDH(DEG$1,"TOT_RETURN_INDEX_GROSS_DVDS",DataStart,DataEnd,"Per=M","Days=A","Fill=P","Currency="&amp;FxCurrency)</f>
        <v/>
      </c>
      <c r="DEI4" s="9">
        <f>BDH(DEI$1,"TOT_RETURN_INDEX_GROSS_DVDS",DataStart,DataEnd,"Per=M","Days=A","Fill=P","Currency="&amp;FxCurrency)</f>
        <v/>
      </c>
      <c r="DEK4" s="9">
        <f>BDH(DEK$1,"TOT_RETURN_INDEX_GROSS_DVDS",DataStart,DataEnd,"Per=M","Days=A","Fill=P","Currency="&amp;FxCurrency)</f>
        <v/>
      </c>
      <c r="DEM4" s="9">
        <f>BDH(DEM$1,"TOT_RETURN_INDEX_GROSS_DVDS",DataStart,DataEnd,"Per=M","Days=A","Fill=P","Currency="&amp;FxCurrency)</f>
        <v/>
      </c>
      <c r="DEO4" s="9">
        <f>BDH(DEO$1,"TOT_RETURN_INDEX_GROSS_DVDS",DataStart,DataEnd,"Per=M","Days=A","Fill=P","Currency="&amp;FxCurrency)</f>
        <v/>
      </c>
      <c r="DEQ4" s="9">
        <f>BDH(DEQ$1,"TOT_RETURN_INDEX_GROSS_DVDS",DataStart,DataEnd,"Per=M","Days=A","Fill=P","Currency="&amp;FxCurrency)</f>
        <v/>
      </c>
      <c r="DES4" s="9">
        <f>BDH(DES$1,"TOT_RETURN_INDEX_GROSS_DVDS",DataStart,DataEnd,"Per=M","Days=A","Fill=P","Currency="&amp;FxCurrency)</f>
        <v/>
      </c>
      <c r="DEU4" s="9">
        <f>BDH(DEU$1,"TOT_RETURN_INDEX_GROSS_DVDS",DataStart,DataEnd,"Per=M","Days=A","Fill=P","Currency="&amp;FxCurrency)</f>
        <v/>
      </c>
      <c r="DEW4" s="9">
        <f>BDH(DEW$1,"TOT_RETURN_INDEX_GROSS_DVDS",DataStart,DataEnd,"Per=M","Days=A","Fill=P","Currency="&amp;FxCurrency)</f>
        <v/>
      </c>
      <c r="DEY4" s="9">
        <f>BDH(DEY$1,"TOT_RETURN_INDEX_GROSS_DVDS",DataStart,DataEnd,"Per=M","Days=A","Fill=P","Currency="&amp;FxCurrency)</f>
        <v/>
      </c>
      <c r="DFA4" s="9">
        <f>BDH(DFA$1,"TOT_RETURN_INDEX_GROSS_DVDS",DataStart,DataEnd,"Per=M","Days=A","Fill=P","Currency="&amp;FxCurrency)</f>
        <v/>
      </c>
      <c r="DFC4" s="9">
        <f>BDH(DFC$1,"TOT_RETURN_INDEX_GROSS_DVDS",DataStart,DataEnd,"Per=M","Days=A","Fill=P","Currency="&amp;FxCurrency)</f>
        <v/>
      </c>
      <c r="DFE4" s="9">
        <f>BDH(DFE$1,"TOT_RETURN_INDEX_GROSS_DVDS",DataStart,DataEnd,"Per=M","Days=A","Fill=P","Currency="&amp;FxCurrency)</f>
        <v/>
      </c>
      <c r="DFG4" s="9">
        <f>BDH(DFG$1,"TOT_RETURN_INDEX_GROSS_DVDS",DataStart,DataEnd,"Per=M","Days=A","Fill=P","Currency="&amp;FxCurrency)</f>
        <v/>
      </c>
      <c r="DFI4" s="9">
        <f>BDH(DFI$1,"TOT_RETURN_INDEX_GROSS_DVDS",DataStart,DataEnd,"Per=M","Days=A","Fill=P","Currency="&amp;FxCurrency)</f>
        <v/>
      </c>
      <c r="DFK4" s="9">
        <f>BDH(DFK$1,"TOT_RETURN_INDEX_GROSS_DVDS",DataStart,DataEnd,"Per=M","Days=A","Fill=P","Currency="&amp;FxCurrency)</f>
        <v/>
      </c>
      <c r="DFM4" s="9">
        <f>BDH(DFM$1,"TOT_RETURN_INDEX_GROSS_DVDS",DataStart,DataEnd,"Per=M","Days=A","Fill=P","Currency="&amp;FxCurrency)</f>
        <v/>
      </c>
      <c r="DFO4" s="9">
        <f>BDH(DFO$1,"TOT_RETURN_INDEX_GROSS_DVDS",DataStart,DataEnd,"Per=M","Days=A","Fill=P","Currency="&amp;FxCurrency)</f>
        <v/>
      </c>
      <c r="DFQ4" s="9">
        <f>BDH(DFQ$1,"TOT_RETURN_INDEX_GROSS_DVDS",DataStart,DataEnd,"Per=M","Days=A","Fill=P","Currency="&amp;FxCurrency)</f>
        <v/>
      </c>
      <c r="DFS4" s="9">
        <f>BDH(DFS$1,"TOT_RETURN_INDEX_GROSS_DVDS",DataStart,DataEnd,"Per=M","Days=A","Fill=P","Currency="&amp;FxCurrency)</f>
        <v/>
      </c>
      <c r="DFU4" s="9">
        <f>BDH(DFU$1,"TOT_RETURN_INDEX_GROSS_DVDS",DataStart,DataEnd,"Per=M","Days=A","Fill=P","Currency="&amp;FxCurrency)</f>
        <v/>
      </c>
      <c r="DFW4" s="9">
        <f>BDH(DFW$1,"TOT_RETURN_INDEX_GROSS_DVDS",DataStart,DataEnd,"Per=M","Days=A","Fill=P","Currency="&amp;FxCurrency)</f>
        <v/>
      </c>
      <c r="DFY4" s="9">
        <f>BDH(DFY$1,"TOT_RETURN_INDEX_GROSS_DVDS",DataStart,DataEnd,"Per=M","Days=A","Fill=P","Currency="&amp;FxCurrency)</f>
        <v/>
      </c>
      <c r="DGA4" s="9">
        <f>BDH(DGA$1,"TOT_RETURN_INDEX_GROSS_DVDS",DataStart,DataEnd,"Per=M","Days=A","Fill=P","Currency="&amp;FxCurrency)</f>
        <v/>
      </c>
      <c r="DGC4" s="9">
        <f>BDH(DGC$1,"TOT_RETURN_INDEX_GROSS_DVDS",DataStart,DataEnd,"Per=M","Days=A","Fill=P","Currency="&amp;FxCurrency)</f>
        <v/>
      </c>
      <c r="DGE4" s="9">
        <f>BDH(DGE$1,"TOT_RETURN_INDEX_GROSS_DVDS",DataStart,DataEnd,"Per=M","Days=A","Fill=P","Currency="&amp;FxCurrency)</f>
        <v/>
      </c>
      <c r="DGG4" s="9">
        <f>BDH(DGG$1,"TOT_RETURN_INDEX_GROSS_DVDS",DataStart,DataEnd,"Per=M","Days=A","Fill=P","Currency="&amp;FxCurrency)</f>
        <v/>
      </c>
      <c r="DGI4" s="9">
        <f>BDH(DGI$1,"TOT_RETURN_INDEX_GROSS_DVDS",DataStart,DataEnd,"Per=M","Days=A","Fill=P","Currency="&amp;FxCurrency)</f>
        <v/>
      </c>
      <c r="DGK4" s="9">
        <f>BDH(DGK$1,"TOT_RETURN_INDEX_GROSS_DVDS",DataStart,DataEnd,"Per=M","Days=A","Fill=P","Currency="&amp;FxCurrency)</f>
        <v/>
      </c>
      <c r="DGM4" s="9">
        <f>BDH(DGM$1,"TOT_RETURN_INDEX_GROSS_DVDS",DataStart,DataEnd,"Per=M","Days=A","Fill=P","Currency="&amp;FxCurrency)</f>
        <v/>
      </c>
      <c r="DGO4" s="9">
        <f>BDH(DGO$1,"TOT_RETURN_INDEX_GROSS_DVDS",DataStart,DataEnd,"Per=M","Days=A","Fill=P","Currency="&amp;FxCurrency)</f>
        <v/>
      </c>
      <c r="DGQ4" s="9">
        <f>BDH(DGQ$1,"TOT_RETURN_INDEX_GROSS_DVDS",DataStart,DataEnd,"Per=M","Days=A","Fill=P","Currency="&amp;FxCurrency)</f>
        <v/>
      </c>
      <c r="DGS4" s="9">
        <f>BDH(DGS$1,"TOT_RETURN_INDEX_GROSS_DVDS",DataStart,DataEnd,"Per=M","Days=A","Fill=P","Currency="&amp;FxCurrency)</f>
        <v/>
      </c>
      <c r="DGU4" s="9">
        <f>BDH(DGU$1,"TOT_RETURN_INDEX_GROSS_DVDS",DataStart,DataEnd,"Per=M","Days=A","Fill=P","Currency="&amp;FxCurrency)</f>
        <v/>
      </c>
      <c r="DGW4" s="9">
        <f>BDH(DGW$1,"TOT_RETURN_INDEX_GROSS_DVDS",DataStart,DataEnd,"Per=M","Days=A","Fill=P","Currency="&amp;FxCurrency)</f>
        <v/>
      </c>
      <c r="DGY4" s="9">
        <f>BDH(DGY$1,"TOT_RETURN_INDEX_GROSS_DVDS",DataStart,DataEnd,"Per=M","Days=A","Fill=P","Currency="&amp;FxCurrency)</f>
        <v/>
      </c>
      <c r="DHA4" s="9">
        <f>BDH(DHA$1,"TOT_RETURN_INDEX_GROSS_DVDS",DataStart,DataEnd,"Per=M","Days=A","Fill=P","Currency="&amp;FxCurrency)</f>
        <v/>
      </c>
      <c r="DHC4" s="9">
        <f>BDH(DHC$1,"TOT_RETURN_INDEX_GROSS_DVDS",DataStart,DataEnd,"Per=M","Days=A","Fill=P","Currency="&amp;FxCurrency)</f>
        <v/>
      </c>
      <c r="DHE4" s="9">
        <f>BDH(DHE$1,"TOT_RETURN_INDEX_GROSS_DVDS",DataStart,DataEnd,"Per=M","Days=A","Fill=P","Currency="&amp;FxCurrency)</f>
        <v/>
      </c>
      <c r="DHG4" s="9">
        <f>BDH(DHG$1,"TOT_RETURN_INDEX_GROSS_DVDS",DataStart,DataEnd,"Per=M","Days=A","Fill=P","Currency="&amp;FxCurrency)</f>
        <v/>
      </c>
      <c r="DHI4" s="9">
        <f>BDH(DHI$1,"TOT_RETURN_INDEX_GROSS_DVDS",DataStart,DataEnd,"Per=M","Days=A","Fill=P","Currency="&amp;FxCurrency)</f>
        <v/>
      </c>
      <c r="DHK4" s="9">
        <f>BDH(DHK$1,"TOT_RETURN_INDEX_GROSS_DVDS",DataStart,DataEnd,"Per=M","Days=A","Fill=P","Currency="&amp;FxCurrency)</f>
        <v/>
      </c>
      <c r="DHM4" s="9">
        <f>BDH(DHM$1,"TOT_RETURN_INDEX_GROSS_DVDS",DataStart,DataEnd,"Per=M","Days=A","Fill=P","Currency="&amp;FxCurrency)</f>
        <v/>
      </c>
      <c r="DHO4" s="9">
        <f>BDH(DHO$1,"TOT_RETURN_INDEX_GROSS_DVDS",DataStart,DataEnd,"Per=M","Days=A","Fill=P","Currency="&amp;FxCurrency)</f>
        <v/>
      </c>
      <c r="DHQ4" s="9">
        <f>BDH(DHQ$1,"TOT_RETURN_INDEX_GROSS_DVDS",DataStart,DataEnd,"Per=M","Days=A","Fill=P","Currency="&amp;FxCurrency)</f>
        <v/>
      </c>
      <c r="DHS4" s="9">
        <f>BDH(DHS$1,"TOT_RETURN_INDEX_GROSS_DVDS",DataStart,DataEnd,"Per=M","Days=A","Fill=P","Currency="&amp;FxCurrency)</f>
        <v/>
      </c>
      <c r="DHU4" s="9">
        <f>BDH(DHU$1,"TOT_RETURN_INDEX_GROSS_DVDS",DataStart,DataEnd,"Per=M","Days=A","Fill=P","Currency="&amp;FxCurrency)</f>
        <v/>
      </c>
      <c r="DHW4" s="9">
        <f>BDH(DHW$1,"TOT_RETURN_INDEX_GROSS_DVDS",DataStart,DataEnd,"Per=M","Days=A","Fill=P","Currency="&amp;FxCurrency)</f>
        <v/>
      </c>
      <c r="DHY4" s="9">
        <f>BDH(DHY$1,"TOT_RETURN_INDEX_GROSS_DVDS",DataStart,DataEnd,"Per=M","Days=A","Fill=P","Currency="&amp;FxCurrency)</f>
        <v/>
      </c>
      <c r="DIA4" s="9">
        <f>BDH(DIA$1,"TOT_RETURN_INDEX_GROSS_DVDS",DataStart,DataEnd,"Per=M","Days=A","Fill=P","Currency="&amp;FxCurrency)</f>
        <v/>
      </c>
      <c r="DIC4" s="9">
        <f>BDH(DIC$1,"TOT_RETURN_INDEX_GROSS_DVDS",DataStart,DataEnd,"Per=M","Days=A","Fill=P","Currency="&amp;FxCurrency)</f>
        <v/>
      </c>
      <c r="DIE4" s="9">
        <f>BDH(DIE$1,"TOT_RETURN_INDEX_GROSS_DVDS",DataStart,DataEnd,"Per=M","Days=A","Fill=P","Currency="&amp;FxCurrency)</f>
        <v/>
      </c>
      <c r="DIG4" s="9">
        <f>BDH(DIG$1,"TOT_RETURN_INDEX_GROSS_DVDS",DataStart,DataEnd,"Per=M","Days=A","Fill=P","Currency="&amp;FxCurrency)</f>
        <v/>
      </c>
      <c r="DII4" s="9">
        <f>BDH(DII$1,"TOT_RETURN_INDEX_GROSS_DVDS",DataStart,DataEnd,"Per=M","Days=A","Fill=P","Currency="&amp;FxCurrency)</f>
        <v/>
      </c>
      <c r="DIK4" s="9">
        <f>BDH(DIK$1,"TOT_RETURN_INDEX_GROSS_DVDS",DataStart,DataEnd,"Per=M","Days=A","Fill=P","Currency="&amp;FxCurrency)</f>
        <v/>
      </c>
      <c r="DIM4" s="9">
        <f>BDH(DIM$1,"TOT_RETURN_INDEX_GROSS_DVDS",DataStart,DataEnd,"Per=M","Days=A","Fill=P","Currency="&amp;FxCurrency)</f>
        <v/>
      </c>
      <c r="DIO4" s="9">
        <f>BDH(DIO$1,"TOT_RETURN_INDEX_GROSS_DVDS",DataStart,DataEnd,"Per=M","Days=A","Fill=P","Currency="&amp;FxCurrency)</f>
        <v/>
      </c>
      <c r="DIQ4" s="9">
        <f>BDH(DIQ$1,"TOT_RETURN_INDEX_GROSS_DVDS",DataStart,DataEnd,"Per=M","Days=A","Fill=P","Currency="&amp;FxCurrency)</f>
        <v/>
      </c>
      <c r="DIS4" s="9">
        <f>BDH(DIS$1,"TOT_RETURN_INDEX_GROSS_DVDS",DataStart,DataEnd,"Per=M","Days=A","Fill=P","Currency="&amp;FxCurrency)</f>
        <v/>
      </c>
      <c r="DIU4" s="9">
        <f>BDH(DIU$1,"TOT_RETURN_INDEX_GROSS_DVDS",DataStart,DataEnd,"Per=M","Days=A","Fill=P","Currency="&amp;FxCurrency)</f>
        <v/>
      </c>
      <c r="DIW4" s="9">
        <f>BDH(DIW$1,"TOT_RETURN_INDEX_GROSS_DVDS",DataStart,DataEnd,"Per=M","Days=A","Fill=P","Currency="&amp;FxCurrency)</f>
        <v/>
      </c>
      <c r="DIY4" s="9">
        <f>BDH(DIY$1,"TOT_RETURN_INDEX_GROSS_DVDS",DataStart,DataEnd,"Per=M","Days=A","Fill=P","Currency="&amp;FxCurrency)</f>
        <v/>
      </c>
      <c r="DJA4" s="9">
        <f>BDH(DJA$1,"TOT_RETURN_INDEX_GROSS_DVDS",DataStart,DataEnd,"Per=M","Days=A","Fill=P","Currency="&amp;FxCurrency)</f>
        <v/>
      </c>
      <c r="DJC4" s="9">
        <f>BDH(DJC$1,"TOT_RETURN_INDEX_GROSS_DVDS",DataStart,DataEnd,"Per=M","Days=A","Fill=P","Currency="&amp;FxCurrency)</f>
        <v/>
      </c>
      <c r="DJE4" s="9">
        <f>BDH(DJE$1,"TOT_RETURN_INDEX_GROSS_DVDS",DataStart,DataEnd,"Per=M","Days=A","Fill=P","Currency="&amp;FxCurrency)</f>
        <v/>
      </c>
      <c r="DJG4" s="9">
        <f>BDH(DJG$1,"TOT_RETURN_INDEX_GROSS_DVDS",DataStart,DataEnd,"Per=M","Days=A","Fill=P","Currency="&amp;FxCurrency)</f>
        <v/>
      </c>
      <c r="DJI4" s="9">
        <f>BDH(DJI$1,"TOT_RETURN_INDEX_GROSS_DVDS",DataStart,DataEnd,"Per=M","Days=A","Fill=P","Currency="&amp;FxCurrency)</f>
        <v/>
      </c>
      <c r="DJK4" s="9">
        <f>BDH(DJK$1,"TOT_RETURN_INDEX_GROSS_DVDS",DataStart,DataEnd,"Per=M","Days=A","Fill=P","Currency="&amp;FxCurrency)</f>
        <v/>
      </c>
      <c r="DJM4" s="9">
        <f>BDH(DJM$1,"TOT_RETURN_INDEX_GROSS_DVDS",DataStart,DataEnd,"Per=M","Days=A","Fill=P","Currency="&amp;FxCurrency)</f>
        <v/>
      </c>
      <c r="DJO4" s="9">
        <f>BDH(DJO$1,"TOT_RETURN_INDEX_GROSS_DVDS",DataStart,DataEnd,"Per=M","Days=A","Fill=P","Currency="&amp;FxCurrency)</f>
        <v/>
      </c>
      <c r="DJQ4" s="9">
        <f>BDH(DJQ$1,"TOT_RETURN_INDEX_GROSS_DVDS",DataStart,DataEnd,"Per=M","Days=A","Fill=P","Currency="&amp;FxCurrency)</f>
        <v/>
      </c>
      <c r="DJS4" s="9">
        <f>BDH(DJS$1,"TOT_RETURN_INDEX_GROSS_DVDS",DataStart,DataEnd,"Per=M","Days=A","Fill=P","Currency="&amp;FxCurrency)</f>
        <v/>
      </c>
      <c r="DJU4" s="9">
        <f>BDH(DJU$1,"TOT_RETURN_INDEX_GROSS_DVDS",DataStart,DataEnd,"Per=M","Days=A","Fill=P","Currency="&amp;FxCurrency)</f>
        <v/>
      </c>
      <c r="DJW4" s="9">
        <f>BDH(DJW$1,"TOT_RETURN_INDEX_GROSS_DVDS",DataStart,DataEnd,"Per=M","Days=A","Fill=P","Currency="&amp;FxCurrency)</f>
        <v/>
      </c>
      <c r="DJY4" s="9">
        <f>BDH(DJY$1,"TOT_RETURN_INDEX_GROSS_DVDS",DataStart,DataEnd,"Per=M","Days=A","Fill=P","Currency="&amp;FxCurrency)</f>
        <v/>
      </c>
      <c r="DKA4" s="9">
        <f>BDH(DKA$1,"TOT_RETURN_INDEX_GROSS_DVDS",DataStart,DataEnd,"Per=M","Days=A","Fill=P","Currency="&amp;FxCurrency)</f>
        <v/>
      </c>
      <c r="DKC4" s="9">
        <f>BDH(DKC$1,"TOT_RETURN_INDEX_GROSS_DVDS",DataStart,DataEnd,"Per=M","Days=A","Fill=P","Currency="&amp;FxCurrency)</f>
        <v/>
      </c>
      <c r="DKE4" s="9">
        <f>BDH(DKE$1,"TOT_RETURN_INDEX_GROSS_DVDS",DataStart,DataEnd,"Per=M","Days=A","Fill=P","Currency="&amp;FxCurrency)</f>
        <v/>
      </c>
      <c r="DKG4" s="9">
        <f>BDH(DKG$1,"TOT_RETURN_INDEX_GROSS_DVDS",DataStart,DataEnd,"Per=M","Days=A","Fill=P","Currency="&amp;FxCurrency)</f>
        <v/>
      </c>
      <c r="DKI4" s="9">
        <f>BDH(DKI$1,"TOT_RETURN_INDEX_GROSS_DVDS",DataStart,DataEnd,"Per=M","Days=A","Fill=P","Currency="&amp;FxCurrency)</f>
        <v/>
      </c>
      <c r="DKK4" s="9">
        <f>BDH(DKK$1,"TOT_RETURN_INDEX_GROSS_DVDS",DataStart,DataEnd,"Per=M","Days=A","Fill=P","Currency="&amp;FxCurrency)</f>
        <v/>
      </c>
      <c r="DKM4" s="9">
        <f>BDH(DKM$1,"TOT_RETURN_INDEX_GROSS_DVDS",DataStart,DataEnd,"Per=M","Days=A","Fill=P","Currency="&amp;FxCurrency)</f>
        <v/>
      </c>
      <c r="DKO4" s="9">
        <f>BDH(DKO$1,"TOT_RETURN_INDEX_GROSS_DVDS",DataStart,DataEnd,"Per=M","Days=A","Fill=P","Currency="&amp;FxCurrency)</f>
        <v/>
      </c>
      <c r="DKQ4" s="9">
        <f>BDH(DKQ$1,"TOT_RETURN_INDEX_GROSS_DVDS",DataStart,DataEnd,"Per=M","Days=A","Fill=P","Currency="&amp;FxCurrency)</f>
        <v/>
      </c>
      <c r="DKS4" s="9">
        <f>BDH(DKS$1,"TOT_RETURN_INDEX_GROSS_DVDS",DataStart,DataEnd,"Per=M","Days=A","Fill=P","Currency="&amp;FxCurrency)</f>
        <v/>
      </c>
      <c r="DKU4" s="9">
        <f>BDH(DKU$1,"TOT_RETURN_INDEX_GROSS_DVDS",DataStart,DataEnd,"Per=M","Days=A","Fill=P","Currency="&amp;FxCurrency)</f>
        <v/>
      </c>
      <c r="DKW4" s="9">
        <f>BDH(DKW$1,"TOT_RETURN_INDEX_GROSS_DVDS",DataStart,DataEnd,"Per=M","Days=A","Fill=P","Currency="&amp;FxCurrency)</f>
        <v/>
      </c>
      <c r="DKY4" s="9">
        <f>BDH(DKY$1,"TOT_RETURN_INDEX_GROSS_DVDS",DataStart,DataEnd,"Per=M","Days=A","Fill=P","Currency="&amp;FxCurrency)</f>
        <v/>
      </c>
      <c r="DLA4" s="9">
        <f>BDH(DLA$1,"TOT_RETURN_INDEX_GROSS_DVDS",DataStart,DataEnd,"Per=M","Days=A","Fill=P","Currency="&amp;FxCurrency)</f>
        <v/>
      </c>
      <c r="DLC4" s="9">
        <f>BDH(DLC$1,"TOT_RETURN_INDEX_GROSS_DVDS",DataStart,DataEnd,"Per=M","Days=A","Fill=P","Currency="&amp;FxCurrency)</f>
        <v/>
      </c>
      <c r="DLE4" s="9">
        <f>BDH(DLE$1,"TOT_RETURN_INDEX_GROSS_DVDS",DataStart,DataEnd,"Per=M","Days=A","Fill=P","Currency="&amp;FxCurrency)</f>
        <v/>
      </c>
      <c r="DLG4" s="9">
        <f>BDH(DLG$1,"TOT_RETURN_INDEX_GROSS_DVDS",DataStart,DataEnd,"Per=M","Days=A","Fill=P","Currency="&amp;FxCurrency)</f>
        <v/>
      </c>
      <c r="DLI4" s="9">
        <f>BDH(DLI$1,"TOT_RETURN_INDEX_GROSS_DVDS",DataStart,DataEnd,"Per=M","Days=A","Fill=P","Currency="&amp;FxCurrency)</f>
        <v/>
      </c>
      <c r="DLK4" s="9">
        <f>BDH(DLK$1,"TOT_RETURN_INDEX_GROSS_DVDS",DataStart,DataEnd,"Per=M","Days=A","Fill=P","Currency="&amp;FxCurrency)</f>
        <v/>
      </c>
      <c r="DLM4" s="9">
        <f>BDH(DLM$1,"TOT_RETURN_INDEX_GROSS_DVDS",DataStart,DataEnd,"Per=M","Days=A","Fill=P","Currency="&amp;FxCurrency)</f>
        <v/>
      </c>
      <c r="DLO4" s="9">
        <f>BDH(DLO$1,"TOT_RETURN_INDEX_GROSS_DVDS",DataStart,DataEnd,"Per=M","Days=A","Fill=P","Currency="&amp;FxCurrency)</f>
        <v/>
      </c>
      <c r="DLQ4" s="9">
        <f>BDH(DLQ$1,"TOT_RETURN_INDEX_GROSS_DVDS",DataStart,DataEnd,"Per=M","Days=A","Fill=P","Currency="&amp;FxCurrency)</f>
        <v/>
      </c>
      <c r="DLS4" s="9">
        <f>BDH(DLS$1,"TOT_RETURN_INDEX_GROSS_DVDS",DataStart,DataEnd,"Per=M","Days=A","Fill=P","Currency="&amp;FxCurrency)</f>
        <v/>
      </c>
      <c r="DLU4" s="9">
        <f>BDH(DLU$1,"TOT_RETURN_INDEX_GROSS_DVDS",DataStart,DataEnd,"Per=M","Days=A","Fill=P","Currency="&amp;FxCurrency)</f>
        <v/>
      </c>
      <c r="DLW4" s="9">
        <f>BDH(DLW$1,"TOT_RETURN_INDEX_GROSS_DVDS",DataStart,DataEnd,"Per=M","Days=A","Fill=P","Currency="&amp;FxCurrency)</f>
        <v/>
      </c>
      <c r="DLY4" s="9">
        <f>BDH(DLY$1,"TOT_RETURN_INDEX_GROSS_DVDS",DataStart,DataEnd,"Per=M","Days=A","Fill=P","Currency="&amp;FxCurrency)</f>
        <v/>
      </c>
      <c r="DMA4" s="9">
        <f>BDH(DMA$1,"TOT_RETURN_INDEX_GROSS_DVDS",DataStart,DataEnd,"Per=M","Days=A","Fill=P","Currency="&amp;FxCurrency)</f>
        <v/>
      </c>
      <c r="DMC4" s="9">
        <f>BDH(DMC$1,"TOT_RETURN_INDEX_GROSS_DVDS",DataStart,DataEnd,"Per=M","Days=A","Fill=P","Currency="&amp;FxCurrency)</f>
        <v/>
      </c>
      <c r="DME4" s="9">
        <f>BDH(DME$1,"TOT_RETURN_INDEX_GROSS_DVDS",DataStart,DataEnd,"Per=M","Days=A","Fill=P","Currency="&amp;FxCurrency)</f>
        <v/>
      </c>
      <c r="DMG4" s="9">
        <f>BDH(DMG$1,"TOT_RETURN_INDEX_GROSS_DVDS",DataStart,DataEnd,"Per=M","Days=A","Fill=P","Currency="&amp;FxCurrency)</f>
        <v/>
      </c>
      <c r="DMI4" s="9">
        <f>BDH(DMI$1,"TOT_RETURN_INDEX_GROSS_DVDS",DataStart,DataEnd,"Per=M","Days=A","Fill=P","Currency="&amp;FxCurrency)</f>
        <v/>
      </c>
      <c r="DMK4" s="9">
        <f>BDH(DMK$1,"TOT_RETURN_INDEX_GROSS_DVDS",DataStart,DataEnd,"Per=M","Days=A","Fill=P","Currency="&amp;FxCurrency)</f>
        <v/>
      </c>
      <c r="DMM4" s="9">
        <f>BDH(DMM$1,"TOT_RETURN_INDEX_GROSS_DVDS",DataStart,DataEnd,"Per=M","Days=A","Fill=P","Currency="&amp;FxCurrency)</f>
        <v/>
      </c>
      <c r="DMO4" s="9">
        <f>BDH(DMO$1,"TOT_RETURN_INDEX_GROSS_DVDS",DataStart,DataEnd,"Per=M","Days=A","Fill=P","Currency="&amp;FxCurrency)</f>
        <v/>
      </c>
      <c r="DMQ4" s="9">
        <f>BDH(DMQ$1,"TOT_RETURN_INDEX_GROSS_DVDS",DataStart,DataEnd,"Per=M","Days=A","Fill=P","Currency="&amp;FxCurrency)</f>
        <v/>
      </c>
      <c r="DMS4" s="9">
        <f>BDH(DMS$1,"TOT_RETURN_INDEX_GROSS_DVDS",DataStart,DataEnd,"Per=M","Days=A","Fill=P","Currency="&amp;FxCurrency)</f>
        <v/>
      </c>
      <c r="DMU4" s="9">
        <f>BDH(DMU$1,"TOT_RETURN_INDEX_GROSS_DVDS",DataStart,DataEnd,"Per=M","Days=A","Fill=P","Currency="&amp;FxCurrency)</f>
        <v/>
      </c>
      <c r="DMW4" s="9">
        <f>BDH(DMW$1,"TOT_RETURN_INDEX_GROSS_DVDS",DataStart,DataEnd,"Per=M","Days=A","Fill=P","Currency="&amp;FxCurrency)</f>
        <v/>
      </c>
      <c r="DMY4" s="9">
        <f>BDH(DMY$1,"TOT_RETURN_INDEX_GROSS_DVDS",DataStart,DataEnd,"Per=M","Days=A","Fill=P","Currency="&amp;FxCurrency)</f>
        <v/>
      </c>
      <c r="DNA4" s="9">
        <f>BDH(DNA$1,"TOT_RETURN_INDEX_GROSS_DVDS",DataStart,DataEnd,"Per=M","Days=A","Fill=P","Currency="&amp;FxCurrency)</f>
        <v/>
      </c>
      <c r="DNC4" s="9">
        <f>BDH(DNC$1,"TOT_RETURN_INDEX_GROSS_DVDS",DataStart,DataEnd,"Per=M","Days=A","Fill=P","Currency="&amp;FxCurrency)</f>
        <v/>
      </c>
      <c r="DNE4" s="9">
        <f>BDH(DNE$1,"TOT_RETURN_INDEX_GROSS_DVDS",DataStart,DataEnd,"Per=M","Days=A","Fill=P","Currency="&amp;FxCurrency)</f>
        <v/>
      </c>
      <c r="DNG4" s="9">
        <f>BDH(DNG$1,"TOT_RETURN_INDEX_GROSS_DVDS",DataStart,DataEnd,"Per=M","Days=A","Fill=P","Currency="&amp;FxCurrency)</f>
        <v/>
      </c>
      <c r="DNI4" s="9">
        <f>BDH(DNI$1,"TOT_RETURN_INDEX_GROSS_DVDS",DataStart,DataEnd,"Per=M","Days=A","Fill=P","Currency="&amp;FxCurrency)</f>
        <v/>
      </c>
      <c r="DNK4" s="9">
        <f>BDH(DNK$1,"TOT_RETURN_INDEX_GROSS_DVDS",DataStart,DataEnd,"Per=M","Days=A","Fill=P","Currency="&amp;FxCurrency)</f>
        <v/>
      </c>
      <c r="DNM4" s="9">
        <f>BDH(DNM$1,"TOT_RETURN_INDEX_GROSS_DVDS",DataStart,DataEnd,"Per=M","Days=A","Fill=P","Currency="&amp;FxCurrency)</f>
        <v/>
      </c>
      <c r="DNO4" s="9">
        <f>BDH(DNO$1,"TOT_RETURN_INDEX_GROSS_DVDS",DataStart,DataEnd,"Per=M","Days=A","Fill=P","Currency="&amp;FxCurrency)</f>
        <v/>
      </c>
      <c r="DNQ4" s="9">
        <f>BDH(DNQ$1,"TOT_RETURN_INDEX_GROSS_DVDS",DataStart,DataEnd,"Per=M","Days=A","Fill=P","Currency="&amp;FxCurrency)</f>
        <v/>
      </c>
      <c r="DNS4" s="9">
        <f>BDH(DNS$1,"TOT_RETURN_INDEX_GROSS_DVDS",DataStart,DataEnd,"Per=M","Days=A","Fill=P","Currency="&amp;FxCurrency)</f>
        <v/>
      </c>
      <c r="DNU4" s="9">
        <f>BDH(DNU$1,"TOT_RETURN_INDEX_GROSS_DVDS",DataStart,DataEnd,"Per=M","Days=A","Fill=P","Currency="&amp;FxCurrency)</f>
        <v/>
      </c>
      <c r="DNW4" s="9">
        <f>BDH(DNW$1,"TOT_RETURN_INDEX_GROSS_DVDS",DataStart,DataEnd,"Per=M","Days=A","Fill=P","Currency="&amp;FxCurrency)</f>
        <v/>
      </c>
      <c r="DNY4" s="9">
        <f>BDH(DNY$1,"TOT_RETURN_INDEX_GROSS_DVDS",DataStart,DataEnd,"Per=M","Days=A","Fill=P","Currency="&amp;FxCurrency)</f>
        <v/>
      </c>
      <c r="DOA4" s="9">
        <f>BDH(DOA$1,"TOT_RETURN_INDEX_GROSS_DVDS",DataStart,DataEnd,"Per=M","Days=A","Fill=P","Currency="&amp;FxCurrency)</f>
        <v/>
      </c>
      <c r="DOC4" s="9">
        <f>BDH(DOC$1,"TOT_RETURN_INDEX_GROSS_DVDS",DataStart,DataEnd,"Per=M","Days=A","Fill=P","Currency="&amp;FxCurrency)</f>
        <v/>
      </c>
      <c r="DOE4" s="9">
        <f>BDH(DOE$1,"TOT_RETURN_INDEX_GROSS_DVDS",DataStart,DataEnd,"Per=M","Days=A","Fill=P","Currency="&amp;FxCurrency)</f>
        <v/>
      </c>
      <c r="DOG4" s="9">
        <f>BDH(DOG$1,"TOT_RETURN_INDEX_GROSS_DVDS",DataStart,DataEnd,"Per=M","Days=A","Fill=P","Currency="&amp;FxCurrency)</f>
        <v/>
      </c>
      <c r="DOI4" s="9">
        <f>BDH(DOI$1,"TOT_RETURN_INDEX_GROSS_DVDS",DataStart,DataEnd,"Per=M","Days=A","Fill=P","Currency="&amp;FxCurrency)</f>
        <v/>
      </c>
      <c r="DOK4" s="9">
        <f>BDH(DOK$1,"TOT_RETURN_INDEX_GROSS_DVDS",DataStart,DataEnd,"Per=M","Days=A","Fill=P","Currency="&amp;FxCurrency)</f>
        <v/>
      </c>
      <c r="DOM4" s="9">
        <f>BDH(DOM$1,"TOT_RETURN_INDEX_GROSS_DVDS",DataStart,DataEnd,"Per=M","Days=A","Fill=P","Currency="&amp;FxCurrency)</f>
        <v/>
      </c>
      <c r="DOO4" s="9">
        <f>BDH(DOO$1,"TOT_RETURN_INDEX_GROSS_DVDS",DataStart,DataEnd,"Per=M","Days=A","Fill=P","Currency="&amp;FxCurrency)</f>
        <v/>
      </c>
      <c r="DOQ4" s="9">
        <f>BDH(DOQ$1,"TOT_RETURN_INDEX_GROSS_DVDS",DataStart,DataEnd,"Per=M","Days=A","Fill=P","Currency="&amp;FxCurrency)</f>
        <v/>
      </c>
      <c r="DOS4" s="9">
        <f>BDH(DOS$1,"TOT_RETURN_INDEX_GROSS_DVDS",DataStart,DataEnd,"Per=M","Days=A","Fill=P","Currency="&amp;FxCurrency)</f>
        <v/>
      </c>
      <c r="DOU4" s="9">
        <f>BDH(DOU$1,"TOT_RETURN_INDEX_GROSS_DVDS",DataStart,DataEnd,"Per=M","Days=A","Fill=P","Currency="&amp;FxCurrency)</f>
        <v/>
      </c>
      <c r="DOW4" s="9">
        <f>BDH(DOW$1,"TOT_RETURN_INDEX_GROSS_DVDS",DataStart,DataEnd,"Per=M","Days=A","Fill=P","Currency="&amp;FxCurrency)</f>
        <v/>
      </c>
      <c r="DOY4" s="9">
        <f>BDH(DOY$1,"TOT_RETURN_INDEX_GROSS_DVDS",DataStart,DataEnd,"Per=M","Days=A","Fill=P","Currency="&amp;FxCurrency)</f>
        <v/>
      </c>
      <c r="DPA4" s="9">
        <f>BDH(DPA$1,"TOT_RETURN_INDEX_GROSS_DVDS",DataStart,DataEnd,"Per=M","Days=A","Fill=P","Currency="&amp;FxCurrency)</f>
        <v/>
      </c>
      <c r="DPC4" s="9">
        <f>BDH(DPC$1,"TOT_RETURN_INDEX_GROSS_DVDS",DataStart,DataEnd,"Per=M","Days=A","Fill=P","Currency="&amp;FxCurrency)</f>
        <v/>
      </c>
      <c r="DPE4" s="9">
        <f>BDH(DPE$1,"TOT_RETURN_INDEX_GROSS_DVDS",DataStart,DataEnd,"Per=M","Days=A","Fill=P","Currency="&amp;FxCurrency)</f>
        <v/>
      </c>
      <c r="DPG4" s="9">
        <f>BDH(DPG$1,"TOT_RETURN_INDEX_GROSS_DVDS",DataStart,DataEnd,"Per=M","Days=A","Fill=P","Currency="&amp;FxCurrency)</f>
        <v/>
      </c>
      <c r="DPI4" s="9">
        <f>BDH(DPI$1,"TOT_RETURN_INDEX_GROSS_DVDS",DataStart,DataEnd,"Per=M","Days=A","Fill=P","Currency="&amp;FxCurrency)</f>
        <v/>
      </c>
      <c r="DPK4" s="9">
        <f>BDH(DPK$1,"TOT_RETURN_INDEX_GROSS_DVDS",DataStart,DataEnd,"Per=M","Days=A","Fill=P","Currency="&amp;FxCurrency)</f>
        <v/>
      </c>
      <c r="DPM4" s="9">
        <f>BDH(DPM$1,"TOT_RETURN_INDEX_GROSS_DVDS",DataStart,DataEnd,"Per=M","Days=A","Fill=P","Currency="&amp;FxCurrency)</f>
        <v/>
      </c>
      <c r="DPO4" s="9">
        <f>BDH(DPO$1,"TOT_RETURN_INDEX_GROSS_DVDS",DataStart,DataEnd,"Per=M","Days=A","Fill=P","Currency="&amp;FxCurrency)</f>
        <v/>
      </c>
      <c r="DPQ4" s="9">
        <f>BDH(DPQ$1,"TOT_RETURN_INDEX_GROSS_DVDS",DataStart,DataEnd,"Per=M","Days=A","Fill=P","Currency="&amp;FxCurrency)</f>
        <v/>
      </c>
      <c r="DPS4" s="9">
        <f>BDH(DPS$1,"TOT_RETURN_INDEX_GROSS_DVDS",DataStart,DataEnd,"Per=M","Days=A","Fill=P","Currency="&amp;FxCurrency)</f>
        <v/>
      </c>
      <c r="DPU4" s="9">
        <f>BDH(DPU$1,"TOT_RETURN_INDEX_GROSS_DVDS",DataStart,DataEnd,"Per=M","Days=A","Fill=P","Currency="&amp;FxCurrency)</f>
        <v/>
      </c>
      <c r="DPW4" s="9">
        <f>BDH(DPW$1,"TOT_RETURN_INDEX_GROSS_DVDS",DataStart,DataEnd,"Per=M","Days=A","Fill=P","Currency="&amp;FxCurrency)</f>
        <v/>
      </c>
      <c r="DPY4" s="9">
        <f>BDH(DPY$1,"TOT_RETURN_INDEX_GROSS_DVDS",DataStart,DataEnd,"Per=M","Days=A","Fill=P","Currency="&amp;FxCurrency)</f>
        <v/>
      </c>
      <c r="DQA4" s="9">
        <f>BDH(DQA$1,"TOT_RETURN_INDEX_GROSS_DVDS",DataStart,DataEnd,"Per=M","Days=A","Fill=P","Currency="&amp;FxCurrency)</f>
        <v/>
      </c>
      <c r="DQC4" s="9">
        <f>BDH(DQC$1,"TOT_RETURN_INDEX_GROSS_DVDS",DataStart,DataEnd,"Per=M","Days=A","Fill=P","Currency="&amp;FxCurrency)</f>
        <v/>
      </c>
      <c r="DQE4" s="9">
        <f>BDH(DQE$1,"TOT_RETURN_INDEX_GROSS_DVDS",DataStart,DataEnd,"Per=M","Days=A","Fill=P","Currency="&amp;FxCurrency)</f>
        <v/>
      </c>
      <c r="DQG4" s="9">
        <f>BDH(DQG$1,"TOT_RETURN_INDEX_GROSS_DVDS",DataStart,DataEnd,"Per=M","Days=A","Fill=P","Currency="&amp;FxCurrency)</f>
        <v/>
      </c>
      <c r="DQI4" s="9">
        <f>BDH(DQI$1,"TOT_RETURN_INDEX_GROSS_DVDS",DataStart,DataEnd,"Per=M","Days=A","Fill=P","Currency="&amp;FxCurrency)</f>
        <v/>
      </c>
      <c r="DQK4" s="9">
        <f>BDH(DQK$1,"TOT_RETURN_INDEX_GROSS_DVDS",DataStart,DataEnd,"Per=M","Days=A","Fill=P","Currency="&amp;FxCurrency)</f>
        <v/>
      </c>
      <c r="DQM4" s="9">
        <f>BDH(DQM$1,"TOT_RETURN_INDEX_GROSS_DVDS",DataStart,DataEnd,"Per=M","Days=A","Fill=P","Currency="&amp;FxCurrency)</f>
        <v/>
      </c>
      <c r="DQO4" s="9">
        <f>BDH(DQO$1,"TOT_RETURN_INDEX_GROSS_DVDS",DataStart,DataEnd,"Per=M","Days=A","Fill=P","Currency="&amp;FxCurrency)</f>
        <v/>
      </c>
      <c r="DQQ4" s="9">
        <f>BDH(DQQ$1,"TOT_RETURN_INDEX_GROSS_DVDS",DataStart,DataEnd,"Per=M","Days=A","Fill=P","Currency="&amp;FxCurrency)</f>
        <v/>
      </c>
      <c r="DQS4" s="9">
        <f>BDH(DQS$1,"TOT_RETURN_INDEX_GROSS_DVDS",DataStart,DataEnd,"Per=M","Days=A","Fill=P","Currency="&amp;FxCurrency)</f>
        <v/>
      </c>
      <c r="DQU4" s="9">
        <f>BDH(DQU$1,"TOT_RETURN_INDEX_GROSS_DVDS",DataStart,DataEnd,"Per=M","Days=A","Fill=P","Currency="&amp;FxCurrency)</f>
        <v/>
      </c>
      <c r="DQW4" s="9">
        <f>BDH(DQW$1,"TOT_RETURN_INDEX_GROSS_DVDS",DataStart,DataEnd,"Per=M","Days=A","Fill=P","Currency="&amp;FxCurrency)</f>
        <v/>
      </c>
      <c r="DQY4" s="9">
        <f>BDH(DQY$1,"TOT_RETURN_INDEX_GROSS_DVDS",DataStart,DataEnd,"Per=M","Days=A","Fill=P","Currency="&amp;FxCurrency)</f>
        <v/>
      </c>
      <c r="DRA4" s="9">
        <f>BDH(DRA$1,"TOT_RETURN_INDEX_GROSS_DVDS",DataStart,DataEnd,"Per=M","Days=A","Fill=P","Currency="&amp;FxCurrency)</f>
        <v/>
      </c>
      <c r="DRC4" s="9">
        <f>BDH(DRC$1,"TOT_RETURN_INDEX_GROSS_DVDS",DataStart,DataEnd,"Per=M","Days=A","Fill=P","Currency="&amp;FxCurrency)</f>
        <v/>
      </c>
      <c r="DRE4" s="9">
        <f>BDH(DRE$1,"TOT_RETURN_INDEX_GROSS_DVDS",DataStart,DataEnd,"Per=M","Days=A","Fill=P","Currency="&amp;FxCurrency)</f>
        <v/>
      </c>
      <c r="DRG4" s="9">
        <f>BDH(DRG$1,"TOT_RETURN_INDEX_GROSS_DVDS",DataStart,DataEnd,"Per=M","Days=A","Fill=P","Currency="&amp;FxCurrency)</f>
        <v/>
      </c>
      <c r="DRI4" s="9">
        <f>BDH(DRI$1,"TOT_RETURN_INDEX_GROSS_DVDS",DataStart,DataEnd,"Per=M","Days=A","Fill=P","Currency="&amp;FxCurrency)</f>
        <v/>
      </c>
      <c r="DRK4" s="9">
        <f>BDH(DRK$1,"TOT_RETURN_INDEX_GROSS_DVDS",DataStart,DataEnd,"Per=M","Days=A","Fill=P","Currency="&amp;FxCurrency)</f>
        <v/>
      </c>
      <c r="DRM4" s="9">
        <f>BDH(DRM$1,"TOT_RETURN_INDEX_GROSS_DVDS",DataStart,DataEnd,"Per=M","Days=A","Fill=P","Currency="&amp;FxCurrency)</f>
        <v/>
      </c>
      <c r="DRO4" s="9">
        <f>BDH(DRO$1,"TOT_RETURN_INDEX_GROSS_DVDS",DataStart,DataEnd,"Per=M","Days=A","Fill=P","Currency="&amp;FxCurrency)</f>
        <v/>
      </c>
      <c r="DRQ4" s="9">
        <f>BDH(DRQ$1,"TOT_RETURN_INDEX_GROSS_DVDS",DataStart,DataEnd,"Per=M","Days=A","Fill=P","Currency="&amp;FxCurrency)</f>
        <v/>
      </c>
      <c r="DRS4" s="9">
        <f>BDH(DRS$1,"TOT_RETURN_INDEX_GROSS_DVDS",DataStart,DataEnd,"Per=M","Days=A","Fill=P","Currency="&amp;FxCurrency)</f>
        <v/>
      </c>
      <c r="DRU4" s="9">
        <f>BDH(DRU$1,"TOT_RETURN_INDEX_GROSS_DVDS",DataStart,DataEnd,"Per=M","Days=A","Fill=P","Currency="&amp;FxCurrency)</f>
        <v/>
      </c>
      <c r="DRW4" s="9">
        <f>BDH(DRW$1,"TOT_RETURN_INDEX_GROSS_DVDS",DataStart,DataEnd,"Per=M","Days=A","Fill=P","Currency="&amp;FxCurrency)</f>
        <v/>
      </c>
      <c r="DRY4" s="9">
        <f>BDH(DRY$1,"TOT_RETURN_INDEX_GROSS_DVDS",DataStart,DataEnd,"Per=M","Days=A","Fill=P","Currency="&amp;FxCurrency)</f>
        <v/>
      </c>
      <c r="DSA4" s="9">
        <f>BDH(DSA$1,"TOT_RETURN_INDEX_GROSS_DVDS",DataStart,DataEnd,"Per=M","Days=A","Fill=P","Currency="&amp;FxCurrency)</f>
        <v/>
      </c>
      <c r="DSC4" s="9">
        <f>BDH(DSC$1,"TOT_RETURN_INDEX_GROSS_DVDS",DataStart,DataEnd,"Per=M","Days=A","Fill=P","Currency="&amp;FxCurrency)</f>
        <v/>
      </c>
      <c r="DSE4" s="9">
        <f>BDH(DSE$1,"TOT_RETURN_INDEX_GROSS_DVDS",DataStart,DataEnd,"Per=M","Days=A","Fill=P","Currency="&amp;FxCurrency)</f>
        <v/>
      </c>
      <c r="DSG4" s="9">
        <f>BDH(DSG$1,"TOT_RETURN_INDEX_GROSS_DVDS",DataStart,DataEnd,"Per=M","Days=A","Fill=P","Currency="&amp;FxCurrency)</f>
        <v/>
      </c>
      <c r="DSI4" s="9">
        <f>BDH(DSI$1,"TOT_RETURN_INDEX_GROSS_DVDS",DataStart,DataEnd,"Per=M","Days=A","Fill=P","Currency="&amp;FxCurrency)</f>
        <v/>
      </c>
      <c r="DSK4" s="9">
        <f>BDH(DSK$1,"TOT_RETURN_INDEX_GROSS_DVDS",DataStart,DataEnd,"Per=M","Days=A","Fill=P","Currency="&amp;FxCurrency)</f>
        <v/>
      </c>
      <c r="DSM4" s="9">
        <f>BDH(DSM$1,"TOT_RETURN_INDEX_GROSS_DVDS",DataStart,DataEnd,"Per=M","Days=A","Fill=P","Currency="&amp;FxCurrency)</f>
        <v/>
      </c>
      <c r="DSO4" s="9">
        <f>BDH(DSO$1,"TOT_RETURN_INDEX_GROSS_DVDS",DataStart,DataEnd,"Per=M","Days=A","Fill=P","Currency="&amp;FxCurrency)</f>
        <v/>
      </c>
      <c r="DSQ4" s="9">
        <f>BDH(DSQ$1,"TOT_RETURN_INDEX_GROSS_DVDS",DataStart,DataEnd,"Per=M","Days=A","Fill=P","Currency="&amp;FxCurrency)</f>
        <v/>
      </c>
      <c r="DSS4" s="9">
        <f>BDH(DSS$1,"TOT_RETURN_INDEX_GROSS_DVDS",DataStart,DataEnd,"Per=M","Days=A","Fill=P","Currency="&amp;FxCurrency)</f>
        <v/>
      </c>
      <c r="DSU4" s="9">
        <f>BDH(DSU$1,"TOT_RETURN_INDEX_GROSS_DVDS",DataStart,DataEnd,"Per=M","Days=A","Fill=P","Currency="&amp;FxCurrency)</f>
        <v/>
      </c>
      <c r="DSW4" s="9">
        <f>BDH(DSW$1,"TOT_RETURN_INDEX_GROSS_DVDS",DataStart,DataEnd,"Per=M","Days=A","Fill=P","Currency="&amp;FxCurrency)</f>
        <v/>
      </c>
      <c r="DSY4" s="9">
        <f>BDH(DSY$1,"TOT_RETURN_INDEX_GROSS_DVDS",DataStart,DataEnd,"Per=M","Days=A","Fill=P","Currency="&amp;FxCurrency)</f>
        <v/>
      </c>
      <c r="DTA4" s="9">
        <f>BDH(DTA$1,"TOT_RETURN_INDEX_GROSS_DVDS",DataStart,DataEnd,"Per=M","Days=A","Fill=P","Currency="&amp;FxCurrency)</f>
        <v/>
      </c>
      <c r="DTC4" s="9">
        <f>BDH(DTC$1,"TOT_RETURN_INDEX_GROSS_DVDS",DataStart,DataEnd,"Per=M","Days=A","Fill=P","Currency="&amp;FxCurrency)</f>
        <v/>
      </c>
      <c r="DTE4" s="9">
        <f>BDH(DTE$1,"TOT_RETURN_INDEX_GROSS_DVDS",DataStart,DataEnd,"Per=M","Days=A","Fill=P","Currency="&amp;FxCurrency)</f>
        <v/>
      </c>
      <c r="DTG4" s="9">
        <f>BDH(DTG$1,"TOT_RETURN_INDEX_GROSS_DVDS",DataStart,DataEnd,"Per=M","Days=A","Fill=P","Currency="&amp;FxCurrency)</f>
        <v/>
      </c>
      <c r="DTI4" s="9">
        <f>BDH(DTI$1,"TOT_RETURN_INDEX_GROSS_DVDS",DataStart,DataEnd,"Per=M","Days=A","Fill=P","Currency="&amp;FxCurrency)</f>
        <v/>
      </c>
      <c r="DTK4" s="9">
        <f>BDH(DTK$1,"TOT_RETURN_INDEX_GROSS_DVDS",DataStart,DataEnd,"Per=M","Days=A","Fill=P","Currency="&amp;FxCurrency)</f>
        <v/>
      </c>
      <c r="DTM4" s="9">
        <f>BDH(DTM$1,"TOT_RETURN_INDEX_GROSS_DVDS",DataStart,DataEnd,"Per=M","Days=A","Fill=P","Currency="&amp;FxCurrency)</f>
        <v/>
      </c>
      <c r="DTO4" s="9">
        <f>BDH(DTO$1,"TOT_RETURN_INDEX_GROSS_DVDS",DataStart,DataEnd,"Per=M","Days=A","Fill=P","Currency="&amp;FxCurrency)</f>
        <v/>
      </c>
      <c r="DTQ4" s="9">
        <f>BDH(DTQ$1,"TOT_RETURN_INDEX_GROSS_DVDS",DataStart,DataEnd,"Per=M","Days=A","Fill=P","Currency="&amp;FxCurrency)</f>
        <v/>
      </c>
      <c r="DTS4" s="9">
        <f>BDH(DTS$1,"TOT_RETURN_INDEX_GROSS_DVDS",DataStart,DataEnd,"Per=M","Days=A","Fill=P","Currency="&amp;FxCurrency)</f>
        <v/>
      </c>
      <c r="DTU4" s="9">
        <f>BDH(DTU$1,"TOT_RETURN_INDEX_GROSS_DVDS",DataStart,DataEnd,"Per=M","Days=A","Fill=P","Currency="&amp;FxCurrency)</f>
        <v/>
      </c>
      <c r="DTW4" s="9">
        <f>BDH(DTW$1,"TOT_RETURN_INDEX_GROSS_DVDS",DataStart,DataEnd,"Per=M","Days=A","Fill=P","Currency="&amp;FxCurrency)</f>
        <v/>
      </c>
      <c r="DTY4" s="9">
        <f>BDH(DTY$1,"TOT_RETURN_INDEX_GROSS_DVDS",DataStart,DataEnd,"Per=M","Days=A","Fill=P","Currency="&amp;FxCurrency)</f>
        <v/>
      </c>
      <c r="DUA4" s="9">
        <f>BDH(DUA$1,"TOT_RETURN_INDEX_GROSS_DVDS",DataStart,DataEnd,"Per=M","Days=A","Fill=P","Currency="&amp;FxCurrency)</f>
        <v/>
      </c>
      <c r="DUC4" s="9">
        <f>BDH(DUC$1,"TOT_RETURN_INDEX_GROSS_DVDS",DataStart,DataEnd,"Per=M","Days=A","Fill=P","Currency="&amp;FxCurrency)</f>
        <v/>
      </c>
      <c r="DUE4" s="9">
        <f>BDH(DUE$1,"TOT_RETURN_INDEX_GROSS_DVDS",DataStart,DataEnd,"Per=M","Days=A","Fill=P","Currency="&amp;FxCurrency)</f>
        <v/>
      </c>
      <c r="DUG4" s="9">
        <f>BDH(DUG$1,"TOT_RETURN_INDEX_GROSS_DVDS",DataStart,DataEnd,"Per=M","Days=A","Fill=P","Currency="&amp;FxCurrency)</f>
        <v/>
      </c>
      <c r="DUI4" s="9">
        <f>BDH(DUI$1,"TOT_RETURN_INDEX_GROSS_DVDS",DataStart,DataEnd,"Per=M","Days=A","Fill=P","Currency="&amp;FxCurrency)</f>
        <v/>
      </c>
      <c r="DUK4" s="9">
        <f>BDH(DUK$1,"TOT_RETURN_INDEX_GROSS_DVDS",DataStart,DataEnd,"Per=M","Days=A","Fill=P","Currency="&amp;FxCurrency)</f>
        <v/>
      </c>
      <c r="DUM4" s="9">
        <f>BDH(DUM$1,"TOT_RETURN_INDEX_GROSS_DVDS",DataStart,DataEnd,"Per=M","Days=A","Fill=P","Currency="&amp;FxCurrency)</f>
        <v/>
      </c>
      <c r="DUO4" s="9">
        <f>BDH(DUO$1,"TOT_RETURN_INDEX_GROSS_DVDS",DataStart,DataEnd,"Per=M","Days=A","Fill=P","Currency="&amp;FxCurrency)</f>
        <v/>
      </c>
      <c r="DUQ4" s="9">
        <f>BDH(DUQ$1,"TOT_RETURN_INDEX_GROSS_DVDS",DataStart,DataEnd,"Per=M","Days=A","Fill=P","Currency="&amp;FxCurrency)</f>
        <v/>
      </c>
      <c r="DUS4" s="9">
        <f>BDH(DUS$1,"TOT_RETURN_INDEX_GROSS_DVDS",DataStart,DataEnd,"Per=M","Days=A","Fill=P","Currency="&amp;FxCurrency)</f>
        <v/>
      </c>
      <c r="DUU4" s="9">
        <f>BDH(DUU$1,"TOT_RETURN_INDEX_GROSS_DVDS",DataStart,DataEnd,"Per=M","Days=A","Fill=P","Currency="&amp;FxCurrency)</f>
        <v/>
      </c>
      <c r="DUW4" s="9">
        <f>BDH(DUW$1,"TOT_RETURN_INDEX_GROSS_DVDS",DataStart,DataEnd,"Per=M","Days=A","Fill=P","Currency="&amp;FxCurrency)</f>
        <v/>
      </c>
      <c r="DUY4" s="9">
        <f>BDH(DUY$1,"TOT_RETURN_INDEX_GROSS_DVDS",DataStart,DataEnd,"Per=M","Days=A","Fill=P","Currency="&amp;FxCurrency)</f>
        <v/>
      </c>
      <c r="DVA4" s="9">
        <f>BDH(DVA$1,"TOT_RETURN_INDEX_GROSS_DVDS",DataStart,DataEnd,"Per=M","Days=A","Fill=P","Currency="&amp;FxCurrency)</f>
        <v/>
      </c>
      <c r="DVC4" s="9">
        <f>BDH(DVC$1,"TOT_RETURN_INDEX_GROSS_DVDS",DataStart,DataEnd,"Per=M","Days=A","Fill=P","Currency="&amp;FxCurrency)</f>
        <v/>
      </c>
      <c r="DVE4" s="9">
        <f>BDH(DVE$1,"TOT_RETURN_INDEX_GROSS_DVDS",DataStart,DataEnd,"Per=M","Days=A","Fill=P","Currency="&amp;FxCurrency)</f>
        <v/>
      </c>
      <c r="DVG4" s="9">
        <f>BDH(DVG$1,"TOT_RETURN_INDEX_GROSS_DVDS",DataStart,DataEnd,"Per=M","Days=A","Fill=P","Currency="&amp;FxCurrency)</f>
        <v/>
      </c>
      <c r="DVI4" s="9">
        <f>BDH(DVI$1,"TOT_RETURN_INDEX_GROSS_DVDS",DataStart,DataEnd,"Per=M","Days=A","Fill=P","Currency="&amp;FxCurrency)</f>
        <v/>
      </c>
      <c r="DVK4" s="9">
        <f>BDH(DVK$1,"TOT_RETURN_INDEX_GROSS_DVDS",DataStart,DataEnd,"Per=M","Days=A","Fill=P","Currency="&amp;FxCurrency)</f>
        <v/>
      </c>
      <c r="DVM4" s="9">
        <f>BDH(DVM$1,"TOT_RETURN_INDEX_GROSS_DVDS",DataStart,DataEnd,"Per=M","Days=A","Fill=P","Currency="&amp;FxCurrency)</f>
        <v/>
      </c>
      <c r="DVO4" s="9">
        <f>BDH(DVO$1,"TOT_RETURN_INDEX_GROSS_DVDS",DataStart,DataEnd,"Per=M","Days=A","Fill=P","Currency="&amp;FxCurrency)</f>
        <v/>
      </c>
      <c r="DVQ4" s="9">
        <f>BDH(DVQ$1,"TOT_RETURN_INDEX_GROSS_DVDS",DataStart,DataEnd,"Per=M","Days=A","Fill=P","Currency="&amp;FxCurrency)</f>
        <v/>
      </c>
      <c r="DVS4" s="9">
        <f>BDH(DVS$1,"TOT_RETURN_INDEX_GROSS_DVDS",DataStart,DataEnd,"Per=M","Days=A","Fill=P","Currency="&amp;FxCurrency)</f>
        <v/>
      </c>
      <c r="DVU4" s="9">
        <f>BDH(DVU$1,"TOT_RETURN_INDEX_GROSS_DVDS",DataStart,DataEnd,"Per=M","Days=A","Fill=P","Currency="&amp;FxCurrency)</f>
        <v/>
      </c>
      <c r="DVW4" s="9">
        <f>BDH(DVW$1,"TOT_RETURN_INDEX_GROSS_DVDS",DataStart,DataEnd,"Per=M","Days=A","Fill=P","Currency="&amp;FxCurrency)</f>
        <v/>
      </c>
      <c r="DVY4" s="9">
        <f>BDH(DVY$1,"TOT_RETURN_INDEX_GROSS_DVDS",DataStart,DataEnd,"Per=M","Days=A","Fill=P","Currency="&amp;FxCurrency)</f>
        <v/>
      </c>
      <c r="DWA4" s="9">
        <f>BDH(DWA$1,"TOT_RETURN_INDEX_GROSS_DVDS",DataStart,DataEnd,"Per=M","Days=A","Fill=P","Currency="&amp;FxCurrency)</f>
        <v/>
      </c>
      <c r="DWC4" s="9">
        <f>BDH(DWC$1,"TOT_RETURN_INDEX_GROSS_DVDS",DataStart,DataEnd,"Per=M","Days=A","Fill=P","Currency="&amp;FxCurrency)</f>
        <v/>
      </c>
      <c r="DWE4" s="9">
        <f>BDH(DWE$1,"TOT_RETURN_INDEX_GROSS_DVDS",DataStart,DataEnd,"Per=M","Days=A","Fill=P","Currency="&amp;FxCurrency)</f>
        <v/>
      </c>
      <c r="DWG4" s="9">
        <f>BDH(DWG$1,"TOT_RETURN_INDEX_GROSS_DVDS",DataStart,DataEnd,"Per=M","Days=A","Fill=P","Currency="&amp;FxCurrency)</f>
        <v/>
      </c>
      <c r="DWI4" s="9">
        <f>BDH(DWI$1,"TOT_RETURN_INDEX_GROSS_DVDS",DataStart,DataEnd,"Per=M","Days=A","Fill=P","Currency="&amp;FxCurrency)</f>
        <v/>
      </c>
      <c r="DWK4" s="9">
        <f>BDH(DWK$1,"TOT_RETURN_INDEX_GROSS_DVDS",DataStart,DataEnd,"Per=M","Days=A","Fill=P","Currency="&amp;FxCurrency)</f>
        <v/>
      </c>
      <c r="DWM4" s="9">
        <f>BDH(DWM$1,"TOT_RETURN_INDEX_GROSS_DVDS",DataStart,DataEnd,"Per=M","Days=A","Fill=P","Currency="&amp;FxCurrency)</f>
        <v/>
      </c>
      <c r="DWO4" s="9">
        <f>BDH(DWO$1,"TOT_RETURN_INDEX_GROSS_DVDS",DataStart,DataEnd,"Per=M","Days=A","Fill=P","Currency="&amp;FxCurrency)</f>
        <v/>
      </c>
      <c r="DWQ4" s="9">
        <f>BDH(DWQ$1,"TOT_RETURN_INDEX_GROSS_DVDS",DataStart,DataEnd,"Per=M","Days=A","Fill=P","Currency="&amp;FxCurrency)</f>
        <v/>
      </c>
      <c r="DWS4" s="9">
        <f>BDH(DWS$1,"TOT_RETURN_INDEX_GROSS_DVDS",DataStart,DataEnd,"Per=M","Days=A","Fill=P","Currency="&amp;FxCurrency)</f>
        <v/>
      </c>
      <c r="DWU4" s="9">
        <f>BDH(DWU$1,"TOT_RETURN_INDEX_GROSS_DVDS",DataStart,DataEnd,"Per=M","Days=A","Fill=P","Currency="&amp;FxCurrency)</f>
        <v/>
      </c>
      <c r="DWW4" s="9">
        <f>BDH(DWW$1,"TOT_RETURN_INDEX_GROSS_DVDS",DataStart,DataEnd,"Per=M","Days=A","Fill=P","Currency="&amp;FxCurrency)</f>
        <v/>
      </c>
      <c r="DWY4" s="9">
        <f>BDH(DWY$1,"TOT_RETURN_INDEX_GROSS_DVDS",DataStart,DataEnd,"Per=M","Days=A","Fill=P","Currency="&amp;FxCurrency)</f>
        <v/>
      </c>
      <c r="DXA4" s="9">
        <f>BDH(DXA$1,"TOT_RETURN_INDEX_GROSS_DVDS",DataStart,DataEnd,"Per=M","Days=A","Fill=P","Currency="&amp;FxCurrency)</f>
        <v/>
      </c>
      <c r="DXC4" s="9">
        <f>BDH(DXC$1,"TOT_RETURN_INDEX_GROSS_DVDS",DataStart,DataEnd,"Per=M","Days=A","Fill=P","Currency="&amp;FxCurrency)</f>
        <v/>
      </c>
      <c r="DXE4" s="9">
        <f>BDH(DXE$1,"TOT_RETURN_INDEX_GROSS_DVDS",DataStart,DataEnd,"Per=M","Days=A","Fill=P","Currency="&amp;FxCurrency)</f>
        <v/>
      </c>
      <c r="DXG4" s="9">
        <f>BDH(DXG$1,"TOT_RETURN_INDEX_GROSS_DVDS",DataStart,DataEnd,"Per=M","Days=A","Fill=P","Currency="&amp;FxCurrency)</f>
        <v/>
      </c>
      <c r="DXI4" s="9">
        <f>BDH(DXI$1,"TOT_RETURN_INDEX_GROSS_DVDS",DataStart,DataEnd,"Per=M","Days=A","Fill=P","Currency="&amp;FxCurrency)</f>
        <v/>
      </c>
      <c r="DXK4" s="9">
        <f>BDH(DXK$1,"TOT_RETURN_INDEX_GROSS_DVDS",DataStart,DataEnd,"Per=M","Days=A","Fill=P","Currency="&amp;FxCurrency)</f>
        <v/>
      </c>
      <c r="DXM4" s="9">
        <f>BDH(DXM$1,"TOT_RETURN_INDEX_GROSS_DVDS",DataStart,DataEnd,"Per=M","Days=A","Fill=P","Currency="&amp;FxCurrency)</f>
        <v/>
      </c>
      <c r="DXO4" s="9">
        <f>BDH(DXO$1,"TOT_RETURN_INDEX_GROSS_DVDS",DataStart,DataEnd,"Per=M","Days=A","Fill=P","Currency="&amp;FxCurrency)</f>
        <v/>
      </c>
      <c r="DXQ4" s="9">
        <f>BDH(DXQ$1,"TOT_RETURN_INDEX_GROSS_DVDS",DataStart,DataEnd,"Per=M","Days=A","Fill=P","Currency="&amp;FxCurrency)</f>
        <v/>
      </c>
      <c r="DXS4" s="9">
        <f>BDH(DXS$1,"TOT_RETURN_INDEX_GROSS_DVDS",DataStart,DataEnd,"Per=M","Days=A","Fill=P","Currency="&amp;FxCurrency)</f>
        <v/>
      </c>
      <c r="DXU4" s="9">
        <f>BDH(DXU$1,"TOT_RETURN_INDEX_GROSS_DVDS",DataStart,DataEnd,"Per=M","Days=A","Fill=P","Currency="&amp;FxCurrency)</f>
        <v/>
      </c>
      <c r="DXW4" s="9">
        <f>BDH(DXW$1,"TOT_RETURN_INDEX_GROSS_DVDS",DataStart,DataEnd,"Per=M","Days=A","Fill=P","Currency="&amp;FxCurrency)</f>
        <v/>
      </c>
      <c r="DXY4" s="9">
        <f>BDH(DXY$1,"TOT_RETURN_INDEX_GROSS_DVDS",DataStart,DataEnd,"Per=M","Days=A","Fill=P","Currency="&amp;FxCurrency)</f>
        <v/>
      </c>
      <c r="DYA4" s="9">
        <f>BDH(DYA$1,"TOT_RETURN_INDEX_GROSS_DVDS",DataStart,DataEnd,"Per=M","Days=A","Fill=P","Currency="&amp;FxCurrency)</f>
        <v/>
      </c>
      <c r="DYC4" s="9">
        <f>BDH(DYC$1,"TOT_RETURN_INDEX_GROSS_DVDS",DataStart,DataEnd,"Per=M","Days=A","Fill=P","Currency="&amp;FxCurrency)</f>
        <v/>
      </c>
      <c r="DYE4" s="9">
        <f>BDH(DYE$1,"TOT_RETURN_INDEX_GROSS_DVDS",DataStart,DataEnd,"Per=M","Days=A","Fill=P","Currency="&amp;FxCurrency)</f>
        <v/>
      </c>
      <c r="DYG4" s="9">
        <f>BDH(DYG$1,"TOT_RETURN_INDEX_GROSS_DVDS",DataStart,DataEnd,"Per=M","Days=A","Fill=P","Currency="&amp;FxCurrency)</f>
        <v/>
      </c>
      <c r="DYI4" s="9">
        <f>BDH(DYI$1,"TOT_RETURN_INDEX_GROSS_DVDS",DataStart,DataEnd,"Per=M","Days=A","Fill=P","Currency="&amp;FxCurrency)</f>
        <v/>
      </c>
      <c r="DYK4" s="9">
        <f>BDH(DYK$1,"TOT_RETURN_INDEX_GROSS_DVDS",DataStart,DataEnd,"Per=M","Days=A","Fill=P","Currency="&amp;FxCurrency)</f>
        <v/>
      </c>
      <c r="DYM4" s="9">
        <f>BDH(DYM$1,"TOT_RETURN_INDEX_GROSS_DVDS",DataStart,DataEnd,"Per=M","Days=A","Fill=P","Currency="&amp;FxCurrency)</f>
        <v/>
      </c>
      <c r="DYO4" s="9">
        <f>BDH(DYO$1,"TOT_RETURN_INDEX_GROSS_DVDS",DataStart,DataEnd,"Per=M","Days=A","Fill=P","Currency="&amp;FxCurrency)</f>
        <v/>
      </c>
      <c r="DYQ4" s="9">
        <f>BDH(DYQ$1,"TOT_RETURN_INDEX_GROSS_DVDS",DataStart,DataEnd,"Per=M","Days=A","Fill=P","Currency="&amp;FxCurrency)</f>
        <v/>
      </c>
      <c r="DYS4" s="9">
        <f>BDH(DYS$1,"TOT_RETURN_INDEX_GROSS_DVDS",DataStart,DataEnd,"Per=M","Days=A","Fill=P","Currency="&amp;FxCurrency)</f>
        <v/>
      </c>
      <c r="DYU4" s="9">
        <f>BDH(DYU$1,"TOT_RETURN_INDEX_GROSS_DVDS",DataStart,DataEnd,"Per=M","Days=A","Fill=P","Currency="&amp;FxCurrency)</f>
        <v/>
      </c>
      <c r="DYW4" s="9">
        <f>BDH(DYW$1,"TOT_RETURN_INDEX_GROSS_DVDS",DataStart,DataEnd,"Per=M","Days=A","Fill=P","Currency="&amp;FxCurrency)</f>
        <v/>
      </c>
      <c r="DYY4" s="9">
        <f>BDH(DYY$1,"TOT_RETURN_INDEX_GROSS_DVDS",DataStart,DataEnd,"Per=M","Days=A","Fill=P","Currency="&amp;FxCurrency)</f>
        <v/>
      </c>
      <c r="DZA4" s="9">
        <f>BDH(DZA$1,"TOT_RETURN_INDEX_GROSS_DVDS",DataStart,DataEnd,"Per=M","Days=A","Fill=P","Currency="&amp;FxCurrency)</f>
        <v/>
      </c>
      <c r="DZC4" s="9">
        <f>BDH(DZC$1,"TOT_RETURN_INDEX_GROSS_DVDS",DataStart,DataEnd,"Per=M","Days=A","Fill=P","Currency="&amp;FxCurrency)</f>
        <v/>
      </c>
      <c r="DZE4" s="9">
        <f>BDH(DZE$1,"TOT_RETURN_INDEX_GROSS_DVDS",DataStart,DataEnd,"Per=M","Days=A","Fill=P","Currency="&amp;FxCurrency)</f>
        <v/>
      </c>
      <c r="DZG4" s="9">
        <f>BDH(DZG$1,"TOT_RETURN_INDEX_GROSS_DVDS",DataStart,DataEnd,"Per=M","Days=A","Fill=P","Currency="&amp;FxCurrency)</f>
        <v/>
      </c>
      <c r="DZI4" s="9">
        <f>BDH(DZI$1,"TOT_RETURN_INDEX_GROSS_DVDS",DataStart,DataEnd,"Per=M","Days=A","Fill=P","Currency="&amp;FxCurrency)</f>
        <v/>
      </c>
      <c r="DZK4" s="9">
        <f>BDH(DZK$1,"TOT_RETURN_INDEX_GROSS_DVDS",DataStart,DataEnd,"Per=M","Days=A","Fill=P","Currency="&amp;FxCurrency)</f>
        <v/>
      </c>
      <c r="DZM4" s="9">
        <f>BDH(DZM$1,"TOT_RETURN_INDEX_GROSS_DVDS",DataStart,DataEnd,"Per=M","Days=A","Fill=P","Currency="&amp;FxCurrency)</f>
        <v/>
      </c>
      <c r="DZO4" s="9">
        <f>BDH(DZO$1,"TOT_RETURN_INDEX_GROSS_DVDS",DataStart,DataEnd,"Per=M","Days=A","Fill=P","Currency="&amp;FxCurrency)</f>
        <v/>
      </c>
      <c r="DZQ4" s="9">
        <f>BDH(DZQ$1,"TOT_RETURN_INDEX_GROSS_DVDS",DataStart,DataEnd,"Per=M","Days=A","Fill=P","Currency="&amp;FxCurrency)</f>
        <v/>
      </c>
      <c r="DZS4" s="9">
        <f>BDH(DZS$1,"TOT_RETURN_INDEX_GROSS_DVDS",DataStart,DataEnd,"Per=M","Days=A","Fill=P","Currency="&amp;FxCurrency)</f>
        <v/>
      </c>
      <c r="DZU4" s="9">
        <f>BDH(DZU$1,"TOT_RETURN_INDEX_GROSS_DVDS",DataStart,DataEnd,"Per=M","Days=A","Fill=P","Currency="&amp;FxCurrency)</f>
        <v/>
      </c>
      <c r="DZW4" s="9">
        <f>BDH(DZW$1,"TOT_RETURN_INDEX_GROSS_DVDS",DataStart,DataEnd,"Per=M","Days=A","Fill=P","Currency="&amp;FxCurrency)</f>
        <v/>
      </c>
      <c r="DZY4" s="9">
        <f>BDH(DZY$1,"TOT_RETURN_INDEX_GROSS_DVDS",DataStart,DataEnd,"Per=M","Days=A","Fill=P","Currency="&amp;FxCurrency)</f>
        <v/>
      </c>
      <c r="EAA4" s="9">
        <f>BDH(EAA$1,"TOT_RETURN_INDEX_GROSS_DVDS",DataStart,DataEnd,"Per=M","Days=A","Fill=P","Currency="&amp;FxCurrency)</f>
        <v/>
      </c>
      <c r="EAC4" s="9">
        <f>BDH(EAC$1,"TOT_RETURN_INDEX_GROSS_DVDS",DataStart,DataEnd,"Per=M","Days=A","Fill=P","Currency="&amp;FxCurrency)</f>
        <v/>
      </c>
      <c r="EAE4" s="9">
        <f>BDH(EAE$1,"TOT_RETURN_INDEX_GROSS_DVDS",DataStart,DataEnd,"Per=M","Days=A","Fill=P","Currency="&amp;FxCurrency)</f>
        <v/>
      </c>
      <c r="EAG4" s="9">
        <f>BDH(EAG$1,"TOT_RETURN_INDEX_GROSS_DVDS",DataStart,DataEnd,"Per=M","Days=A","Fill=P","Currency="&amp;FxCurrency)</f>
        <v/>
      </c>
      <c r="EAI4" s="9">
        <f>BDH(EAI$1,"TOT_RETURN_INDEX_GROSS_DVDS",DataStart,DataEnd,"Per=M","Days=A","Fill=P","Currency="&amp;FxCurrency)</f>
        <v/>
      </c>
      <c r="EAK4" s="9">
        <f>BDH(EAK$1,"TOT_RETURN_INDEX_GROSS_DVDS",DataStart,DataEnd,"Per=M","Days=A","Fill=P","Currency="&amp;FxCurrency)</f>
        <v/>
      </c>
      <c r="EAM4" s="9">
        <f>BDH(EAM$1,"TOT_RETURN_INDEX_GROSS_DVDS",DataStart,DataEnd,"Per=M","Days=A","Fill=P","Currency="&amp;FxCurrency)</f>
        <v/>
      </c>
      <c r="EAO4" s="9">
        <f>BDH(EAO$1,"TOT_RETURN_INDEX_GROSS_DVDS",DataStart,DataEnd,"Per=M","Days=A","Fill=P","Currency="&amp;FxCurrency)</f>
        <v/>
      </c>
      <c r="EAQ4" s="9">
        <f>BDH(EAQ$1,"TOT_RETURN_INDEX_GROSS_DVDS",DataStart,DataEnd,"Per=M","Days=A","Fill=P","Currency="&amp;FxCurrency)</f>
        <v/>
      </c>
      <c r="EAS4" s="9">
        <f>BDH(EAS$1,"TOT_RETURN_INDEX_GROSS_DVDS",DataStart,DataEnd,"Per=M","Days=A","Fill=P","Currency="&amp;FxCurrency)</f>
        <v/>
      </c>
      <c r="EAU4" s="9">
        <f>BDH(EAU$1,"TOT_RETURN_INDEX_GROSS_DVDS",DataStart,DataEnd,"Per=M","Days=A","Fill=P","Currency="&amp;FxCurrency)</f>
        <v/>
      </c>
      <c r="EAW4" s="9">
        <f>BDH(EAW$1,"TOT_RETURN_INDEX_GROSS_DVDS",DataStart,DataEnd,"Per=M","Days=A","Fill=P","Currency="&amp;FxCurrency)</f>
        <v/>
      </c>
      <c r="EAY4" s="9">
        <f>BDH(EAY$1,"TOT_RETURN_INDEX_GROSS_DVDS",DataStart,DataEnd,"Per=M","Days=A","Fill=P","Currency="&amp;FxCurrency)</f>
        <v/>
      </c>
      <c r="EBA4" s="9">
        <f>BDH(EBA$1,"TOT_RETURN_INDEX_GROSS_DVDS",DataStart,DataEnd,"Per=M","Days=A","Fill=P","Currency="&amp;FxCurrency)</f>
        <v/>
      </c>
      <c r="EBC4" s="9">
        <f>BDH(EBC$1,"TOT_RETURN_INDEX_GROSS_DVDS",DataStart,DataEnd,"Per=M","Days=A","Fill=P","Currency="&amp;FxCurrency)</f>
        <v/>
      </c>
      <c r="EBE4" s="9">
        <f>BDH(EBE$1,"TOT_RETURN_INDEX_GROSS_DVDS",DataStart,DataEnd,"Per=M","Days=A","Fill=P","Currency="&amp;FxCurrency)</f>
        <v/>
      </c>
      <c r="EBG4" s="9">
        <f>BDH(EBG$1,"TOT_RETURN_INDEX_GROSS_DVDS",DataStart,DataEnd,"Per=M","Days=A","Fill=P","Currency="&amp;FxCurrency)</f>
        <v/>
      </c>
      <c r="EBI4" s="9">
        <f>BDH(EBI$1,"TOT_RETURN_INDEX_GROSS_DVDS",DataStart,DataEnd,"Per=M","Days=A","Fill=P","Currency="&amp;FxCurrency)</f>
        <v/>
      </c>
      <c r="EBK4" s="9">
        <f>BDH(EBK$1,"TOT_RETURN_INDEX_GROSS_DVDS",DataStart,DataEnd,"Per=M","Days=A","Fill=P","Currency="&amp;FxCurrency)</f>
        <v/>
      </c>
      <c r="EBM4" s="9">
        <f>BDH(EBM$1,"TOT_RETURN_INDEX_GROSS_DVDS",DataStart,DataEnd,"Per=M","Days=A","Fill=P","Currency="&amp;FxCurrency)</f>
        <v/>
      </c>
      <c r="EBO4" s="9">
        <f>BDH(EBO$1,"TOT_RETURN_INDEX_GROSS_DVDS",DataStart,DataEnd,"Per=M","Days=A","Fill=P","Currency="&amp;FxCurrency)</f>
        <v/>
      </c>
      <c r="EBQ4" s="9">
        <f>BDH(EBQ$1,"TOT_RETURN_INDEX_GROSS_DVDS",DataStart,DataEnd,"Per=M","Days=A","Fill=P","Currency="&amp;FxCurrency)</f>
        <v/>
      </c>
      <c r="EBS4" s="9">
        <f>BDH(EBS$1,"TOT_RETURN_INDEX_GROSS_DVDS",DataStart,DataEnd,"Per=M","Days=A","Fill=P","Currency="&amp;FxCurrency)</f>
        <v/>
      </c>
      <c r="EBU4" s="9">
        <f>BDH(EBU$1,"TOT_RETURN_INDEX_GROSS_DVDS",DataStart,DataEnd,"Per=M","Days=A","Fill=P","Currency="&amp;FxCurrency)</f>
        <v/>
      </c>
      <c r="EBW4" s="9">
        <f>BDH(EBW$1,"TOT_RETURN_INDEX_GROSS_DVDS",DataStart,DataEnd,"Per=M","Days=A","Fill=P","Currency="&amp;FxCurrency)</f>
        <v/>
      </c>
      <c r="EBY4" s="9">
        <f>BDH(EBY$1,"TOT_RETURN_INDEX_GROSS_DVDS",DataStart,DataEnd,"Per=M","Days=A","Fill=P","Currency="&amp;FxCurrency)</f>
        <v/>
      </c>
      <c r="ECA4" s="9">
        <f>BDH(ECA$1,"TOT_RETURN_INDEX_GROSS_DVDS",DataStart,DataEnd,"Per=M","Days=A","Fill=P","Currency="&amp;FxCurrency)</f>
        <v/>
      </c>
      <c r="ECC4" s="9">
        <f>BDH(ECC$1,"TOT_RETURN_INDEX_GROSS_DVDS",DataStart,DataEnd,"Per=M","Days=A","Fill=P","Currency="&amp;FxCurrency)</f>
        <v/>
      </c>
      <c r="ECE4" s="9">
        <f>BDH(ECE$1,"TOT_RETURN_INDEX_GROSS_DVDS",DataStart,DataEnd,"Per=M","Days=A","Fill=P","Currency="&amp;FxCurrency)</f>
        <v/>
      </c>
      <c r="ECG4" s="9">
        <f>BDH(ECG$1,"TOT_RETURN_INDEX_GROSS_DVDS",DataStart,DataEnd,"Per=M","Days=A","Fill=P","Currency="&amp;FxCurrency)</f>
        <v/>
      </c>
      <c r="ECI4" s="9">
        <f>BDH(ECI$1,"TOT_RETURN_INDEX_GROSS_DVDS",DataStart,DataEnd,"Per=M","Days=A","Fill=P","Currency="&amp;FxCurrency)</f>
        <v/>
      </c>
      <c r="ECK4" s="9">
        <f>BDH(ECK$1,"TOT_RETURN_INDEX_GROSS_DVDS",DataStart,DataEnd,"Per=M","Days=A","Fill=P","Currency="&amp;FxCurrency)</f>
        <v/>
      </c>
      <c r="ECM4" s="9">
        <f>BDH(ECM$1,"TOT_RETURN_INDEX_GROSS_DVDS",DataStart,DataEnd,"Per=M","Days=A","Fill=P","Currency="&amp;FxCurrency)</f>
        <v/>
      </c>
      <c r="ECO4" s="9">
        <f>BDH(ECO$1,"TOT_RETURN_INDEX_GROSS_DVDS",DataStart,DataEnd,"Per=M","Days=A","Fill=P","Currency="&amp;FxCurrency)</f>
        <v/>
      </c>
      <c r="ECQ4" s="9">
        <f>BDH(ECQ$1,"TOT_RETURN_INDEX_GROSS_DVDS",DataStart,DataEnd,"Per=M","Days=A","Fill=P","Currency="&amp;FxCurrency)</f>
        <v/>
      </c>
      <c r="ECS4" s="9">
        <f>BDH(ECS$1,"TOT_RETURN_INDEX_GROSS_DVDS",DataStart,DataEnd,"Per=M","Days=A","Fill=P","Currency="&amp;FxCurrency)</f>
        <v/>
      </c>
      <c r="ECU4" s="9">
        <f>BDH(ECU$1,"TOT_RETURN_INDEX_GROSS_DVDS",DataStart,DataEnd,"Per=M","Days=A","Fill=P","Currency="&amp;FxCurrency)</f>
        <v/>
      </c>
      <c r="ECW4" s="9">
        <f>BDH(ECW$1,"TOT_RETURN_INDEX_GROSS_DVDS",DataStart,DataEnd,"Per=M","Days=A","Fill=P","Currency="&amp;FxCurrency)</f>
        <v/>
      </c>
      <c r="ECY4" s="9">
        <f>BDH(ECY$1,"TOT_RETURN_INDEX_GROSS_DVDS",DataStart,DataEnd,"Per=M","Days=A","Fill=P","Currency="&amp;FxCurrency)</f>
        <v/>
      </c>
      <c r="EDA4" s="9">
        <f>BDH(EDA$1,"TOT_RETURN_INDEX_GROSS_DVDS",DataStart,DataEnd,"Per=M","Days=A","Fill=P","Currency="&amp;FxCurrency)</f>
        <v/>
      </c>
      <c r="EDC4" s="9">
        <f>BDH(EDC$1,"TOT_RETURN_INDEX_GROSS_DVDS",DataStart,DataEnd,"Per=M","Days=A","Fill=P","Currency="&amp;FxCurrency)</f>
        <v/>
      </c>
      <c r="EDE4" s="9">
        <f>BDH(EDE$1,"TOT_RETURN_INDEX_GROSS_DVDS",DataStart,DataEnd,"Per=M","Days=A","Fill=P","Currency="&amp;FxCurrency)</f>
        <v/>
      </c>
      <c r="EDG4" s="9">
        <f>BDH(EDG$1,"TOT_RETURN_INDEX_GROSS_DVDS",DataStart,DataEnd,"Per=M","Days=A","Fill=P","Currency="&amp;FxCurrency)</f>
        <v/>
      </c>
      <c r="EDI4" s="9">
        <f>BDH(EDI$1,"TOT_RETURN_INDEX_GROSS_DVDS",DataStart,DataEnd,"Per=M","Days=A","Fill=P","Currency="&amp;FxCurrency)</f>
        <v/>
      </c>
      <c r="EDK4" s="9">
        <f>BDH(EDK$1,"TOT_RETURN_INDEX_GROSS_DVDS",DataStart,DataEnd,"Per=M","Days=A","Fill=P","Currency="&amp;FxCurrency)</f>
        <v/>
      </c>
      <c r="EDM4" s="9">
        <f>BDH(EDM$1,"TOT_RETURN_INDEX_GROSS_DVDS",DataStart,DataEnd,"Per=M","Days=A","Fill=P","Currency="&amp;FxCurrency)</f>
        <v/>
      </c>
      <c r="EDO4" s="9">
        <f>BDH(EDO$1,"TOT_RETURN_INDEX_GROSS_DVDS",DataStart,DataEnd,"Per=M","Days=A","Fill=P","Currency="&amp;FxCurrency)</f>
        <v/>
      </c>
      <c r="EDQ4" s="9">
        <f>BDH(EDQ$1,"TOT_RETURN_INDEX_GROSS_DVDS",DataStart,DataEnd,"Per=M","Days=A","Fill=P","Currency="&amp;FxCurrency)</f>
        <v/>
      </c>
      <c r="EDS4" s="9">
        <f>BDH(EDS$1,"TOT_RETURN_INDEX_GROSS_DVDS",DataStart,DataEnd,"Per=M","Days=A","Fill=P","Currency="&amp;FxCurrency)</f>
        <v/>
      </c>
      <c r="EDU4" s="9">
        <f>BDH(EDU$1,"TOT_RETURN_INDEX_GROSS_DVDS",DataStart,DataEnd,"Per=M","Days=A","Fill=P","Currency="&amp;FxCurrency)</f>
        <v/>
      </c>
      <c r="EDW4" s="9">
        <f>BDH(EDW$1,"TOT_RETURN_INDEX_GROSS_DVDS",DataStart,DataEnd,"Per=M","Days=A","Fill=P","Currency="&amp;FxCurrency)</f>
        <v/>
      </c>
      <c r="EDY4" s="9">
        <f>BDH(EDY$1,"TOT_RETURN_INDEX_GROSS_DVDS",DataStart,DataEnd,"Per=M","Days=A","Fill=P","Currency="&amp;FxCurrency)</f>
        <v/>
      </c>
      <c r="EEA4" s="9">
        <f>BDH(EEA$1,"TOT_RETURN_INDEX_GROSS_DVDS",DataStart,DataEnd,"Per=M","Days=A","Fill=P","Currency="&amp;FxCurrency)</f>
        <v/>
      </c>
      <c r="EEC4" s="9">
        <f>BDH(EEC$1,"TOT_RETURN_INDEX_GROSS_DVDS",DataStart,DataEnd,"Per=M","Days=A","Fill=P","Currency="&amp;FxCurrency)</f>
        <v/>
      </c>
      <c r="EEE4" s="9">
        <f>BDH(EEE$1,"TOT_RETURN_INDEX_GROSS_DVDS",DataStart,DataEnd,"Per=M","Days=A","Fill=P","Currency="&amp;FxCurrency)</f>
        <v/>
      </c>
      <c r="EEG4" s="9">
        <f>BDH(EEG$1,"TOT_RETURN_INDEX_GROSS_DVDS",DataStart,DataEnd,"Per=M","Days=A","Fill=P","Currency="&amp;FxCurrency)</f>
        <v/>
      </c>
      <c r="EEI4" s="9">
        <f>BDH(EEI$1,"TOT_RETURN_INDEX_GROSS_DVDS",DataStart,DataEnd,"Per=M","Days=A","Fill=P","Currency="&amp;FxCurrency)</f>
        <v/>
      </c>
      <c r="EEK4" s="9">
        <f>BDH(EEK$1,"TOT_RETURN_INDEX_GROSS_DVDS",DataStart,DataEnd,"Per=M","Days=A","Fill=P","Currency="&amp;FxCurrency)</f>
        <v/>
      </c>
      <c r="EEM4" s="9">
        <f>BDH(EEM$1,"TOT_RETURN_INDEX_GROSS_DVDS",DataStart,DataEnd,"Per=M","Days=A","Fill=P","Currency="&amp;FxCurrency)</f>
        <v/>
      </c>
      <c r="EEO4" s="9">
        <f>BDH(EEO$1,"TOT_RETURN_INDEX_GROSS_DVDS",DataStart,DataEnd,"Per=M","Days=A","Fill=P","Currency="&amp;FxCurrency)</f>
        <v/>
      </c>
      <c r="EEQ4" s="9">
        <f>BDH(EEQ$1,"TOT_RETURN_INDEX_GROSS_DVDS",DataStart,DataEnd,"Per=M","Days=A","Fill=P","Currency="&amp;FxCurrency)</f>
        <v/>
      </c>
      <c r="EES4" s="9">
        <f>BDH(EES$1,"TOT_RETURN_INDEX_GROSS_DVDS",DataStart,DataEnd,"Per=M","Days=A","Fill=P","Currency="&amp;FxCurrency)</f>
        <v/>
      </c>
      <c r="EEU4" s="9">
        <f>BDH(EEU$1,"TOT_RETURN_INDEX_GROSS_DVDS",DataStart,DataEnd,"Per=M","Days=A","Fill=P","Currency="&amp;FxCurrency)</f>
        <v/>
      </c>
      <c r="EEW4" s="9">
        <f>BDH(EEW$1,"TOT_RETURN_INDEX_GROSS_DVDS",DataStart,DataEnd,"Per=M","Days=A","Fill=P","Currency="&amp;FxCurrency)</f>
        <v/>
      </c>
      <c r="EEY4" s="9">
        <f>BDH(EEY$1,"TOT_RETURN_INDEX_GROSS_DVDS",DataStart,DataEnd,"Per=M","Days=A","Fill=P","Currency="&amp;FxCurrency)</f>
        <v/>
      </c>
      <c r="EFA4" s="9">
        <f>BDH(EFA$1,"TOT_RETURN_INDEX_GROSS_DVDS",DataStart,DataEnd,"Per=M","Days=A","Fill=P","Currency="&amp;FxCurrency)</f>
        <v/>
      </c>
      <c r="EFC4" s="9">
        <f>BDH(EFC$1,"TOT_RETURN_INDEX_GROSS_DVDS",DataStart,DataEnd,"Per=M","Days=A","Fill=P","Currency="&amp;FxCurrency)</f>
        <v/>
      </c>
      <c r="EFE4" s="9">
        <f>BDH(EFE$1,"TOT_RETURN_INDEX_GROSS_DVDS",DataStart,DataEnd,"Per=M","Days=A","Fill=P","Currency="&amp;FxCurrency)</f>
        <v/>
      </c>
      <c r="EFG4" s="9">
        <f>BDH(EFG$1,"TOT_RETURN_INDEX_GROSS_DVDS",DataStart,DataEnd,"Per=M","Days=A","Fill=P","Currency="&amp;FxCurrency)</f>
        <v/>
      </c>
      <c r="EFI4" s="9">
        <f>BDH(EFI$1,"TOT_RETURN_INDEX_GROSS_DVDS",DataStart,DataEnd,"Per=M","Days=A","Fill=P","Currency="&amp;FxCurrency)</f>
        <v/>
      </c>
      <c r="EFK4" s="9">
        <f>BDH(EFK$1,"TOT_RETURN_INDEX_GROSS_DVDS",DataStart,DataEnd,"Per=M","Days=A","Fill=P","Currency="&amp;FxCurrency)</f>
        <v/>
      </c>
      <c r="EFM4" s="9">
        <f>BDH(EFM$1,"TOT_RETURN_INDEX_GROSS_DVDS",DataStart,DataEnd,"Per=M","Days=A","Fill=P","Currency="&amp;FxCurrency)</f>
        <v/>
      </c>
      <c r="EFO4" s="9">
        <f>BDH(EFO$1,"TOT_RETURN_INDEX_GROSS_DVDS",DataStart,DataEnd,"Per=M","Days=A","Fill=P","Currency="&amp;FxCurrency)</f>
        <v/>
      </c>
      <c r="EFQ4" s="9">
        <f>BDH(EFQ$1,"TOT_RETURN_INDEX_GROSS_DVDS",DataStart,DataEnd,"Per=M","Days=A","Fill=P","Currency="&amp;FxCurrency)</f>
        <v/>
      </c>
      <c r="EFS4" s="9">
        <f>BDH(EFS$1,"TOT_RETURN_INDEX_GROSS_DVDS",DataStart,DataEnd,"Per=M","Days=A","Fill=P","Currency="&amp;FxCurrency)</f>
        <v/>
      </c>
      <c r="EFU4" s="9">
        <f>BDH(EFU$1,"TOT_RETURN_INDEX_GROSS_DVDS",DataStart,DataEnd,"Per=M","Days=A","Fill=P","Currency="&amp;FxCurrency)</f>
        <v/>
      </c>
      <c r="EFW4" s="9">
        <f>BDH(EFW$1,"TOT_RETURN_INDEX_GROSS_DVDS",DataStart,DataEnd,"Per=M","Days=A","Fill=P","Currency="&amp;FxCurrency)</f>
        <v/>
      </c>
      <c r="EFY4" s="9">
        <f>BDH(EFY$1,"TOT_RETURN_INDEX_GROSS_DVDS",DataStart,DataEnd,"Per=M","Days=A","Fill=P","Currency="&amp;FxCurrency)</f>
        <v/>
      </c>
      <c r="EGA4" s="9">
        <f>BDH(EGA$1,"TOT_RETURN_INDEX_GROSS_DVDS",DataStart,DataEnd,"Per=M","Days=A","Fill=P","Currency="&amp;FxCurrency)</f>
        <v/>
      </c>
      <c r="EGC4" s="9">
        <f>BDH(EGC$1,"TOT_RETURN_INDEX_GROSS_DVDS",DataStart,DataEnd,"Per=M","Days=A","Fill=P","Currency="&amp;FxCurrency)</f>
        <v/>
      </c>
      <c r="EGE4" s="9">
        <f>BDH(EGE$1,"TOT_RETURN_INDEX_GROSS_DVDS",DataStart,DataEnd,"Per=M","Days=A","Fill=P","Currency="&amp;FxCurrency)</f>
        <v/>
      </c>
      <c r="EGG4" s="9">
        <f>BDH(EGG$1,"TOT_RETURN_INDEX_GROSS_DVDS",DataStart,DataEnd,"Per=M","Days=A","Fill=P","Currency="&amp;FxCurrency)</f>
        <v/>
      </c>
      <c r="EGI4" s="9">
        <f>BDH(EGI$1,"TOT_RETURN_INDEX_GROSS_DVDS",DataStart,DataEnd,"Per=M","Days=A","Fill=P","Currency="&amp;FxCurrency)</f>
        <v/>
      </c>
      <c r="EGK4" s="9">
        <f>BDH(EGK$1,"TOT_RETURN_INDEX_GROSS_DVDS",DataStart,DataEnd,"Per=M","Days=A","Fill=P","Currency="&amp;FxCurrency)</f>
        <v/>
      </c>
      <c r="EGM4" s="9">
        <f>BDH(EGM$1,"TOT_RETURN_INDEX_GROSS_DVDS",DataStart,DataEnd,"Per=M","Days=A","Fill=P","Currency="&amp;FxCurrency)</f>
        <v/>
      </c>
      <c r="EGO4" s="9">
        <f>BDH(EGO$1,"TOT_RETURN_INDEX_GROSS_DVDS",DataStart,DataEnd,"Per=M","Days=A","Fill=P","Currency="&amp;FxCurrency)</f>
        <v/>
      </c>
      <c r="EGQ4" s="9">
        <f>BDH(EGQ$1,"TOT_RETURN_INDEX_GROSS_DVDS",DataStart,DataEnd,"Per=M","Days=A","Fill=P","Currency="&amp;FxCurrency)</f>
        <v/>
      </c>
      <c r="EGS4" s="9">
        <f>BDH(EGS$1,"TOT_RETURN_INDEX_GROSS_DVDS",DataStart,DataEnd,"Per=M","Days=A","Fill=P","Currency="&amp;FxCurrency)</f>
        <v/>
      </c>
      <c r="EGU4" s="9">
        <f>BDH(EGU$1,"TOT_RETURN_INDEX_GROSS_DVDS",DataStart,DataEnd,"Per=M","Days=A","Fill=P","Currency="&amp;FxCurrency)</f>
        <v/>
      </c>
      <c r="EGW4" s="9">
        <f>BDH(EGW$1,"TOT_RETURN_INDEX_GROSS_DVDS",DataStart,DataEnd,"Per=M","Days=A","Fill=P","Currency="&amp;FxCurrency)</f>
        <v/>
      </c>
      <c r="EGY4" s="9">
        <f>BDH(EGY$1,"TOT_RETURN_INDEX_GROSS_DVDS",DataStart,DataEnd,"Per=M","Days=A","Fill=P","Currency="&amp;FxCurrency)</f>
        <v/>
      </c>
      <c r="EHA4" s="9">
        <f>BDH(EHA$1,"TOT_RETURN_INDEX_GROSS_DVDS",DataStart,DataEnd,"Per=M","Days=A","Fill=P","Currency="&amp;FxCurrency)</f>
        <v/>
      </c>
      <c r="EHC4" s="9">
        <f>BDH(EHC$1,"TOT_RETURN_INDEX_GROSS_DVDS",DataStart,DataEnd,"Per=M","Days=A","Fill=P","Currency="&amp;FxCurrency)</f>
        <v/>
      </c>
      <c r="EHE4" s="9">
        <f>BDH(EHE$1,"TOT_RETURN_INDEX_GROSS_DVDS",DataStart,DataEnd,"Per=M","Days=A","Fill=P","Currency="&amp;FxCurrency)</f>
        <v/>
      </c>
      <c r="EHG4" s="9">
        <f>BDH(EHG$1,"TOT_RETURN_INDEX_GROSS_DVDS",DataStart,DataEnd,"Per=M","Days=A","Fill=P","Currency="&amp;FxCurrency)</f>
        <v/>
      </c>
      <c r="EHI4" s="9">
        <f>BDH(EHI$1,"TOT_RETURN_INDEX_GROSS_DVDS",DataStart,DataEnd,"Per=M","Days=A","Fill=P","Currency="&amp;FxCurrency)</f>
        <v/>
      </c>
      <c r="EHK4" s="9">
        <f>BDH(EHK$1,"TOT_RETURN_INDEX_GROSS_DVDS",DataStart,DataEnd,"Per=M","Days=A","Fill=P","Currency="&amp;FxCurrency)</f>
        <v/>
      </c>
      <c r="EHM4" s="9">
        <f>BDH(EHM$1,"TOT_RETURN_INDEX_GROSS_DVDS",DataStart,DataEnd,"Per=M","Days=A","Fill=P","Currency="&amp;FxCurrency)</f>
        <v/>
      </c>
      <c r="EHO4" s="9">
        <f>BDH(EHO$1,"TOT_RETURN_INDEX_GROSS_DVDS",DataStart,DataEnd,"Per=M","Days=A","Fill=P","Currency="&amp;FxCurrency)</f>
        <v/>
      </c>
      <c r="EHQ4" s="9">
        <f>BDH(EHQ$1,"TOT_RETURN_INDEX_GROSS_DVDS",DataStart,DataEnd,"Per=M","Days=A","Fill=P","Currency="&amp;FxCurrency)</f>
        <v/>
      </c>
      <c r="EHS4" s="9">
        <f>BDH(EHS$1,"TOT_RETURN_INDEX_GROSS_DVDS",DataStart,DataEnd,"Per=M","Days=A","Fill=P","Currency="&amp;FxCurrency)</f>
        <v/>
      </c>
      <c r="EHU4" s="9">
        <f>BDH(EHU$1,"TOT_RETURN_INDEX_GROSS_DVDS",DataStart,DataEnd,"Per=M","Days=A","Fill=P","Currency="&amp;FxCurrency)</f>
        <v/>
      </c>
      <c r="EHW4" s="9">
        <f>BDH(EHW$1,"TOT_RETURN_INDEX_GROSS_DVDS",DataStart,DataEnd,"Per=M","Days=A","Fill=P","Currency="&amp;FxCurrency)</f>
        <v/>
      </c>
      <c r="EHY4" s="9">
        <f>BDH(EHY$1,"TOT_RETURN_INDEX_GROSS_DVDS",DataStart,DataEnd,"Per=M","Days=A","Fill=P","Currency="&amp;FxCurrency)</f>
        <v/>
      </c>
      <c r="EIA4" s="9">
        <f>BDH(EIA$1,"TOT_RETURN_INDEX_GROSS_DVDS",DataStart,DataEnd,"Per=M","Days=A","Fill=P","Currency="&amp;FxCurrency)</f>
        <v/>
      </c>
      <c r="EIC4" s="9">
        <f>BDH(EIC$1,"TOT_RETURN_INDEX_GROSS_DVDS",DataStart,DataEnd,"Per=M","Days=A","Fill=P","Currency="&amp;FxCurrency)</f>
        <v/>
      </c>
      <c r="EIE4" s="9">
        <f>BDH(EIE$1,"TOT_RETURN_INDEX_GROSS_DVDS",DataStart,DataEnd,"Per=M","Days=A","Fill=P","Currency="&amp;FxCurrency)</f>
        <v/>
      </c>
      <c r="EIG4" s="9">
        <f>BDH(EIG$1,"TOT_RETURN_INDEX_GROSS_DVDS",DataStart,DataEnd,"Per=M","Days=A","Fill=P","Currency="&amp;FxCurrency)</f>
        <v/>
      </c>
      <c r="EII4" s="9">
        <f>BDH(EII$1,"TOT_RETURN_INDEX_GROSS_DVDS",DataStart,DataEnd,"Per=M","Days=A","Fill=P","Currency="&amp;FxCurrency)</f>
        <v/>
      </c>
      <c r="EIK4" s="9">
        <f>BDH(EIK$1,"TOT_RETURN_INDEX_GROSS_DVDS",DataStart,DataEnd,"Per=M","Days=A","Fill=P","Currency="&amp;FxCurrency)</f>
        <v/>
      </c>
      <c r="EIM4" s="9">
        <f>BDH(EIM$1,"TOT_RETURN_INDEX_GROSS_DVDS",DataStart,DataEnd,"Per=M","Days=A","Fill=P","Currency="&amp;FxCurrency)</f>
        <v/>
      </c>
      <c r="EIO4" s="9">
        <f>BDH(EIO$1,"TOT_RETURN_INDEX_GROSS_DVDS",DataStart,DataEnd,"Per=M","Days=A","Fill=P","Currency="&amp;FxCurrency)</f>
        <v/>
      </c>
      <c r="EIQ4" s="9">
        <f>BDH(EIQ$1,"TOT_RETURN_INDEX_GROSS_DVDS",DataStart,DataEnd,"Per=M","Days=A","Fill=P","Currency="&amp;FxCurrency)</f>
        <v/>
      </c>
      <c r="EIS4" s="9">
        <f>BDH(EIS$1,"TOT_RETURN_INDEX_GROSS_DVDS",DataStart,DataEnd,"Per=M","Days=A","Fill=P","Currency="&amp;FxCurrency)</f>
        <v/>
      </c>
      <c r="EIU4" s="9">
        <f>BDH(EIU$1,"TOT_RETURN_INDEX_GROSS_DVDS",DataStart,DataEnd,"Per=M","Days=A","Fill=P","Currency="&amp;FxCurrency)</f>
        <v/>
      </c>
      <c r="EIW4" s="9">
        <f>BDH(EIW$1,"TOT_RETURN_INDEX_GROSS_DVDS",DataStart,DataEnd,"Per=M","Days=A","Fill=P","Currency="&amp;FxCurrency)</f>
        <v/>
      </c>
      <c r="EIY4" s="9">
        <f>BDH(EIY$1,"TOT_RETURN_INDEX_GROSS_DVDS",DataStart,DataEnd,"Per=M","Days=A","Fill=P","Currency="&amp;FxCurrency)</f>
        <v/>
      </c>
      <c r="EJA4" s="9">
        <f>BDH(EJA$1,"TOT_RETURN_INDEX_GROSS_DVDS",DataStart,DataEnd,"Per=M","Days=A","Fill=P","Currency="&amp;FxCurrency)</f>
        <v/>
      </c>
      <c r="EJC4" s="9">
        <f>BDH(EJC$1,"TOT_RETURN_INDEX_GROSS_DVDS",DataStart,DataEnd,"Per=M","Days=A","Fill=P","Currency="&amp;FxCurrency)</f>
        <v/>
      </c>
      <c r="EJE4" s="9">
        <f>BDH(EJE$1,"TOT_RETURN_INDEX_GROSS_DVDS",DataStart,DataEnd,"Per=M","Days=A","Fill=P","Currency="&amp;FxCurrency)</f>
        <v/>
      </c>
      <c r="EJG4" s="9">
        <f>BDH(EJG$1,"TOT_RETURN_INDEX_GROSS_DVDS",DataStart,DataEnd,"Per=M","Days=A","Fill=P","Currency="&amp;FxCurrency)</f>
        <v/>
      </c>
      <c r="EJI4" s="9">
        <f>BDH(EJI$1,"TOT_RETURN_INDEX_GROSS_DVDS",DataStart,DataEnd,"Per=M","Days=A","Fill=P","Currency="&amp;FxCurrency)</f>
        <v/>
      </c>
      <c r="EJK4" s="9">
        <f>BDH(EJK$1,"TOT_RETURN_INDEX_GROSS_DVDS",DataStart,DataEnd,"Per=M","Days=A","Fill=P","Currency="&amp;FxCurrency)</f>
        <v/>
      </c>
      <c r="EJM4" s="9">
        <f>BDH(EJM$1,"TOT_RETURN_INDEX_GROSS_DVDS",DataStart,DataEnd,"Per=M","Days=A","Fill=P","Currency="&amp;FxCurrency)</f>
        <v/>
      </c>
      <c r="EJO4" s="9">
        <f>BDH(EJO$1,"TOT_RETURN_INDEX_GROSS_DVDS",DataStart,DataEnd,"Per=M","Days=A","Fill=P","Currency="&amp;FxCurrency)</f>
        <v/>
      </c>
      <c r="EJQ4" s="9">
        <f>BDH(EJQ$1,"TOT_RETURN_INDEX_GROSS_DVDS",DataStart,DataEnd,"Per=M","Days=A","Fill=P","Currency="&amp;FxCurrency)</f>
        <v/>
      </c>
      <c r="EJS4" s="9">
        <f>BDH(EJS$1,"TOT_RETURN_INDEX_GROSS_DVDS",DataStart,DataEnd,"Per=M","Days=A","Fill=P","Currency="&amp;FxCurrency)</f>
        <v/>
      </c>
      <c r="EJU4" s="9">
        <f>BDH(EJU$1,"TOT_RETURN_INDEX_GROSS_DVDS",DataStart,DataEnd,"Per=M","Days=A","Fill=P","Currency="&amp;FxCurrency)</f>
        <v/>
      </c>
      <c r="EJW4" s="9">
        <f>BDH(EJW$1,"TOT_RETURN_INDEX_GROSS_DVDS",DataStart,DataEnd,"Per=M","Days=A","Fill=P","Currency="&amp;FxCurrency)</f>
        <v/>
      </c>
      <c r="EJY4" s="9">
        <f>BDH(EJY$1,"TOT_RETURN_INDEX_GROSS_DVDS",DataStart,DataEnd,"Per=M","Days=A","Fill=P","Currency="&amp;FxCurrency)</f>
        <v/>
      </c>
      <c r="EKA4" s="9">
        <f>BDH(EKA$1,"TOT_RETURN_INDEX_GROSS_DVDS",DataStart,DataEnd,"Per=M","Days=A","Fill=P","Currency="&amp;FxCurrency)</f>
        <v/>
      </c>
      <c r="EKC4" s="9">
        <f>BDH(EKC$1,"TOT_RETURN_INDEX_GROSS_DVDS",DataStart,DataEnd,"Per=M","Days=A","Fill=P","Currency="&amp;FxCurrency)</f>
        <v/>
      </c>
      <c r="EKE4" s="9">
        <f>BDH(EKE$1,"TOT_RETURN_INDEX_GROSS_DVDS",DataStart,DataEnd,"Per=M","Days=A","Fill=P","Currency="&amp;FxCurrency)</f>
        <v/>
      </c>
      <c r="EKG4" s="9">
        <f>BDH(EKG$1,"TOT_RETURN_INDEX_GROSS_DVDS",DataStart,DataEnd,"Per=M","Days=A","Fill=P","Currency="&amp;FxCurrency)</f>
        <v/>
      </c>
      <c r="EKI4" s="9">
        <f>BDH(EKI$1,"TOT_RETURN_INDEX_GROSS_DVDS",DataStart,DataEnd,"Per=M","Days=A","Fill=P","Currency="&amp;FxCurrency)</f>
        <v/>
      </c>
      <c r="EKK4" s="9">
        <f>BDH(EKK$1,"TOT_RETURN_INDEX_GROSS_DVDS",DataStart,DataEnd,"Per=M","Days=A","Fill=P","Currency="&amp;FxCurrency)</f>
        <v/>
      </c>
      <c r="EKM4" s="9">
        <f>BDH(EKM$1,"TOT_RETURN_INDEX_GROSS_DVDS",DataStart,DataEnd,"Per=M","Days=A","Fill=P","Currency="&amp;FxCurrency)</f>
        <v/>
      </c>
      <c r="EKO4" s="9">
        <f>BDH(EKO$1,"TOT_RETURN_INDEX_GROSS_DVDS",DataStart,DataEnd,"Per=M","Days=A","Fill=P","Currency="&amp;FxCurrency)</f>
        <v/>
      </c>
      <c r="EKQ4" s="9">
        <f>BDH(EKQ$1,"TOT_RETURN_INDEX_GROSS_DVDS",DataStart,DataEnd,"Per=M","Days=A","Fill=P","Currency="&amp;FxCurrency)</f>
        <v/>
      </c>
      <c r="EKS4" s="9">
        <f>BDH(EKS$1,"TOT_RETURN_INDEX_GROSS_DVDS",DataStart,DataEnd,"Per=M","Days=A","Fill=P","Currency="&amp;FxCurrency)</f>
        <v/>
      </c>
      <c r="EKU4" s="9">
        <f>BDH(EKU$1,"TOT_RETURN_INDEX_GROSS_DVDS",DataStart,DataEnd,"Per=M","Days=A","Fill=P","Currency="&amp;FxCurrency)</f>
        <v/>
      </c>
      <c r="EKW4" s="9">
        <f>BDH(EKW$1,"TOT_RETURN_INDEX_GROSS_DVDS",DataStart,DataEnd,"Per=M","Days=A","Fill=P","Currency="&amp;FxCurrency)</f>
        <v/>
      </c>
      <c r="EKY4" s="9">
        <f>BDH(EKY$1,"TOT_RETURN_INDEX_GROSS_DVDS",DataStart,DataEnd,"Per=M","Days=A","Fill=P","Currency="&amp;FxCurrency)</f>
        <v/>
      </c>
      <c r="ELA4" s="9">
        <f>BDH(ELA$1,"TOT_RETURN_INDEX_GROSS_DVDS",DataStart,DataEnd,"Per=M","Days=A","Fill=P","Currency="&amp;FxCurrency)</f>
        <v/>
      </c>
      <c r="ELC4" s="9">
        <f>BDH(ELC$1,"TOT_RETURN_INDEX_GROSS_DVDS",DataStart,DataEnd,"Per=M","Days=A","Fill=P","Currency="&amp;FxCurrency)</f>
        <v/>
      </c>
      <c r="ELE4" s="9">
        <f>BDH(ELE$1,"TOT_RETURN_INDEX_GROSS_DVDS",DataStart,DataEnd,"Per=M","Days=A","Fill=P","Currency="&amp;FxCurrency)</f>
        <v/>
      </c>
      <c r="ELG4" s="9">
        <f>BDH(ELG$1,"TOT_RETURN_INDEX_GROSS_DVDS",DataStart,DataEnd,"Per=M","Days=A","Fill=P","Currency="&amp;FxCurrency)</f>
        <v/>
      </c>
      <c r="ELI4" s="9">
        <f>BDH(ELI$1,"TOT_RETURN_INDEX_GROSS_DVDS",DataStart,DataEnd,"Per=M","Days=A","Fill=P","Currency="&amp;FxCurrency)</f>
        <v/>
      </c>
      <c r="ELK4" s="9">
        <f>BDH(ELK$1,"TOT_RETURN_INDEX_GROSS_DVDS",DataStart,DataEnd,"Per=M","Days=A","Fill=P","Currency="&amp;FxCurrency)</f>
        <v/>
      </c>
      <c r="ELM4" s="9">
        <f>BDH(ELM$1,"TOT_RETURN_INDEX_GROSS_DVDS",DataStart,DataEnd,"Per=M","Days=A","Fill=P","Currency="&amp;FxCurrency)</f>
        <v/>
      </c>
      <c r="ELO4" s="9">
        <f>BDH(ELO$1,"TOT_RETURN_INDEX_GROSS_DVDS",DataStart,DataEnd,"Per=M","Days=A","Fill=P","Currency="&amp;FxCurrency)</f>
        <v/>
      </c>
      <c r="ELQ4" s="9">
        <f>BDH(ELQ$1,"TOT_RETURN_INDEX_GROSS_DVDS",DataStart,DataEnd,"Per=M","Days=A","Fill=P","Currency="&amp;FxCurrency)</f>
        <v/>
      </c>
      <c r="ELS4" s="9">
        <f>BDH(ELS$1,"TOT_RETURN_INDEX_GROSS_DVDS",DataStart,DataEnd,"Per=M","Days=A","Fill=P","Currency="&amp;FxCurrency)</f>
        <v/>
      </c>
      <c r="ELU4" s="9">
        <f>BDH(ELU$1,"TOT_RETURN_INDEX_GROSS_DVDS",DataStart,DataEnd,"Per=M","Days=A","Fill=P","Currency="&amp;FxCurrency)</f>
        <v/>
      </c>
      <c r="ELW4" s="9">
        <f>BDH(ELW$1,"TOT_RETURN_INDEX_GROSS_DVDS",DataStart,DataEnd,"Per=M","Days=A","Fill=P","Currency="&amp;FxCurrency)</f>
        <v/>
      </c>
      <c r="ELY4" s="9">
        <f>BDH(ELY$1,"TOT_RETURN_INDEX_GROSS_DVDS",DataStart,DataEnd,"Per=M","Days=A","Fill=P","Currency="&amp;FxCurrency)</f>
        <v/>
      </c>
      <c r="EMA4" s="9">
        <f>BDH(EMA$1,"TOT_RETURN_INDEX_GROSS_DVDS",DataStart,DataEnd,"Per=M","Days=A","Fill=P","Currency="&amp;FxCurrency)</f>
        <v/>
      </c>
      <c r="EMC4" s="9">
        <f>BDH(EMC$1,"TOT_RETURN_INDEX_GROSS_DVDS",DataStart,DataEnd,"Per=M","Days=A","Fill=P","Currency="&amp;FxCurrency)</f>
        <v/>
      </c>
      <c r="EME4" s="9">
        <f>BDH(EME$1,"TOT_RETURN_INDEX_GROSS_DVDS",DataStart,DataEnd,"Per=M","Days=A","Fill=P","Currency="&amp;FxCurrency)</f>
        <v/>
      </c>
      <c r="EMG4" s="9">
        <f>BDH(EMG$1,"TOT_RETURN_INDEX_GROSS_DVDS",DataStart,DataEnd,"Per=M","Days=A","Fill=P","Currency="&amp;FxCurrency)</f>
        <v/>
      </c>
      <c r="EMI4" s="9">
        <f>BDH(EMI$1,"TOT_RETURN_INDEX_GROSS_DVDS",DataStart,DataEnd,"Per=M","Days=A","Fill=P","Currency="&amp;FxCurrency)</f>
        <v/>
      </c>
      <c r="EMK4" s="9">
        <f>BDH(EMK$1,"TOT_RETURN_INDEX_GROSS_DVDS",DataStart,DataEnd,"Per=M","Days=A","Fill=P","Currency="&amp;FxCurrency)</f>
        <v/>
      </c>
      <c r="EMM4" s="9">
        <f>BDH(EMM$1,"TOT_RETURN_INDEX_GROSS_DVDS",DataStart,DataEnd,"Per=M","Days=A","Fill=P","Currency="&amp;FxCurrency)</f>
        <v/>
      </c>
      <c r="EMO4" s="9">
        <f>BDH(EMO$1,"TOT_RETURN_INDEX_GROSS_DVDS",DataStart,DataEnd,"Per=M","Days=A","Fill=P","Currency="&amp;FxCurrency)</f>
        <v/>
      </c>
      <c r="EMQ4" s="9">
        <f>BDH(EMQ$1,"TOT_RETURN_INDEX_GROSS_DVDS",DataStart,DataEnd,"Per=M","Days=A","Fill=P","Currency="&amp;FxCurrency)</f>
        <v/>
      </c>
      <c r="EMS4" s="9">
        <f>BDH(EMS$1,"TOT_RETURN_INDEX_GROSS_DVDS",DataStart,DataEnd,"Per=M","Days=A","Fill=P","Currency="&amp;FxCurrency)</f>
        <v/>
      </c>
      <c r="EMU4" s="9">
        <f>BDH(EMU$1,"TOT_RETURN_INDEX_GROSS_DVDS",DataStart,DataEnd,"Per=M","Days=A","Fill=P","Currency="&amp;FxCurrency)</f>
        <v/>
      </c>
      <c r="EMW4" s="9">
        <f>BDH(EMW$1,"TOT_RETURN_INDEX_GROSS_DVDS",DataStart,DataEnd,"Per=M","Days=A","Fill=P","Currency="&amp;FxCurrency)</f>
        <v/>
      </c>
      <c r="EMY4" s="9">
        <f>BDH(EMY$1,"TOT_RETURN_INDEX_GROSS_DVDS",DataStart,DataEnd,"Per=M","Days=A","Fill=P","Currency="&amp;FxCurrency)</f>
        <v/>
      </c>
      <c r="ENA4" s="9">
        <f>BDH(ENA$1,"TOT_RETURN_INDEX_GROSS_DVDS",DataStart,DataEnd,"Per=M","Days=A","Fill=P","Currency="&amp;FxCurrency)</f>
        <v/>
      </c>
      <c r="ENC4" s="9">
        <f>BDH(ENC$1,"TOT_RETURN_INDEX_GROSS_DVDS",DataStart,DataEnd,"Per=M","Days=A","Fill=P","Currency="&amp;FxCurrency)</f>
        <v/>
      </c>
      <c r="ENE4" s="9">
        <f>BDH(ENE$1,"TOT_RETURN_INDEX_GROSS_DVDS",DataStart,DataEnd,"Per=M","Days=A","Fill=P","Currency="&amp;FxCurrency)</f>
        <v/>
      </c>
      <c r="ENG4" s="9">
        <f>BDH(ENG$1,"TOT_RETURN_INDEX_GROSS_DVDS",DataStart,DataEnd,"Per=M","Days=A","Fill=P","Currency="&amp;FxCurrency)</f>
        <v/>
      </c>
      <c r="ENI4" s="9">
        <f>BDH(ENI$1,"TOT_RETURN_INDEX_GROSS_DVDS",DataStart,DataEnd,"Per=M","Days=A","Fill=P","Currency="&amp;FxCurrency)</f>
        <v/>
      </c>
      <c r="ENK4" s="9">
        <f>BDH(ENK$1,"TOT_RETURN_INDEX_GROSS_DVDS",DataStart,DataEnd,"Per=M","Days=A","Fill=P","Currency="&amp;FxCurrency)</f>
        <v/>
      </c>
      <c r="ENM4" s="9">
        <f>BDH(ENM$1,"TOT_RETURN_INDEX_GROSS_DVDS",DataStart,DataEnd,"Per=M","Days=A","Fill=P","Currency="&amp;FxCurrency)</f>
        <v/>
      </c>
      <c r="ENO4" s="9">
        <f>BDH(ENO$1,"TOT_RETURN_INDEX_GROSS_DVDS",DataStart,DataEnd,"Per=M","Days=A","Fill=P","Currency="&amp;FxCurrency)</f>
        <v/>
      </c>
      <c r="ENQ4" s="9">
        <f>BDH(ENQ$1,"TOT_RETURN_INDEX_GROSS_DVDS",DataStart,DataEnd,"Per=M","Days=A","Fill=P","Currency="&amp;FxCurrency)</f>
        <v/>
      </c>
      <c r="ENS4" s="9">
        <f>BDH(ENS$1,"TOT_RETURN_INDEX_GROSS_DVDS",DataStart,DataEnd,"Per=M","Days=A","Fill=P","Currency="&amp;FxCurrency)</f>
        <v/>
      </c>
      <c r="ENU4" s="9">
        <f>BDH(ENU$1,"TOT_RETURN_INDEX_GROSS_DVDS",DataStart,DataEnd,"Per=M","Days=A","Fill=P","Currency="&amp;FxCurrency)</f>
        <v/>
      </c>
      <c r="ENW4" s="9">
        <f>BDH(ENW$1,"TOT_RETURN_INDEX_GROSS_DVDS",DataStart,DataEnd,"Per=M","Days=A","Fill=P","Currency="&amp;FxCurrency)</f>
        <v/>
      </c>
      <c r="ENY4" s="9">
        <f>BDH(ENY$1,"TOT_RETURN_INDEX_GROSS_DVDS",DataStart,DataEnd,"Per=M","Days=A","Fill=P","Currency="&amp;FxCurrency)</f>
        <v/>
      </c>
      <c r="EOA4" s="9">
        <f>BDH(EOA$1,"TOT_RETURN_INDEX_GROSS_DVDS",DataStart,DataEnd,"Per=M","Days=A","Fill=P","Currency="&amp;FxCurrency)</f>
        <v/>
      </c>
      <c r="EOC4" s="9">
        <f>BDH(EOC$1,"TOT_RETURN_INDEX_GROSS_DVDS",DataStart,DataEnd,"Per=M","Days=A","Fill=P","Currency="&amp;FxCurrency)</f>
        <v/>
      </c>
      <c r="EOE4" s="9">
        <f>BDH(EOE$1,"TOT_RETURN_INDEX_GROSS_DVDS",DataStart,DataEnd,"Per=M","Days=A","Fill=P","Currency="&amp;FxCurrency)</f>
        <v/>
      </c>
      <c r="EOG4" s="9">
        <f>BDH(EOG$1,"TOT_RETURN_INDEX_GROSS_DVDS",DataStart,DataEnd,"Per=M","Days=A","Fill=P","Currency="&amp;FxCurrency)</f>
        <v/>
      </c>
      <c r="EOI4" s="9">
        <f>BDH(EOI$1,"TOT_RETURN_INDEX_GROSS_DVDS",DataStart,DataEnd,"Per=M","Days=A","Fill=P","Currency="&amp;FxCurrency)</f>
        <v/>
      </c>
      <c r="EOK4" s="9">
        <f>BDH(EOK$1,"TOT_RETURN_INDEX_GROSS_DVDS",DataStart,DataEnd,"Per=M","Days=A","Fill=P","Currency="&amp;FxCurrency)</f>
        <v/>
      </c>
      <c r="EOM4" s="9">
        <f>BDH(EOM$1,"TOT_RETURN_INDEX_GROSS_DVDS",DataStart,DataEnd,"Per=M","Days=A","Fill=P","Currency="&amp;FxCurrency)</f>
        <v/>
      </c>
      <c r="EOO4" s="9">
        <f>BDH(EOO$1,"TOT_RETURN_INDEX_GROSS_DVDS",DataStart,DataEnd,"Per=M","Days=A","Fill=P","Currency="&amp;FxCurrency)</f>
        <v/>
      </c>
      <c r="EOQ4" s="9">
        <f>BDH(EOQ$1,"TOT_RETURN_INDEX_GROSS_DVDS",DataStart,DataEnd,"Per=M","Days=A","Fill=P","Currency="&amp;FxCurrency)</f>
        <v/>
      </c>
      <c r="EOS4" s="9">
        <f>BDH(EOS$1,"TOT_RETURN_INDEX_GROSS_DVDS",DataStart,DataEnd,"Per=M","Days=A","Fill=P","Currency="&amp;FxCurrency)</f>
        <v/>
      </c>
      <c r="EOU4" s="9">
        <f>BDH(EOU$1,"TOT_RETURN_INDEX_GROSS_DVDS",DataStart,DataEnd,"Per=M","Days=A","Fill=P","Currency="&amp;FxCurrency)</f>
        <v/>
      </c>
      <c r="EOW4" s="9">
        <f>BDH(EOW$1,"TOT_RETURN_INDEX_GROSS_DVDS",DataStart,DataEnd,"Per=M","Days=A","Fill=P","Currency="&amp;FxCurrency)</f>
        <v/>
      </c>
      <c r="EOY4" s="9">
        <f>BDH(EOY$1,"TOT_RETURN_INDEX_GROSS_DVDS",DataStart,DataEnd,"Per=M","Days=A","Fill=P","Currency="&amp;FxCurrency)</f>
        <v/>
      </c>
      <c r="EPA4" s="9">
        <f>BDH(EPA$1,"TOT_RETURN_INDEX_GROSS_DVDS",DataStart,DataEnd,"Per=M","Days=A","Fill=P","Currency="&amp;FxCurrency)</f>
        <v/>
      </c>
      <c r="EPC4" s="9">
        <f>BDH(EPC$1,"TOT_RETURN_INDEX_GROSS_DVDS",DataStart,DataEnd,"Per=M","Days=A","Fill=P","Currency="&amp;FxCurrency)</f>
        <v/>
      </c>
      <c r="EPE4" s="9">
        <f>BDH(EPE$1,"TOT_RETURN_INDEX_GROSS_DVDS",DataStart,DataEnd,"Per=M","Days=A","Fill=P","Currency="&amp;FxCurrency)</f>
        <v/>
      </c>
      <c r="EPG4" s="9">
        <f>BDH(EPG$1,"TOT_RETURN_INDEX_GROSS_DVDS",DataStart,DataEnd,"Per=M","Days=A","Fill=P","Currency="&amp;FxCurrency)</f>
        <v/>
      </c>
      <c r="EPI4" s="9">
        <f>BDH(EPI$1,"TOT_RETURN_INDEX_GROSS_DVDS",DataStart,DataEnd,"Per=M","Days=A","Fill=P","Currency="&amp;FxCurrency)</f>
        <v/>
      </c>
      <c r="EPK4" s="9">
        <f>BDH(EPK$1,"TOT_RETURN_INDEX_GROSS_DVDS",DataStart,DataEnd,"Per=M","Days=A","Fill=P","Currency="&amp;FxCurrency)</f>
        <v/>
      </c>
      <c r="EPM4" s="9">
        <f>BDH(EPM$1,"TOT_RETURN_INDEX_GROSS_DVDS",DataStart,DataEnd,"Per=M","Days=A","Fill=P","Currency="&amp;FxCurrency)</f>
        <v/>
      </c>
      <c r="EPO4" s="9">
        <f>BDH(EPO$1,"TOT_RETURN_INDEX_GROSS_DVDS",DataStart,DataEnd,"Per=M","Days=A","Fill=P","Currency="&amp;FxCurrency)</f>
        <v/>
      </c>
      <c r="EPQ4" s="9">
        <f>BDH(EPQ$1,"TOT_RETURN_INDEX_GROSS_DVDS",DataStart,DataEnd,"Per=M","Days=A","Fill=P","Currency="&amp;FxCurrency)</f>
        <v/>
      </c>
      <c r="EPS4" s="9">
        <f>BDH(EPS$1,"TOT_RETURN_INDEX_GROSS_DVDS",DataStart,DataEnd,"Per=M","Days=A","Fill=P","Currency="&amp;FxCurrency)</f>
        <v/>
      </c>
      <c r="EPU4" s="9">
        <f>BDH(EPU$1,"TOT_RETURN_INDEX_GROSS_DVDS",DataStart,DataEnd,"Per=M","Days=A","Fill=P","Currency="&amp;FxCurrency)</f>
        <v/>
      </c>
      <c r="EPW4" s="9">
        <f>BDH(EPW$1,"TOT_RETURN_INDEX_GROSS_DVDS",DataStart,DataEnd,"Per=M","Days=A","Fill=P","Currency="&amp;FxCurrency)</f>
        <v/>
      </c>
      <c r="EPY4" s="9">
        <f>BDH(EPY$1,"TOT_RETURN_INDEX_GROSS_DVDS",DataStart,DataEnd,"Per=M","Days=A","Fill=P","Currency="&amp;FxCurrency)</f>
        <v/>
      </c>
      <c r="EQA4" s="9">
        <f>BDH(EQA$1,"TOT_RETURN_INDEX_GROSS_DVDS",DataStart,DataEnd,"Per=M","Days=A","Fill=P","Currency="&amp;FxCurrency)</f>
        <v/>
      </c>
      <c r="EQC4" s="9">
        <f>BDH(EQC$1,"TOT_RETURN_INDEX_GROSS_DVDS",DataStart,DataEnd,"Per=M","Days=A","Fill=P","Currency="&amp;FxCurrency)</f>
        <v/>
      </c>
      <c r="EQE4" s="9">
        <f>BDH(EQE$1,"TOT_RETURN_INDEX_GROSS_DVDS",DataStart,DataEnd,"Per=M","Days=A","Fill=P","Currency="&amp;FxCurrency)</f>
        <v/>
      </c>
      <c r="EQG4" s="9">
        <f>BDH(EQG$1,"TOT_RETURN_INDEX_GROSS_DVDS",DataStart,DataEnd,"Per=M","Days=A","Fill=P","Currency="&amp;FxCurrency)</f>
        <v/>
      </c>
      <c r="EQI4" s="9">
        <f>BDH(EQI$1,"TOT_RETURN_INDEX_GROSS_DVDS",DataStart,DataEnd,"Per=M","Days=A","Fill=P","Currency="&amp;FxCurrency)</f>
        <v/>
      </c>
      <c r="EQK4" s="9">
        <f>BDH(EQK$1,"TOT_RETURN_INDEX_GROSS_DVDS",DataStart,DataEnd,"Per=M","Days=A","Fill=P","Currency="&amp;FxCurrency)</f>
        <v/>
      </c>
      <c r="EQM4" s="9">
        <f>BDH(EQM$1,"TOT_RETURN_INDEX_GROSS_DVDS",DataStart,DataEnd,"Per=M","Days=A","Fill=P","Currency="&amp;FxCurrency)</f>
        <v/>
      </c>
      <c r="EQO4" s="9">
        <f>BDH(EQO$1,"TOT_RETURN_INDEX_GROSS_DVDS",DataStart,DataEnd,"Per=M","Days=A","Fill=P","Currency="&amp;FxCurrency)</f>
        <v/>
      </c>
      <c r="EQQ4" s="9">
        <f>BDH(EQQ$1,"TOT_RETURN_INDEX_GROSS_DVDS",DataStart,DataEnd,"Per=M","Days=A","Fill=P","Currency="&amp;FxCurrency)</f>
        <v/>
      </c>
      <c r="EQS4" s="9">
        <f>BDH(EQS$1,"TOT_RETURN_INDEX_GROSS_DVDS",DataStart,DataEnd,"Per=M","Days=A","Fill=P","Currency="&amp;FxCurrency)</f>
        <v/>
      </c>
      <c r="EQU4" s="9">
        <f>BDH(EQU$1,"TOT_RETURN_INDEX_GROSS_DVDS",DataStart,DataEnd,"Per=M","Days=A","Fill=P","Currency="&amp;FxCurrency)</f>
        <v/>
      </c>
      <c r="EQW4" s="9">
        <f>BDH(EQW$1,"TOT_RETURN_INDEX_GROSS_DVDS",DataStart,DataEnd,"Per=M","Days=A","Fill=P","Currency="&amp;FxCurrency)</f>
        <v/>
      </c>
      <c r="EQY4" s="9">
        <f>BDH(EQY$1,"TOT_RETURN_INDEX_GROSS_DVDS",DataStart,DataEnd,"Per=M","Days=A","Fill=P","Currency="&amp;FxCurrency)</f>
        <v/>
      </c>
      <c r="ERA4" s="9">
        <f>BDH(ERA$1,"TOT_RETURN_INDEX_GROSS_DVDS",DataStart,DataEnd,"Per=M","Days=A","Fill=P","Currency="&amp;FxCurrency)</f>
        <v/>
      </c>
      <c r="ERC4" s="9">
        <f>BDH(ERC$1,"TOT_RETURN_INDEX_GROSS_DVDS",DataStart,DataEnd,"Per=M","Days=A","Fill=P","Currency="&amp;FxCurrency)</f>
        <v/>
      </c>
      <c r="ERE4" s="9">
        <f>BDH(ERE$1,"TOT_RETURN_INDEX_GROSS_DVDS",DataStart,DataEnd,"Per=M","Days=A","Fill=P","Currency="&amp;FxCurrency)</f>
        <v/>
      </c>
      <c r="ERG4" s="9">
        <f>BDH(ERG$1,"TOT_RETURN_INDEX_GROSS_DVDS",DataStart,DataEnd,"Per=M","Days=A","Fill=P","Currency="&amp;FxCurrency)</f>
        <v/>
      </c>
      <c r="ERI4" s="9">
        <f>BDH(ERI$1,"TOT_RETURN_INDEX_GROSS_DVDS",DataStart,DataEnd,"Per=M","Days=A","Fill=P","Currency="&amp;FxCurrency)</f>
        <v/>
      </c>
      <c r="ERK4" s="9">
        <f>BDH(ERK$1,"TOT_RETURN_INDEX_GROSS_DVDS",DataStart,DataEnd,"Per=M","Days=A","Fill=P","Currency="&amp;FxCurrency)</f>
        <v/>
      </c>
      <c r="ERM4" s="9">
        <f>BDH(ERM$1,"TOT_RETURN_INDEX_GROSS_DVDS",DataStart,DataEnd,"Per=M","Days=A","Fill=P","Currency="&amp;FxCurrency)</f>
        <v/>
      </c>
      <c r="ERO4" s="9">
        <f>BDH(ERO$1,"TOT_RETURN_INDEX_GROSS_DVDS",DataStart,DataEnd,"Per=M","Days=A","Fill=P","Currency="&amp;FxCurrency)</f>
        <v/>
      </c>
      <c r="ERQ4" s="9">
        <f>BDH(ERQ$1,"TOT_RETURN_INDEX_GROSS_DVDS",DataStart,DataEnd,"Per=M","Days=A","Fill=P","Currency="&amp;FxCurrency)</f>
        <v/>
      </c>
      <c r="ERS4" s="9">
        <f>BDH(ERS$1,"TOT_RETURN_INDEX_GROSS_DVDS",DataStart,DataEnd,"Per=M","Days=A","Fill=P","Currency="&amp;FxCurrency)</f>
        <v/>
      </c>
      <c r="ERU4" s="9">
        <f>BDH(ERU$1,"TOT_RETURN_INDEX_GROSS_DVDS",DataStart,DataEnd,"Per=M","Days=A","Fill=P","Currency="&amp;FxCurrency)</f>
        <v/>
      </c>
      <c r="ERW4" s="9">
        <f>BDH(ERW$1,"TOT_RETURN_INDEX_GROSS_DVDS",DataStart,DataEnd,"Per=M","Days=A","Fill=P","Currency="&amp;FxCurrency)</f>
        <v/>
      </c>
      <c r="ERY4" s="9">
        <f>BDH(ERY$1,"TOT_RETURN_INDEX_GROSS_DVDS",DataStart,DataEnd,"Per=M","Days=A","Fill=P","Currency="&amp;FxCurrency)</f>
        <v/>
      </c>
      <c r="ESA4" s="9">
        <f>BDH(ESA$1,"TOT_RETURN_INDEX_GROSS_DVDS",DataStart,DataEnd,"Per=M","Days=A","Fill=P","Currency="&amp;FxCurrency)</f>
        <v/>
      </c>
      <c r="ESC4" s="9">
        <f>BDH(ESC$1,"TOT_RETURN_INDEX_GROSS_DVDS",DataStart,DataEnd,"Per=M","Days=A","Fill=P","Currency="&amp;FxCurrency)</f>
        <v/>
      </c>
      <c r="ESE4" s="9">
        <f>BDH(ESE$1,"TOT_RETURN_INDEX_GROSS_DVDS",DataStart,DataEnd,"Per=M","Days=A","Fill=P","Currency="&amp;FxCurrency)</f>
        <v/>
      </c>
      <c r="ESG4" s="9">
        <f>BDH(ESG$1,"TOT_RETURN_INDEX_GROSS_DVDS",DataStart,DataEnd,"Per=M","Days=A","Fill=P","Currency="&amp;FxCurrency)</f>
        <v/>
      </c>
      <c r="ESI4" s="9">
        <f>BDH(ESI$1,"TOT_RETURN_INDEX_GROSS_DVDS",DataStart,DataEnd,"Per=M","Days=A","Fill=P","Currency="&amp;FxCurrency)</f>
        <v/>
      </c>
      <c r="ESK4" s="9">
        <f>BDH(ESK$1,"TOT_RETURN_INDEX_GROSS_DVDS",DataStart,DataEnd,"Per=M","Days=A","Fill=P","Currency="&amp;FxCurrency)</f>
        <v/>
      </c>
      <c r="ESM4" s="9">
        <f>BDH(ESM$1,"TOT_RETURN_INDEX_GROSS_DVDS",DataStart,DataEnd,"Per=M","Days=A","Fill=P","Currency="&amp;FxCurrency)</f>
        <v/>
      </c>
      <c r="ESO4" s="9">
        <f>BDH(ESO$1,"TOT_RETURN_INDEX_GROSS_DVDS",DataStart,DataEnd,"Per=M","Days=A","Fill=P","Currency="&amp;FxCurrency)</f>
        <v/>
      </c>
      <c r="ESQ4" s="9">
        <f>BDH(ESQ$1,"TOT_RETURN_INDEX_GROSS_DVDS",DataStart,DataEnd,"Per=M","Days=A","Fill=P","Currency="&amp;FxCurrency)</f>
        <v/>
      </c>
      <c r="ESS4" s="9">
        <f>BDH(ESS$1,"TOT_RETURN_INDEX_GROSS_DVDS",DataStart,DataEnd,"Per=M","Days=A","Fill=P","Currency="&amp;FxCurrency)</f>
        <v/>
      </c>
      <c r="ESU4" s="9">
        <f>BDH(ESU$1,"TOT_RETURN_INDEX_GROSS_DVDS",DataStart,DataEnd,"Per=M","Days=A","Fill=P","Currency="&amp;FxCurrency)</f>
        <v/>
      </c>
      <c r="ESW4" s="9">
        <f>BDH(ESW$1,"TOT_RETURN_INDEX_GROSS_DVDS",DataStart,DataEnd,"Per=M","Days=A","Fill=P","Currency="&amp;FxCurrency)</f>
        <v/>
      </c>
      <c r="ESY4" s="9">
        <f>BDH(ESY$1,"TOT_RETURN_INDEX_GROSS_DVDS",DataStart,DataEnd,"Per=M","Days=A","Fill=P","Currency="&amp;FxCurrency)</f>
        <v/>
      </c>
      <c r="ETA4" s="9">
        <f>BDH(ETA$1,"TOT_RETURN_INDEX_GROSS_DVDS",DataStart,DataEnd,"Per=M","Days=A","Fill=P","Currency="&amp;FxCurrency)</f>
        <v/>
      </c>
      <c r="ETC4" s="9">
        <f>BDH(ETC$1,"TOT_RETURN_INDEX_GROSS_DVDS",DataStart,DataEnd,"Per=M","Days=A","Fill=P","Currency="&amp;FxCurrency)</f>
        <v/>
      </c>
      <c r="ETE4" s="9">
        <f>BDH(ETE$1,"TOT_RETURN_INDEX_GROSS_DVDS",DataStart,DataEnd,"Per=M","Days=A","Fill=P","Currency="&amp;FxCurrency)</f>
        <v/>
      </c>
      <c r="ETG4" s="9">
        <f>BDH(ETG$1,"TOT_RETURN_INDEX_GROSS_DVDS",DataStart,DataEnd,"Per=M","Days=A","Fill=P","Currency="&amp;FxCurrency)</f>
        <v/>
      </c>
      <c r="ETI4" s="9">
        <f>BDH(ETI$1,"TOT_RETURN_INDEX_GROSS_DVDS",DataStart,DataEnd,"Per=M","Days=A","Fill=P","Currency="&amp;FxCurrency)</f>
        <v/>
      </c>
      <c r="ETK4" s="9">
        <f>BDH(ETK$1,"TOT_RETURN_INDEX_GROSS_DVDS",DataStart,DataEnd,"Per=M","Days=A","Fill=P","Currency="&amp;FxCurrency)</f>
        <v/>
      </c>
      <c r="ETM4" s="9">
        <f>BDH(ETM$1,"TOT_RETURN_INDEX_GROSS_DVDS",DataStart,DataEnd,"Per=M","Days=A","Fill=P","Currency="&amp;FxCurrency)</f>
        <v/>
      </c>
      <c r="ETO4" s="9">
        <f>BDH(ETO$1,"TOT_RETURN_INDEX_GROSS_DVDS",DataStart,DataEnd,"Per=M","Days=A","Fill=P","Currency="&amp;FxCurrency)</f>
        <v/>
      </c>
      <c r="ETQ4" s="9">
        <f>BDH(ETQ$1,"TOT_RETURN_INDEX_GROSS_DVDS",DataStart,DataEnd,"Per=M","Days=A","Fill=P","Currency="&amp;FxCurrency)</f>
        <v/>
      </c>
      <c r="ETS4" s="9">
        <f>BDH(ETS$1,"TOT_RETURN_INDEX_GROSS_DVDS",DataStart,DataEnd,"Per=M","Days=A","Fill=P","Currency="&amp;FxCurrency)</f>
        <v/>
      </c>
      <c r="ETU4" s="9">
        <f>BDH(ETU$1,"TOT_RETURN_INDEX_GROSS_DVDS",DataStart,DataEnd,"Per=M","Days=A","Fill=P","Currency="&amp;FxCurrency)</f>
        <v/>
      </c>
      <c r="ETW4" s="9">
        <f>BDH(ETW$1,"TOT_RETURN_INDEX_GROSS_DVDS",DataStart,DataEnd,"Per=M","Days=A","Fill=P","Currency="&amp;FxCurrency)</f>
        <v/>
      </c>
      <c r="ETY4" s="9">
        <f>BDH(ETY$1,"TOT_RETURN_INDEX_GROSS_DVDS",DataStart,DataEnd,"Per=M","Days=A","Fill=P","Currency="&amp;FxCurrency)</f>
        <v/>
      </c>
      <c r="EUA4" s="9">
        <f>BDH(EUA$1,"TOT_RETURN_INDEX_GROSS_DVDS",DataStart,DataEnd,"Per=M","Days=A","Fill=P","Currency="&amp;FxCurrency)</f>
        <v/>
      </c>
      <c r="EUC4" s="9">
        <f>BDH(EUC$1,"TOT_RETURN_INDEX_GROSS_DVDS",DataStart,DataEnd,"Per=M","Days=A","Fill=P","Currency="&amp;FxCurrency)</f>
        <v/>
      </c>
      <c r="EUE4" s="9">
        <f>BDH(EUE$1,"TOT_RETURN_INDEX_GROSS_DVDS",DataStart,DataEnd,"Per=M","Days=A","Fill=P","Currency="&amp;FxCurrency)</f>
        <v/>
      </c>
      <c r="EUG4" s="9">
        <f>BDH(EUG$1,"TOT_RETURN_INDEX_GROSS_DVDS",DataStart,DataEnd,"Per=M","Days=A","Fill=P","Currency="&amp;FxCurrency)</f>
        <v/>
      </c>
      <c r="EUI4" s="9">
        <f>BDH(EUI$1,"TOT_RETURN_INDEX_GROSS_DVDS",DataStart,DataEnd,"Per=M","Days=A","Fill=P","Currency="&amp;FxCurrency)</f>
        <v/>
      </c>
      <c r="EUK4" s="9">
        <f>BDH(EUK$1,"TOT_RETURN_INDEX_GROSS_DVDS",DataStart,DataEnd,"Per=M","Days=A","Fill=P","Currency="&amp;FxCurrency)</f>
        <v/>
      </c>
      <c r="EUM4" s="9">
        <f>BDH(EUM$1,"TOT_RETURN_INDEX_GROSS_DVDS",DataStart,DataEnd,"Per=M","Days=A","Fill=P","Currency="&amp;FxCurrency)</f>
        <v/>
      </c>
      <c r="EUO4" s="9">
        <f>BDH(EUO$1,"TOT_RETURN_INDEX_GROSS_DVDS",DataStart,DataEnd,"Per=M","Days=A","Fill=P","Currency="&amp;FxCurrency)</f>
        <v/>
      </c>
      <c r="EUQ4" s="9">
        <f>BDH(EUQ$1,"TOT_RETURN_INDEX_GROSS_DVDS",DataStart,DataEnd,"Per=M","Days=A","Fill=P","Currency="&amp;FxCurrency)</f>
        <v/>
      </c>
      <c r="EUS4" s="9">
        <f>BDH(EUS$1,"TOT_RETURN_INDEX_GROSS_DVDS",DataStart,DataEnd,"Per=M","Days=A","Fill=P","Currency="&amp;FxCurrency)</f>
        <v/>
      </c>
      <c r="EUU4" s="9">
        <f>BDH(EUU$1,"TOT_RETURN_INDEX_GROSS_DVDS",DataStart,DataEnd,"Per=M","Days=A","Fill=P","Currency="&amp;FxCurrency)</f>
        <v/>
      </c>
      <c r="EUW4" s="9">
        <f>BDH(EUW$1,"TOT_RETURN_INDEX_GROSS_DVDS",DataStart,DataEnd,"Per=M","Days=A","Fill=P","Currency="&amp;FxCurrency)</f>
        <v/>
      </c>
      <c r="EUY4" s="9">
        <f>BDH(EUY$1,"TOT_RETURN_INDEX_GROSS_DVDS",DataStart,DataEnd,"Per=M","Days=A","Fill=P","Currency="&amp;FxCurrency)</f>
        <v/>
      </c>
      <c r="EVA4" s="9">
        <f>BDH(EVA$1,"TOT_RETURN_INDEX_GROSS_DVDS",DataStart,DataEnd,"Per=M","Days=A","Fill=P","Currency="&amp;FxCurrency)</f>
        <v/>
      </c>
      <c r="EVC4" s="9">
        <f>BDH(EVC$1,"TOT_RETURN_INDEX_GROSS_DVDS",DataStart,DataEnd,"Per=M","Days=A","Fill=P","Currency="&amp;FxCurrency)</f>
        <v/>
      </c>
      <c r="EVE4" s="9">
        <f>BDH(EVE$1,"TOT_RETURN_INDEX_GROSS_DVDS",DataStart,DataEnd,"Per=M","Days=A","Fill=P","Currency="&amp;FxCurrency)</f>
        <v/>
      </c>
      <c r="EVG4" s="9">
        <f>BDH(EVG$1,"TOT_RETURN_INDEX_GROSS_DVDS",DataStart,DataEnd,"Per=M","Days=A","Fill=P","Currency="&amp;FxCurrency)</f>
        <v/>
      </c>
      <c r="EVI4" s="9">
        <f>BDH(EVI$1,"TOT_RETURN_INDEX_GROSS_DVDS",DataStart,DataEnd,"Per=M","Days=A","Fill=P","Currency="&amp;FxCurrency)</f>
        <v/>
      </c>
      <c r="EVK4" s="9">
        <f>BDH(EVK$1,"TOT_RETURN_INDEX_GROSS_DVDS",DataStart,DataEnd,"Per=M","Days=A","Fill=P","Currency="&amp;FxCurrency)</f>
        <v/>
      </c>
      <c r="EVM4" s="9">
        <f>BDH(EVM$1,"TOT_RETURN_INDEX_GROSS_DVDS",DataStart,DataEnd,"Per=M","Days=A","Fill=P","Currency="&amp;FxCurrency)</f>
        <v/>
      </c>
      <c r="EVO4" s="9">
        <f>BDH(EVO$1,"TOT_RETURN_INDEX_GROSS_DVDS",DataStart,DataEnd,"Per=M","Days=A","Fill=P","Currency="&amp;FxCurrency)</f>
        <v/>
      </c>
      <c r="EVQ4" s="9">
        <f>BDH(EVQ$1,"TOT_RETURN_INDEX_GROSS_DVDS",DataStart,DataEnd,"Per=M","Days=A","Fill=P","Currency="&amp;FxCurrency)</f>
        <v/>
      </c>
      <c r="EVS4" s="9">
        <f>BDH(EVS$1,"TOT_RETURN_INDEX_GROSS_DVDS",DataStart,DataEnd,"Per=M","Days=A","Fill=P","Currency="&amp;FxCurrency)</f>
        <v/>
      </c>
      <c r="EVU4" s="9">
        <f>BDH(EVU$1,"TOT_RETURN_INDEX_GROSS_DVDS",DataStart,DataEnd,"Per=M","Days=A","Fill=P","Currency="&amp;FxCurrency)</f>
        <v/>
      </c>
      <c r="EVW4" s="9">
        <f>BDH(EVW$1,"TOT_RETURN_INDEX_GROSS_DVDS",DataStart,DataEnd,"Per=M","Days=A","Fill=P","Currency="&amp;FxCurrency)</f>
        <v/>
      </c>
      <c r="EVY4" s="9">
        <f>BDH(EVY$1,"TOT_RETURN_INDEX_GROSS_DVDS",DataStart,DataEnd,"Per=M","Days=A","Fill=P","Currency="&amp;FxCurrency)</f>
        <v/>
      </c>
      <c r="EWA4" s="9">
        <f>BDH(EWA$1,"TOT_RETURN_INDEX_GROSS_DVDS",DataStart,DataEnd,"Per=M","Days=A","Fill=P","Currency="&amp;FxCurrency)</f>
        <v/>
      </c>
      <c r="EWC4" s="9">
        <f>BDH(EWC$1,"TOT_RETURN_INDEX_GROSS_DVDS",DataStart,DataEnd,"Per=M","Days=A","Fill=P","Currency="&amp;FxCurrency)</f>
        <v/>
      </c>
      <c r="EWE4" s="9">
        <f>BDH(EWE$1,"TOT_RETURN_INDEX_GROSS_DVDS",DataStart,DataEnd,"Per=M","Days=A","Fill=P","Currency="&amp;FxCurrency)</f>
        <v/>
      </c>
      <c r="EWG4" s="9">
        <f>BDH(EWG$1,"TOT_RETURN_INDEX_GROSS_DVDS",DataStart,DataEnd,"Per=M","Days=A","Fill=P","Currency="&amp;FxCurrency)</f>
        <v/>
      </c>
      <c r="EWI4" s="9">
        <f>BDH(EWI$1,"TOT_RETURN_INDEX_GROSS_DVDS",DataStart,DataEnd,"Per=M","Days=A","Fill=P","Currency="&amp;FxCurrency)</f>
        <v/>
      </c>
      <c r="EWK4" s="9">
        <f>BDH(EWK$1,"TOT_RETURN_INDEX_GROSS_DVDS",DataStart,DataEnd,"Per=M","Days=A","Fill=P","Currency="&amp;FxCurrency)</f>
        <v/>
      </c>
      <c r="EWM4" s="9">
        <f>BDH(EWM$1,"TOT_RETURN_INDEX_GROSS_DVDS",DataStart,DataEnd,"Per=M","Days=A","Fill=P","Currency="&amp;FxCurrency)</f>
        <v/>
      </c>
      <c r="EWO4" s="9">
        <f>BDH(EWO$1,"TOT_RETURN_INDEX_GROSS_DVDS",DataStart,DataEnd,"Per=M","Days=A","Fill=P","Currency="&amp;FxCurrency)</f>
        <v/>
      </c>
      <c r="EWQ4" s="9">
        <f>BDH(EWQ$1,"TOT_RETURN_INDEX_GROSS_DVDS",DataStart,DataEnd,"Per=M","Days=A","Fill=P","Currency="&amp;FxCurrency)</f>
        <v/>
      </c>
      <c r="EWS4" s="9">
        <f>BDH(EWS$1,"TOT_RETURN_INDEX_GROSS_DVDS",DataStart,DataEnd,"Per=M","Days=A","Fill=P","Currency="&amp;FxCurrency)</f>
        <v/>
      </c>
      <c r="EWU4" s="9">
        <f>BDH(EWU$1,"TOT_RETURN_INDEX_GROSS_DVDS",DataStart,DataEnd,"Per=M","Days=A","Fill=P","Currency="&amp;FxCurrency)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WV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1.7109375" style="9" customWidth="1"/>
    <col min="2" max="2" width="10.7109375" customWidth="1"/>
    <col min="3" max="3" width="11.7109375" style="9" customWidth="1"/>
    <col min="4" max="4" width="10.7109375" customWidth="1"/>
    <col min="5" max="5" width="11.7109375" style="9" customWidth="1"/>
    <col min="6" max="6" width="10.7109375" customWidth="1"/>
    <col min="7" max="7" width="11.7109375" style="9" customWidth="1"/>
    <col min="8" max="8" width="10.7109375" customWidth="1"/>
    <col min="9" max="9" width="11.7109375" style="9" customWidth="1"/>
    <col min="10" max="10" width="10.7109375" customWidth="1"/>
    <col min="11" max="11" width="11.7109375" style="9" customWidth="1"/>
    <col min="12" max="12" width="10.7109375" customWidth="1"/>
    <col min="13" max="13" width="11.7109375" style="9" customWidth="1"/>
    <col min="14" max="14" width="10.7109375" customWidth="1"/>
    <col min="15" max="15" width="11.7109375" style="9" customWidth="1"/>
    <col min="16" max="16" width="10.7109375" customWidth="1"/>
    <col min="17" max="17" width="11.7109375" style="9" customWidth="1"/>
    <col min="18" max="18" width="10.7109375" customWidth="1"/>
    <col min="19" max="19" width="11.7109375" style="9" customWidth="1"/>
    <col min="20" max="20" width="10.7109375" customWidth="1"/>
    <col min="21" max="21" width="11.7109375" style="9" customWidth="1"/>
    <col min="22" max="22" width="10.7109375" customWidth="1"/>
    <col min="23" max="23" width="11.7109375" style="9" customWidth="1"/>
    <col min="24" max="24" width="10.7109375" customWidth="1"/>
    <col min="25" max="25" width="11.7109375" style="9" customWidth="1"/>
    <col min="26" max="26" width="10.7109375" customWidth="1"/>
    <col min="27" max="27" width="11.7109375" style="9" customWidth="1"/>
    <col min="28" max="28" width="10.7109375" customWidth="1"/>
    <col min="29" max="29" width="11.7109375" style="9" customWidth="1"/>
    <col min="30" max="30" width="10.7109375" customWidth="1"/>
    <col min="31" max="31" width="11.7109375" style="9" customWidth="1"/>
    <col min="32" max="32" width="10.7109375" customWidth="1"/>
    <col min="33" max="33" width="11.7109375" style="9" customWidth="1"/>
    <col min="34" max="34" width="10.7109375" customWidth="1"/>
    <col min="35" max="35" width="11.7109375" style="9" customWidth="1"/>
    <col min="36" max="36" width="10.7109375" customWidth="1"/>
    <col min="37" max="37" width="11.7109375" style="9" customWidth="1"/>
    <col min="38" max="38" width="10.7109375" customWidth="1"/>
    <col min="39" max="39" width="11.7109375" style="9" customWidth="1"/>
    <col min="40" max="40" width="10.7109375" customWidth="1"/>
    <col min="41" max="41" width="11.7109375" style="9" customWidth="1"/>
    <col min="42" max="42" width="10.7109375" customWidth="1"/>
    <col min="43" max="43" width="11.7109375" style="9" customWidth="1"/>
    <col min="44" max="44" width="10.7109375" customWidth="1"/>
    <col min="45" max="45" width="11.7109375" style="9" customWidth="1"/>
    <col min="46" max="46" width="10.7109375" customWidth="1"/>
    <col min="47" max="47" width="11.7109375" style="9" customWidth="1"/>
    <col min="48" max="48" width="10.7109375" customWidth="1"/>
    <col min="49" max="49" width="11.7109375" style="9" customWidth="1"/>
    <col min="50" max="50" width="10.7109375" customWidth="1"/>
    <col min="51" max="51" width="11.7109375" style="9" customWidth="1"/>
    <col min="52" max="52" width="10.7109375" customWidth="1"/>
    <col min="53" max="53" width="11.7109375" style="9" customWidth="1"/>
    <col min="54" max="54" width="10.7109375" customWidth="1"/>
    <col min="55" max="55" width="11.7109375" style="9" customWidth="1"/>
    <col min="56" max="56" width="10.7109375" customWidth="1"/>
    <col min="57" max="57" width="11.7109375" style="9" customWidth="1"/>
    <col min="58" max="58" width="10.7109375" customWidth="1"/>
    <col min="59" max="59" width="11.7109375" style="9" customWidth="1"/>
    <col min="60" max="60" width="10.7109375" customWidth="1"/>
    <col min="61" max="61" width="11.7109375" style="9" customWidth="1"/>
    <col min="62" max="62" width="10.7109375" customWidth="1"/>
    <col min="63" max="63" width="11.7109375" style="9" customWidth="1"/>
    <col min="64" max="64" width="10.7109375" customWidth="1"/>
    <col min="65" max="65" width="11.7109375" style="9" customWidth="1"/>
    <col min="66" max="66" width="10.7109375" customWidth="1"/>
    <col min="67" max="67" width="11.7109375" style="9" customWidth="1"/>
    <col min="68" max="68" width="10.7109375" customWidth="1"/>
    <col min="69" max="69" width="11.7109375" style="9" customWidth="1"/>
    <col min="70" max="70" width="10.7109375" customWidth="1"/>
    <col min="71" max="71" width="11.7109375" style="9" customWidth="1"/>
    <col min="72" max="72" width="10.7109375" customWidth="1"/>
    <col min="73" max="73" width="11.7109375" style="9" customWidth="1"/>
    <col min="74" max="74" width="10.7109375" customWidth="1"/>
    <col min="75" max="75" width="11.7109375" style="9" customWidth="1"/>
    <col min="76" max="76" width="10.7109375" customWidth="1"/>
    <col min="77" max="77" width="11.7109375" style="9" customWidth="1"/>
    <col min="78" max="78" width="10.7109375" customWidth="1"/>
    <col min="79" max="79" width="11.7109375" style="9" customWidth="1"/>
    <col min="80" max="80" width="10.7109375" customWidth="1"/>
    <col min="81" max="81" width="11.7109375" style="9" customWidth="1"/>
    <col min="82" max="82" width="10.7109375" customWidth="1"/>
    <col min="83" max="83" width="11.7109375" style="9" customWidth="1"/>
    <col min="84" max="84" width="10.7109375" customWidth="1"/>
    <col min="85" max="85" width="11.7109375" style="9" customWidth="1"/>
    <col min="86" max="86" width="10.7109375" customWidth="1"/>
    <col min="87" max="87" width="11.7109375" style="9" customWidth="1"/>
    <col min="88" max="88" width="10.7109375" customWidth="1"/>
    <col min="89" max="89" width="11.7109375" style="9" customWidth="1"/>
    <col min="90" max="90" width="10.7109375" customWidth="1"/>
    <col min="91" max="91" width="11.7109375" style="9" customWidth="1"/>
    <col min="92" max="92" width="10.7109375" customWidth="1"/>
    <col min="93" max="93" width="11.7109375" style="9" customWidth="1"/>
    <col min="94" max="94" width="10.7109375" customWidth="1"/>
    <col min="95" max="95" width="11.7109375" style="9" customWidth="1"/>
    <col min="96" max="96" width="10.7109375" customWidth="1"/>
    <col min="97" max="97" width="11.7109375" style="9" customWidth="1"/>
    <col min="98" max="98" width="10.7109375" customWidth="1"/>
    <col min="99" max="99" width="11.7109375" style="9" customWidth="1"/>
    <col min="100" max="100" width="10.7109375" customWidth="1"/>
    <col min="101" max="101" width="11.7109375" style="9" customWidth="1"/>
    <col min="102" max="102" width="10.7109375" customWidth="1"/>
    <col min="103" max="103" width="11.7109375" style="9" customWidth="1"/>
    <col min="104" max="104" width="10.7109375" customWidth="1"/>
    <col min="105" max="105" width="11.7109375" style="9" customWidth="1"/>
    <col min="106" max="106" width="10.7109375" customWidth="1"/>
    <col min="107" max="107" width="11.7109375" style="9" customWidth="1"/>
    <col min="108" max="108" width="10.7109375" customWidth="1"/>
    <col min="109" max="109" width="11.7109375" style="9" customWidth="1"/>
    <col min="110" max="110" width="10.7109375" customWidth="1"/>
    <col min="111" max="111" width="11.7109375" style="9" customWidth="1"/>
    <col min="112" max="112" width="10.7109375" customWidth="1"/>
    <col min="113" max="113" width="11.7109375" style="9" customWidth="1"/>
    <col min="114" max="114" width="10.7109375" customWidth="1"/>
    <col min="115" max="115" width="11.7109375" style="9" customWidth="1"/>
    <col min="116" max="116" width="10.7109375" customWidth="1"/>
    <col min="117" max="117" width="11.7109375" style="9" customWidth="1"/>
    <col min="118" max="118" width="10.7109375" customWidth="1"/>
    <col min="119" max="119" width="11.7109375" style="9" customWidth="1"/>
    <col min="120" max="120" width="10.7109375" customWidth="1"/>
    <col min="121" max="121" width="11.7109375" style="9" customWidth="1"/>
    <col min="122" max="122" width="10.7109375" customWidth="1"/>
    <col min="123" max="123" width="11.7109375" style="9" customWidth="1"/>
    <col min="124" max="124" width="10.7109375" customWidth="1"/>
    <col min="125" max="125" width="11.7109375" style="9" customWidth="1"/>
    <col min="126" max="126" width="10.7109375" customWidth="1"/>
    <col min="127" max="127" width="11.7109375" style="9" customWidth="1"/>
    <col min="128" max="128" width="10.7109375" customWidth="1"/>
    <col min="129" max="129" width="11.7109375" style="9" customWidth="1"/>
    <col min="130" max="130" width="10.7109375" customWidth="1"/>
    <col min="131" max="131" width="11.7109375" style="9" customWidth="1"/>
    <col min="132" max="132" width="10.7109375" customWidth="1"/>
    <col min="133" max="133" width="11.7109375" style="9" customWidth="1"/>
    <col min="134" max="134" width="10.7109375" customWidth="1"/>
    <col min="135" max="135" width="11.7109375" style="9" customWidth="1"/>
    <col min="136" max="136" width="10.7109375" customWidth="1"/>
    <col min="137" max="137" width="11.7109375" style="9" customWidth="1"/>
    <col min="138" max="138" width="10.7109375" customWidth="1"/>
    <col min="139" max="139" width="11.7109375" style="9" customWidth="1"/>
    <col min="140" max="140" width="10.7109375" customWidth="1"/>
    <col min="141" max="141" width="11.7109375" style="9" customWidth="1"/>
    <col min="142" max="142" width="10.7109375" customWidth="1"/>
    <col min="143" max="143" width="11.7109375" style="9" customWidth="1"/>
    <col min="144" max="144" width="10.7109375" customWidth="1"/>
    <col min="145" max="145" width="11.7109375" style="9" customWidth="1"/>
    <col min="146" max="146" width="10.7109375" customWidth="1"/>
    <col min="147" max="147" width="11.7109375" style="9" customWidth="1"/>
    <col min="148" max="148" width="10.7109375" customWidth="1"/>
    <col min="149" max="149" width="11.7109375" style="9" customWidth="1"/>
    <col min="150" max="150" width="10.7109375" customWidth="1"/>
    <col min="151" max="151" width="11.7109375" style="9" customWidth="1"/>
    <col min="152" max="152" width="10.7109375" customWidth="1"/>
    <col min="153" max="153" width="11.7109375" style="9" customWidth="1"/>
    <col min="154" max="154" width="10.7109375" customWidth="1"/>
    <col min="155" max="155" width="11.7109375" style="9" customWidth="1"/>
    <col min="156" max="156" width="10.7109375" customWidth="1"/>
    <col min="157" max="157" width="11.7109375" style="9" customWidth="1"/>
    <col min="158" max="158" width="10.7109375" customWidth="1"/>
    <col min="159" max="159" width="11.7109375" style="9" customWidth="1"/>
    <col min="160" max="160" width="10.7109375" customWidth="1"/>
    <col min="161" max="161" width="11.7109375" style="9" customWidth="1"/>
    <col min="162" max="162" width="10.7109375" customWidth="1"/>
    <col min="163" max="163" width="11.7109375" style="9" customWidth="1"/>
    <col min="164" max="164" width="10.7109375" customWidth="1"/>
    <col min="165" max="165" width="11.7109375" style="9" customWidth="1"/>
    <col min="166" max="166" width="10.7109375" customWidth="1"/>
    <col min="167" max="167" width="11.7109375" style="9" customWidth="1"/>
    <col min="168" max="168" width="10.7109375" customWidth="1"/>
    <col min="169" max="169" width="11.7109375" style="9" customWidth="1"/>
    <col min="170" max="170" width="10.7109375" customWidth="1"/>
    <col min="171" max="171" width="11.7109375" style="9" customWidth="1"/>
    <col min="172" max="172" width="10.7109375" customWidth="1"/>
    <col min="173" max="173" width="11.7109375" style="9" customWidth="1"/>
    <col min="174" max="174" width="10.7109375" customWidth="1"/>
    <col min="175" max="175" width="11.7109375" style="9" customWidth="1"/>
    <col min="176" max="176" width="10.7109375" customWidth="1"/>
    <col min="177" max="177" width="11.7109375" style="9" customWidth="1"/>
    <col min="178" max="178" width="10.7109375" customWidth="1"/>
    <col min="179" max="179" width="11.7109375" style="9" customWidth="1"/>
    <col min="180" max="180" width="10.7109375" customWidth="1"/>
    <col min="181" max="181" width="11.7109375" style="9" customWidth="1"/>
    <col min="182" max="182" width="10.7109375" customWidth="1"/>
    <col min="183" max="183" width="11.7109375" style="9" customWidth="1"/>
    <col min="184" max="184" width="10.7109375" customWidth="1"/>
    <col min="185" max="185" width="11.7109375" style="9" customWidth="1"/>
    <col min="186" max="186" width="10.7109375" customWidth="1"/>
    <col min="187" max="187" width="11.7109375" style="9" customWidth="1"/>
    <col min="188" max="188" width="10.7109375" customWidth="1"/>
    <col min="189" max="189" width="11.7109375" style="9" customWidth="1"/>
    <col min="190" max="190" width="10.7109375" customWidth="1"/>
    <col min="191" max="191" width="11.7109375" style="9" customWidth="1"/>
    <col min="192" max="192" width="10.7109375" customWidth="1"/>
    <col min="193" max="193" width="11.7109375" style="9" customWidth="1"/>
    <col min="194" max="194" width="10.7109375" customWidth="1"/>
    <col min="195" max="195" width="11.7109375" style="9" customWidth="1"/>
    <col min="196" max="196" width="10.7109375" customWidth="1"/>
    <col min="197" max="197" width="11.7109375" style="9" customWidth="1"/>
    <col min="198" max="198" width="10.7109375" customWidth="1"/>
    <col min="199" max="199" width="11.7109375" style="9" customWidth="1"/>
    <col min="200" max="200" width="10.7109375" customWidth="1"/>
    <col min="201" max="201" width="11.7109375" style="9" customWidth="1"/>
    <col min="202" max="202" width="10.7109375" customWidth="1"/>
    <col min="203" max="203" width="11.7109375" style="9" customWidth="1"/>
    <col min="204" max="204" width="10.7109375" customWidth="1"/>
    <col min="205" max="205" width="11.7109375" style="9" customWidth="1"/>
    <col min="206" max="206" width="10.7109375" customWidth="1"/>
    <col min="207" max="207" width="11.7109375" style="9" customWidth="1"/>
    <col min="208" max="208" width="10.7109375" customWidth="1"/>
    <col min="209" max="209" width="11.7109375" style="9" customWidth="1"/>
    <col min="210" max="210" width="10.7109375" customWidth="1"/>
    <col min="211" max="211" width="11.7109375" style="9" customWidth="1"/>
    <col min="212" max="212" width="10.7109375" customWidth="1"/>
    <col min="213" max="213" width="11.7109375" style="9" customWidth="1"/>
    <col min="214" max="214" width="10.7109375" customWidth="1"/>
    <col min="215" max="215" width="11.7109375" style="9" customWidth="1"/>
    <col min="216" max="216" width="10.7109375" customWidth="1"/>
    <col min="217" max="217" width="11.7109375" style="9" customWidth="1"/>
    <col min="218" max="218" width="10.7109375" customWidth="1"/>
    <col min="219" max="219" width="11.7109375" style="9" customWidth="1"/>
    <col min="220" max="220" width="10.7109375" customWidth="1"/>
    <col min="221" max="221" width="11.7109375" style="9" customWidth="1"/>
    <col min="222" max="222" width="10.7109375" customWidth="1"/>
    <col min="223" max="223" width="11.7109375" style="9" customWidth="1"/>
    <col min="224" max="224" width="10.7109375" customWidth="1"/>
    <col min="225" max="225" width="11.7109375" style="9" customWidth="1"/>
    <col min="226" max="226" width="10.7109375" customWidth="1"/>
    <col min="227" max="227" width="11.7109375" style="9" customWidth="1"/>
    <col min="228" max="228" width="10.7109375" customWidth="1"/>
    <col min="229" max="229" width="11.7109375" style="9" customWidth="1"/>
    <col min="230" max="230" width="10.7109375" customWidth="1"/>
    <col min="231" max="231" width="11.7109375" style="9" customWidth="1"/>
    <col min="232" max="232" width="10.7109375" customWidth="1"/>
    <col min="233" max="233" width="11.7109375" style="9" customWidth="1"/>
    <col min="234" max="234" width="10.7109375" customWidth="1"/>
    <col min="235" max="235" width="11.7109375" style="9" customWidth="1"/>
    <col min="236" max="236" width="10.7109375" customWidth="1"/>
    <col min="237" max="237" width="11.7109375" style="9" customWidth="1"/>
    <col min="238" max="238" width="10.7109375" customWidth="1"/>
    <col min="239" max="239" width="11.7109375" style="9" customWidth="1"/>
    <col min="240" max="240" width="10.7109375" customWidth="1"/>
    <col min="241" max="241" width="11.7109375" style="9" customWidth="1"/>
    <col min="242" max="242" width="10.7109375" customWidth="1"/>
    <col min="243" max="243" width="11.7109375" style="9" customWidth="1"/>
    <col min="244" max="244" width="10.7109375" customWidth="1"/>
    <col min="245" max="245" width="11.7109375" style="9" customWidth="1"/>
    <col min="246" max="246" width="10.7109375" customWidth="1"/>
    <col min="247" max="247" width="11.7109375" style="9" customWidth="1"/>
    <col min="248" max="248" width="10.7109375" customWidth="1"/>
    <col min="249" max="249" width="11.7109375" style="9" customWidth="1"/>
    <col min="250" max="250" width="10.7109375" customWidth="1"/>
    <col min="251" max="251" width="11.7109375" style="9" customWidth="1"/>
    <col min="252" max="252" width="10.7109375" customWidth="1"/>
    <col min="253" max="253" width="11.7109375" style="9" customWidth="1"/>
    <col min="254" max="254" width="10.7109375" customWidth="1"/>
    <col min="255" max="255" width="11.7109375" style="9" customWidth="1"/>
    <col min="256" max="256" width="10.7109375" customWidth="1"/>
    <col min="257" max="257" width="11.7109375" style="9" customWidth="1"/>
    <col min="258" max="258" width="10.7109375" customWidth="1"/>
    <col min="259" max="259" width="11.7109375" style="9" customWidth="1"/>
    <col min="260" max="260" width="10.7109375" customWidth="1"/>
    <col min="261" max="261" width="11.7109375" style="9" customWidth="1"/>
    <col min="262" max="262" width="10.7109375" customWidth="1"/>
    <col min="263" max="263" width="11.7109375" style="9" customWidth="1"/>
    <col min="264" max="264" width="10.7109375" customWidth="1"/>
    <col min="265" max="265" width="11.7109375" style="9" customWidth="1"/>
    <col min="266" max="266" width="10.7109375" customWidth="1"/>
    <col min="267" max="267" width="11.7109375" style="9" customWidth="1"/>
    <col min="268" max="268" width="10.7109375" customWidth="1"/>
    <col min="269" max="269" width="11.7109375" style="9" customWidth="1"/>
    <col min="270" max="270" width="10.7109375" customWidth="1"/>
    <col min="271" max="271" width="11.7109375" style="9" customWidth="1"/>
    <col min="272" max="272" width="10.7109375" customWidth="1"/>
    <col min="273" max="273" width="11.7109375" style="9" customWidth="1"/>
    <col min="274" max="274" width="10.7109375" customWidth="1"/>
    <col min="275" max="275" width="11.7109375" style="9" customWidth="1"/>
    <col min="276" max="276" width="10.7109375" customWidth="1"/>
    <col min="277" max="277" width="11.7109375" style="9" customWidth="1"/>
    <col min="278" max="278" width="10.7109375" customWidth="1"/>
    <col min="279" max="279" width="11.7109375" style="9" customWidth="1"/>
    <col min="280" max="280" width="10.7109375" customWidth="1"/>
    <col min="281" max="281" width="11.7109375" style="9" customWidth="1"/>
    <col min="282" max="282" width="10.7109375" customWidth="1"/>
    <col min="283" max="283" width="11.7109375" style="9" customWidth="1"/>
    <col min="284" max="284" width="10.7109375" customWidth="1"/>
    <col min="285" max="285" width="11.7109375" style="9" customWidth="1"/>
    <col min="286" max="286" width="10.7109375" customWidth="1"/>
    <col min="287" max="287" width="11.7109375" style="9" customWidth="1"/>
    <col min="288" max="288" width="10.7109375" customWidth="1"/>
    <col min="289" max="289" width="11.7109375" style="9" customWidth="1"/>
    <col min="290" max="290" width="10.7109375" customWidth="1"/>
    <col min="291" max="291" width="11.7109375" style="9" customWidth="1"/>
    <col min="292" max="292" width="10.7109375" customWidth="1"/>
    <col min="293" max="293" width="11.7109375" style="9" customWidth="1"/>
    <col min="294" max="294" width="10.7109375" customWidth="1"/>
    <col min="295" max="295" width="11.7109375" style="9" customWidth="1"/>
    <col min="296" max="296" width="10.7109375" customWidth="1"/>
    <col min="297" max="297" width="11.7109375" style="9" customWidth="1"/>
    <col min="298" max="298" width="10.7109375" customWidth="1"/>
    <col min="299" max="299" width="11.7109375" style="9" customWidth="1"/>
    <col min="300" max="300" width="10.7109375" customWidth="1"/>
    <col min="301" max="301" width="11.7109375" style="9" customWidth="1"/>
    <col min="302" max="302" width="10.7109375" customWidth="1"/>
    <col min="303" max="303" width="11.7109375" style="9" customWidth="1"/>
    <col min="304" max="304" width="10.7109375" customWidth="1"/>
    <col min="305" max="305" width="11.7109375" style="9" customWidth="1"/>
    <col min="306" max="306" width="10.7109375" customWidth="1"/>
    <col min="307" max="307" width="11.7109375" style="9" customWidth="1"/>
    <col min="308" max="308" width="10.7109375" customWidth="1"/>
    <col min="309" max="309" width="11.7109375" style="9" customWidth="1"/>
    <col min="310" max="310" width="10.7109375" customWidth="1"/>
    <col min="311" max="311" width="11.7109375" style="9" customWidth="1"/>
    <col min="312" max="312" width="10.7109375" customWidth="1"/>
    <col min="313" max="313" width="11.7109375" style="9" customWidth="1"/>
    <col min="314" max="314" width="10.7109375" customWidth="1"/>
    <col min="315" max="315" width="11.7109375" style="9" customWidth="1"/>
    <col min="316" max="316" width="10.7109375" customWidth="1"/>
    <col min="317" max="317" width="11.7109375" style="9" customWidth="1"/>
    <col min="318" max="318" width="10.7109375" customWidth="1"/>
    <col min="319" max="319" width="11.7109375" style="9" customWidth="1"/>
    <col min="320" max="320" width="10.7109375" customWidth="1"/>
    <col min="321" max="321" width="11.7109375" style="9" customWidth="1"/>
    <col min="322" max="322" width="10.7109375" customWidth="1"/>
    <col min="323" max="323" width="11.7109375" style="9" customWidth="1"/>
    <col min="324" max="324" width="10.7109375" customWidth="1"/>
    <col min="325" max="325" width="11.7109375" style="9" customWidth="1"/>
    <col min="326" max="326" width="10.7109375" customWidth="1"/>
    <col min="327" max="327" width="11.7109375" style="9" customWidth="1"/>
    <col min="328" max="328" width="10.7109375" customWidth="1"/>
    <col min="329" max="329" width="11.7109375" style="9" customWidth="1"/>
    <col min="330" max="330" width="10.7109375" customWidth="1"/>
    <col min="331" max="331" width="11.7109375" style="9" customWidth="1"/>
    <col min="332" max="332" width="10.7109375" customWidth="1"/>
    <col min="333" max="333" width="11.7109375" style="9" customWidth="1"/>
    <col min="334" max="334" width="10.7109375" customWidth="1"/>
    <col min="335" max="335" width="11.7109375" style="9" customWidth="1"/>
    <col min="336" max="336" width="10.7109375" customWidth="1"/>
    <col min="337" max="337" width="11.7109375" style="9" customWidth="1"/>
    <col min="338" max="338" width="10.7109375" customWidth="1"/>
    <col min="339" max="339" width="11.7109375" style="9" customWidth="1"/>
    <col min="340" max="340" width="10.7109375" customWidth="1"/>
    <col min="341" max="341" width="11.7109375" style="9" customWidth="1"/>
    <col min="342" max="342" width="10.7109375" customWidth="1"/>
    <col min="343" max="343" width="11.7109375" style="9" customWidth="1"/>
    <col min="344" max="344" width="10.7109375" customWidth="1"/>
    <col min="345" max="345" width="11.7109375" style="9" customWidth="1"/>
    <col min="346" max="346" width="10.7109375" customWidth="1"/>
    <col min="347" max="347" width="11.7109375" style="9" customWidth="1"/>
    <col min="348" max="348" width="10.7109375" customWidth="1"/>
    <col min="349" max="349" width="11.7109375" style="9" customWidth="1"/>
    <col min="350" max="350" width="10.7109375" customWidth="1"/>
    <col min="351" max="351" width="11.7109375" style="9" customWidth="1"/>
    <col min="352" max="352" width="10.7109375" customWidth="1"/>
    <col min="353" max="353" width="11.7109375" style="9" customWidth="1"/>
    <col min="354" max="354" width="10.7109375" customWidth="1"/>
    <col min="355" max="355" width="11.7109375" style="9" customWidth="1"/>
    <col min="356" max="356" width="10.7109375" customWidth="1"/>
    <col min="357" max="357" width="11.7109375" style="9" customWidth="1"/>
    <col min="358" max="358" width="10.7109375" customWidth="1"/>
    <col min="359" max="359" width="11.7109375" style="9" customWidth="1"/>
    <col min="360" max="360" width="10.7109375" customWidth="1"/>
    <col min="361" max="361" width="11.7109375" style="9" customWidth="1"/>
    <col min="362" max="362" width="10.7109375" customWidth="1"/>
    <col min="363" max="363" width="11.7109375" style="9" customWidth="1"/>
    <col min="364" max="364" width="10.7109375" customWidth="1"/>
    <col min="365" max="365" width="11.7109375" style="9" customWidth="1"/>
    <col min="366" max="366" width="10.7109375" customWidth="1"/>
    <col min="367" max="367" width="11.7109375" style="9" customWidth="1"/>
    <col min="368" max="368" width="10.7109375" customWidth="1"/>
    <col min="369" max="369" width="11.7109375" style="9" customWidth="1"/>
    <col min="370" max="370" width="10.7109375" customWidth="1"/>
    <col min="371" max="371" width="11.7109375" style="9" customWidth="1"/>
    <col min="372" max="372" width="10.7109375" customWidth="1"/>
    <col min="373" max="373" width="11.7109375" style="9" customWidth="1"/>
    <col min="374" max="374" width="10.7109375" customWidth="1"/>
    <col min="375" max="375" width="11.7109375" style="9" customWidth="1"/>
    <col min="376" max="376" width="10.7109375" customWidth="1"/>
    <col min="377" max="377" width="11.7109375" style="9" customWidth="1"/>
    <col min="378" max="378" width="10.7109375" customWidth="1"/>
    <col min="379" max="379" width="11.7109375" style="9" customWidth="1"/>
    <col min="380" max="380" width="10.7109375" customWidth="1"/>
    <col min="381" max="381" width="11.7109375" style="9" customWidth="1"/>
    <col min="382" max="382" width="10.7109375" customWidth="1"/>
    <col min="383" max="383" width="11.7109375" style="9" customWidth="1"/>
    <col min="384" max="384" width="10.7109375" customWidth="1"/>
    <col min="385" max="385" width="11.7109375" style="9" customWidth="1"/>
    <col min="386" max="386" width="10.7109375" customWidth="1"/>
    <col min="387" max="387" width="11.7109375" style="9" customWidth="1"/>
    <col min="388" max="388" width="10.7109375" customWidth="1"/>
    <col min="389" max="389" width="11.7109375" style="9" customWidth="1"/>
    <col min="390" max="390" width="10.7109375" customWidth="1"/>
    <col min="391" max="391" width="11.7109375" style="9" customWidth="1"/>
    <col min="392" max="392" width="10.7109375" customWidth="1"/>
    <col min="393" max="393" width="11.7109375" style="9" customWidth="1"/>
    <col min="394" max="394" width="10.7109375" customWidth="1"/>
    <col min="395" max="395" width="11.7109375" style="9" customWidth="1"/>
    <col min="396" max="396" width="10.7109375" customWidth="1"/>
    <col min="397" max="397" width="11.7109375" style="9" customWidth="1"/>
    <col min="398" max="398" width="10.7109375" customWidth="1"/>
    <col min="399" max="399" width="11.7109375" style="9" customWidth="1"/>
    <col min="400" max="400" width="10.7109375" customWidth="1"/>
    <col min="401" max="401" width="11.7109375" style="9" customWidth="1"/>
    <col min="402" max="402" width="10.7109375" customWidth="1"/>
    <col min="403" max="403" width="11.7109375" style="9" customWidth="1"/>
    <col min="404" max="404" width="10.7109375" customWidth="1"/>
    <col min="405" max="405" width="11.7109375" style="9" customWidth="1"/>
    <col min="406" max="406" width="10.7109375" customWidth="1"/>
    <col min="407" max="407" width="11.7109375" style="9" customWidth="1"/>
    <col min="408" max="408" width="10.7109375" customWidth="1"/>
    <col min="409" max="409" width="11.7109375" style="9" customWidth="1"/>
    <col min="410" max="410" width="10.7109375" customWidth="1"/>
    <col min="411" max="411" width="11.7109375" style="9" customWidth="1"/>
    <col min="412" max="412" width="10.7109375" customWidth="1"/>
    <col min="413" max="413" width="11.7109375" style="9" customWidth="1"/>
    <col min="414" max="414" width="10.7109375" customWidth="1"/>
    <col min="415" max="415" width="11.7109375" style="9" customWidth="1"/>
    <col min="416" max="416" width="10.7109375" customWidth="1"/>
    <col min="417" max="417" width="11.7109375" style="9" customWidth="1"/>
    <col min="418" max="418" width="10.7109375" customWidth="1"/>
    <col min="419" max="419" width="11.7109375" style="9" customWidth="1"/>
    <col min="420" max="420" width="10.7109375" customWidth="1"/>
    <col min="421" max="421" width="11.7109375" style="9" customWidth="1"/>
    <col min="422" max="422" width="10.7109375" customWidth="1"/>
    <col min="423" max="423" width="11.7109375" style="9" customWidth="1"/>
    <col min="424" max="424" width="10.7109375" customWidth="1"/>
    <col min="425" max="425" width="11.7109375" style="9" customWidth="1"/>
    <col min="426" max="426" width="10.7109375" customWidth="1"/>
    <col min="427" max="427" width="11.7109375" style="9" customWidth="1"/>
    <col min="428" max="428" width="10.7109375" customWidth="1"/>
    <col min="429" max="429" width="11.7109375" style="9" customWidth="1"/>
    <col min="430" max="430" width="10.7109375" customWidth="1"/>
    <col min="431" max="431" width="11.7109375" style="9" customWidth="1"/>
    <col min="432" max="432" width="10.7109375" customWidth="1"/>
    <col min="433" max="433" width="11.7109375" style="9" customWidth="1"/>
    <col min="434" max="434" width="10.7109375" customWidth="1"/>
    <col min="435" max="435" width="11.7109375" style="9" customWidth="1"/>
    <col min="436" max="436" width="10.7109375" customWidth="1"/>
    <col min="437" max="437" width="11.7109375" style="9" customWidth="1"/>
    <col min="438" max="438" width="10.7109375" customWidth="1"/>
    <col min="439" max="439" width="11.7109375" style="9" customWidth="1"/>
    <col min="440" max="440" width="10.7109375" customWidth="1"/>
    <col min="441" max="441" width="11.7109375" style="9" customWidth="1"/>
    <col min="442" max="442" width="10.7109375" customWidth="1"/>
    <col min="443" max="443" width="11.7109375" style="9" customWidth="1"/>
    <col min="444" max="444" width="10.7109375" customWidth="1"/>
    <col min="445" max="445" width="11.7109375" style="9" customWidth="1"/>
    <col min="446" max="446" width="10.7109375" customWidth="1"/>
    <col min="447" max="447" width="11.7109375" style="9" customWidth="1"/>
    <col min="448" max="448" width="10.7109375" customWidth="1"/>
    <col min="449" max="449" width="11.7109375" style="9" customWidth="1"/>
    <col min="450" max="450" width="10.7109375" customWidth="1"/>
    <col min="451" max="451" width="11.7109375" style="9" customWidth="1"/>
    <col min="452" max="452" width="10.7109375" customWidth="1"/>
    <col min="453" max="453" width="11.7109375" style="9" customWidth="1"/>
    <col min="454" max="454" width="10.7109375" customWidth="1"/>
    <col min="455" max="455" width="11.7109375" style="9" customWidth="1"/>
    <col min="456" max="456" width="10.7109375" customWidth="1"/>
    <col min="457" max="457" width="11.7109375" style="9" customWidth="1"/>
    <col min="458" max="458" width="10.7109375" customWidth="1"/>
    <col min="459" max="459" width="11.7109375" style="9" customWidth="1"/>
    <col min="460" max="460" width="10.7109375" customWidth="1"/>
    <col min="461" max="461" width="11.7109375" style="9" customWidth="1"/>
    <col min="462" max="462" width="10.7109375" customWidth="1"/>
    <col min="463" max="463" width="11.7109375" style="9" customWidth="1"/>
    <col min="464" max="464" width="10.7109375" customWidth="1"/>
    <col min="465" max="465" width="11.7109375" style="9" customWidth="1"/>
    <col min="466" max="466" width="10.7109375" customWidth="1"/>
    <col min="467" max="467" width="11.7109375" style="9" customWidth="1"/>
    <col min="468" max="468" width="10.7109375" customWidth="1"/>
    <col min="469" max="469" width="11.7109375" style="9" customWidth="1"/>
    <col min="470" max="470" width="10.7109375" customWidth="1"/>
    <col min="471" max="471" width="11.7109375" style="9" customWidth="1"/>
    <col min="472" max="472" width="10.7109375" customWidth="1"/>
    <col min="473" max="473" width="11.7109375" style="9" customWidth="1"/>
    <col min="474" max="474" width="10.7109375" customWidth="1"/>
    <col min="475" max="475" width="11.7109375" style="9" customWidth="1"/>
    <col min="476" max="476" width="10.7109375" customWidth="1"/>
    <col min="477" max="477" width="11.7109375" style="9" customWidth="1"/>
    <col min="478" max="478" width="10.7109375" customWidth="1"/>
    <col min="479" max="479" width="11.7109375" style="9" customWidth="1"/>
    <col min="480" max="480" width="10.7109375" customWidth="1"/>
    <col min="481" max="481" width="11.7109375" style="9" customWidth="1"/>
    <col min="482" max="482" width="10.7109375" customWidth="1"/>
    <col min="483" max="483" width="11.7109375" style="9" customWidth="1"/>
    <col min="484" max="484" width="10.7109375" customWidth="1"/>
    <col min="485" max="485" width="11.7109375" style="9" customWidth="1"/>
    <col min="486" max="486" width="10.7109375" customWidth="1"/>
    <col min="487" max="487" width="11.7109375" style="9" customWidth="1"/>
    <col min="488" max="488" width="10.7109375" customWidth="1"/>
    <col min="489" max="489" width="11.7109375" style="9" customWidth="1"/>
    <col min="490" max="490" width="10.7109375" customWidth="1"/>
    <col min="491" max="491" width="11.7109375" style="9" customWidth="1"/>
    <col min="492" max="492" width="10.7109375" customWidth="1"/>
    <col min="493" max="493" width="11.7109375" style="9" customWidth="1"/>
    <col min="494" max="494" width="10.7109375" customWidth="1"/>
    <col min="495" max="495" width="11.7109375" style="9" customWidth="1"/>
    <col min="496" max="496" width="10.7109375" customWidth="1"/>
    <col min="497" max="497" width="11.7109375" style="9" customWidth="1"/>
    <col min="498" max="498" width="10.7109375" customWidth="1"/>
    <col min="499" max="499" width="11.7109375" style="9" customWidth="1"/>
    <col min="500" max="500" width="10.7109375" customWidth="1"/>
    <col min="501" max="501" width="11.7109375" style="9" customWidth="1"/>
    <col min="502" max="502" width="10.7109375" customWidth="1"/>
    <col min="503" max="503" width="11.7109375" style="9" customWidth="1"/>
    <col min="504" max="504" width="10.7109375" customWidth="1"/>
    <col min="505" max="505" width="11.7109375" style="9" customWidth="1"/>
    <col min="506" max="506" width="10.7109375" customWidth="1"/>
    <col min="507" max="507" width="11.7109375" style="9" customWidth="1"/>
    <col min="508" max="508" width="10.7109375" customWidth="1"/>
    <col min="509" max="509" width="11.7109375" style="9" customWidth="1"/>
    <col min="510" max="510" width="10.7109375" customWidth="1"/>
    <col min="511" max="511" width="11.7109375" style="9" customWidth="1"/>
    <col min="512" max="512" width="10.7109375" customWidth="1"/>
    <col min="513" max="513" width="11.7109375" style="9" customWidth="1"/>
    <col min="514" max="514" width="10.7109375" customWidth="1"/>
    <col min="515" max="515" width="11.7109375" style="9" customWidth="1"/>
    <col min="516" max="516" width="10.7109375" customWidth="1"/>
    <col min="517" max="517" width="11.7109375" style="9" customWidth="1"/>
    <col min="518" max="518" width="10.7109375" customWidth="1"/>
    <col min="519" max="519" width="11.7109375" style="9" customWidth="1"/>
    <col min="520" max="520" width="10.7109375" customWidth="1"/>
    <col min="521" max="521" width="11.7109375" style="9" customWidth="1"/>
    <col min="522" max="522" width="10.7109375" customWidth="1"/>
    <col min="523" max="523" width="11.7109375" style="9" customWidth="1"/>
    <col min="524" max="524" width="10.7109375" customWidth="1"/>
    <col min="525" max="525" width="11.7109375" style="9" customWidth="1"/>
    <col min="526" max="526" width="10.7109375" customWidth="1"/>
    <col min="527" max="527" width="11.7109375" style="9" customWidth="1"/>
    <col min="528" max="528" width="10.7109375" customWidth="1"/>
    <col min="529" max="529" width="11.7109375" style="9" customWidth="1"/>
    <col min="530" max="530" width="10.7109375" customWidth="1"/>
    <col min="531" max="531" width="11.7109375" style="9" customWidth="1"/>
    <col min="532" max="532" width="10.7109375" customWidth="1"/>
    <col min="533" max="533" width="11.7109375" style="9" customWidth="1"/>
    <col min="534" max="534" width="10.7109375" customWidth="1"/>
    <col min="535" max="535" width="11.7109375" style="9" customWidth="1"/>
    <col min="536" max="536" width="10.7109375" customWidth="1"/>
    <col min="537" max="537" width="11.7109375" style="9" customWidth="1"/>
    <col min="538" max="538" width="10.7109375" customWidth="1"/>
    <col min="539" max="539" width="11.7109375" style="9" customWidth="1"/>
    <col min="540" max="540" width="10.7109375" customWidth="1"/>
    <col min="541" max="541" width="11.7109375" style="9" customWidth="1"/>
    <col min="542" max="542" width="10.7109375" customWidth="1"/>
    <col min="543" max="543" width="11.7109375" style="9" customWidth="1"/>
    <col min="544" max="544" width="10.7109375" customWidth="1"/>
    <col min="545" max="545" width="11.7109375" style="9" customWidth="1"/>
    <col min="546" max="546" width="10.7109375" customWidth="1"/>
    <col min="547" max="547" width="11.7109375" style="9" customWidth="1"/>
    <col min="548" max="548" width="10.7109375" customWidth="1"/>
    <col min="549" max="549" width="11.7109375" style="9" customWidth="1"/>
    <col min="550" max="550" width="10.7109375" customWidth="1"/>
    <col min="551" max="551" width="11.7109375" style="9" customWidth="1"/>
    <col min="552" max="552" width="10.7109375" customWidth="1"/>
    <col min="553" max="553" width="11.7109375" style="9" customWidth="1"/>
    <col min="554" max="554" width="10.7109375" customWidth="1"/>
    <col min="555" max="555" width="11.7109375" style="9" customWidth="1"/>
    <col min="556" max="556" width="10.7109375" customWidth="1"/>
    <col min="557" max="557" width="11.7109375" style="9" customWidth="1"/>
    <col min="558" max="558" width="10.7109375" customWidth="1"/>
    <col min="559" max="559" width="11.7109375" style="9" customWidth="1"/>
    <col min="560" max="560" width="10.7109375" customWidth="1"/>
    <col min="561" max="561" width="11.7109375" style="9" customWidth="1"/>
    <col min="562" max="562" width="10.7109375" customWidth="1"/>
    <col min="563" max="563" width="11.7109375" style="9" customWidth="1"/>
    <col min="564" max="564" width="10.7109375" customWidth="1"/>
    <col min="565" max="565" width="11.7109375" style="9" customWidth="1"/>
    <col min="566" max="566" width="10.7109375" customWidth="1"/>
    <col min="567" max="567" width="11.7109375" style="9" customWidth="1"/>
    <col min="568" max="568" width="10.7109375" customWidth="1"/>
    <col min="569" max="569" width="11.7109375" style="9" customWidth="1"/>
    <col min="570" max="570" width="10.7109375" customWidth="1"/>
    <col min="571" max="571" width="11.7109375" style="9" customWidth="1"/>
    <col min="572" max="572" width="10.7109375" customWidth="1"/>
    <col min="573" max="573" width="11.7109375" style="9" customWidth="1"/>
    <col min="574" max="574" width="10.7109375" customWidth="1"/>
    <col min="575" max="575" width="11.7109375" style="9" customWidth="1"/>
    <col min="576" max="576" width="10.7109375" customWidth="1"/>
    <col min="577" max="577" width="11.7109375" style="9" customWidth="1"/>
    <col min="578" max="578" width="10.7109375" customWidth="1"/>
    <col min="579" max="579" width="11.7109375" style="9" customWidth="1"/>
    <col min="580" max="580" width="10.7109375" customWidth="1"/>
    <col min="581" max="581" width="11.7109375" style="9" customWidth="1"/>
    <col min="582" max="582" width="10.7109375" customWidth="1"/>
    <col min="583" max="583" width="11.7109375" style="9" customWidth="1"/>
    <col min="584" max="584" width="10.7109375" customWidth="1"/>
    <col min="585" max="585" width="11.7109375" style="9" customWidth="1"/>
    <col min="586" max="586" width="10.7109375" customWidth="1"/>
    <col min="587" max="587" width="11.7109375" style="9" customWidth="1"/>
    <col min="588" max="588" width="10.7109375" customWidth="1"/>
    <col min="589" max="589" width="11.7109375" style="9" customWidth="1"/>
    <col min="590" max="590" width="10.7109375" customWidth="1"/>
    <col min="591" max="591" width="11.7109375" style="9" customWidth="1"/>
    <col min="592" max="592" width="10.7109375" customWidth="1"/>
    <col min="593" max="593" width="11.7109375" style="9" customWidth="1"/>
    <col min="594" max="594" width="10.7109375" customWidth="1"/>
    <col min="595" max="595" width="11.7109375" style="9" customWidth="1"/>
    <col min="596" max="596" width="10.7109375" customWidth="1"/>
    <col min="597" max="597" width="11.7109375" style="9" customWidth="1"/>
    <col min="598" max="598" width="10.7109375" customWidth="1"/>
    <col min="599" max="599" width="11.7109375" style="9" customWidth="1"/>
    <col min="600" max="600" width="10.7109375" customWidth="1"/>
    <col min="601" max="601" width="11.7109375" style="9" customWidth="1"/>
    <col min="602" max="602" width="10.7109375" customWidth="1"/>
    <col min="603" max="603" width="11.7109375" style="9" customWidth="1"/>
    <col min="604" max="604" width="10.7109375" customWidth="1"/>
    <col min="605" max="605" width="11.7109375" style="9" customWidth="1"/>
    <col min="606" max="606" width="10.7109375" customWidth="1"/>
    <col min="607" max="607" width="11.7109375" style="9" customWidth="1"/>
    <col min="608" max="608" width="10.7109375" customWidth="1"/>
    <col min="609" max="609" width="11.7109375" style="9" customWidth="1"/>
    <col min="610" max="610" width="10.7109375" customWidth="1"/>
    <col min="611" max="611" width="11.7109375" style="9" customWidth="1"/>
    <col min="612" max="612" width="10.7109375" customWidth="1"/>
    <col min="613" max="613" width="11.7109375" style="9" customWidth="1"/>
    <col min="614" max="614" width="10.7109375" customWidth="1"/>
    <col min="615" max="615" width="11.7109375" style="9" customWidth="1"/>
    <col min="616" max="616" width="10.7109375" customWidth="1"/>
    <col min="617" max="617" width="11.7109375" style="9" customWidth="1"/>
    <col min="618" max="618" width="10.7109375" customWidth="1"/>
    <col min="619" max="619" width="11.7109375" style="9" customWidth="1"/>
    <col min="620" max="620" width="10.7109375" customWidth="1"/>
    <col min="621" max="621" width="11.7109375" style="9" customWidth="1"/>
    <col min="622" max="622" width="10.7109375" customWidth="1"/>
    <col min="623" max="623" width="11.7109375" style="9" customWidth="1"/>
    <col min="624" max="624" width="10.7109375" customWidth="1"/>
    <col min="625" max="625" width="11.7109375" style="9" customWidth="1"/>
    <col min="626" max="626" width="10.7109375" customWidth="1"/>
    <col min="627" max="627" width="11.7109375" style="9" customWidth="1"/>
    <col min="628" max="628" width="10.7109375" customWidth="1"/>
    <col min="629" max="629" width="11.7109375" style="9" customWidth="1"/>
    <col min="630" max="630" width="10.7109375" customWidth="1"/>
    <col min="631" max="631" width="11.7109375" style="9" customWidth="1"/>
    <col min="632" max="632" width="10.7109375" customWidth="1"/>
    <col min="633" max="633" width="11.7109375" style="9" customWidth="1"/>
    <col min="634" max="634" width="10.7109375" customWidth="1"/>
    <col min="635" max="635" width="11.7109375" style="9" customWidth="1"/>
    <col min="636" max="636" width="10.7109375" customWidth="1"/>
    <col min="637" max="637" width="11.7109375" style="9" customWidth="1"/>
    <col min="638" max="638" width="10.7109375" customWidth="1"/>
    <col min="639" max="639" width="11.7109375" style="9" customWidth="1"/>
    <col min="640" max="640" width="10.7109375" customWidth="1"/>
    <col min="641" max="641" width="11.7109375" style="9" customWidth="1"/>
    <col min="642" max="642" width="10.7109375" customWidth="1"/>
    <col min="643" max="643" width="11.7109375" style="9" customWidth="1"/>
    <col min="644" max="644" width="10.7109375" customWidth="1"/>
    <col min="645" max="645" width="11.7109375" style="9" customWidth="1"/>
    <col min="646" max="646" width="10.7109375" customWidth="1"/>
    <col min="647" max="647" width="11.7109375" style="9" customWidth="1"/>
    <col min="648" max="648" width="10.7109375" customWidth="1"/>
    <col min="649" max="649" width="11.7109375" style="9" customWidth="1"/>
    <col min="650" max="650" width="10.7109375" customWidth="1"/>
    <col min="651" max="651" width="11.7109375" style="9" customWidth="1"/>
    <col min="652" max="652" width="10.7109375" customWidth="1"/>
    <col min="653" max="653" width="11.7109375" style="9" customWidth="1"/>
    <col min="654" max="654" width="10.7109375" customWidth="1"/>
    <col min="655" max="655" width="11.7109375" style="9" customWidth="1"/>
    <col min="656" max="656" width="10.7109375" customWidth="1"/>
    <col min="657" max="657" width="11.7109375" style="9" customWidth="1"/>
    <col min="658" max="658" width="10.7109375" customWidth="1"/>
    <col min="659" max="659" width="11.7109375" style="9" customWidth="1"/>
    <col min="660" max="660" width="10.7109375" customWidth="1"/>
    <col min="661" max="661" width="11.7109375" style="9" customWidth="1"/>
    <col min="662" max="662" width="10.7109375" customWidth="1"/>
    <col min="663" max="663" width="11.7109375" style="9" customWidth="1"/>
    <col min="664" max="664" width="10.7109375" customWidth="1"/>
    <col min="665" max="665" width="11.7109375" style="9" customWidth="1"/>
    <col min="666" max="666" width="10.7109375" customWidth="1"/>
    <col min="667" max="667" width="11.7109375" style="9" customWidth="1"/>
    <col min="668" max="668" width="10.7109375" customWidth="1"/>
    <col min="669" max="669" width="11.7109375" style="9" customWidth="1"/>
    <col min="670" max="670" width="10.7109375" customWidth="1"/>
    <col min="671" max="671" width="11.7109375" style="9" customWidth="1"/>
    <col min="672" max="672" width="10.7109375" customWidth="1"/>
    <col min="673" max="673" width="11.7109375" style="9" customWidth="1"/>
    <col min="674" max="674" width="10.7109375" customWidth="1"/>
    <col min="675" max="675" width="11.7109375" style="9" customWidth="1"/>
    <col min="676" max="676" width="10.7109375" customWidth="1"/>
    <col min="677" max="677" width="11.7109375" style="9" customWidth="1"/>
    <col min="678" max="678" width="10.7109375" customWidth="1"/>
    <col min="679" max="679" width="11.7109375" style="9" customWidth="1"/>
    <col min="680" max="680" width="10.7109375" customWidth="1"/>
    <col min="681" max="681" width="11.7109375" style="9" customWidth="1"/>
    <col min="682" max="682" width="10.7109375" customWidth="1"/>
    <col min="683" max="683" width="11.7109375" style="9" customWidth="1"/>
    <col min="684" max="684" width="10.7109375" customWidth="1"/>
    <col min="685" max="685" width="11.7109375" style="9" customWidth="1"/>
    <col min="686" max="686" width="10.7109375" customWidth="1"/>
    <col min="687" max="687" width="11.7109375" style="9" customWidth="1"/>
    <col min="688" max="688" width="10.7109375" customWidth="1"/>
    <col min="689" max="689" width="11.7109375" style="9" customWidth="1"/>
    <col min="690" max="690" width="10.7109375" customWidth="1"/>
    <col min="691" max="691" width="11.7109375" style="9" customWidth="1"/>
    <col min="692" max="692" width="10.7109375" customWidth="1"/>
    <col min="693" max="693" width="11.7109375" style="9" customWidth="1"/>
    <col min="694" max="694" width="10.7109375" customWidth="1"/>
    <col min="695" max="695" width="11.7109375" style="9" customWidth="1"/>
    <col min="696" max="696" width="10.7109375" customWidth="1"/>
    <col min="697" max="697" width="11.7109375" style="9" customWidth="1"/>
    <col min="698" max="698" width="10.7109375" customWidth="1"/>
    <col min="699" max="699" width="11.7109375" style="9" customWidth="1"/>
    <col min="700" max="700" width="10.7109375" customWidth="1"/>
    <col min="701" max="701" width="11.7109375" style="9" customWidth="1"/>
    <col min="702" max="702" width="10.7109375" customWidth="1"/>
    <col min="703" max="703" width="11.7109375" style="9" customWidth="1"/>
    <col min="704" max="704" width="10.7109375" customWidth="1"/>
    <col min="705" max="705" width="11.7109375" style="9" customWidth="1"/>
    <col min="706" max="706" width="10.7109375" customWidth="1"/>
    <col min="707" max="707" width="11.7109375" style="9" customWidth="1"/>
    <col min="708" max="708" width="10.7109375" customWidth="1"/>
    <col min="709" max="709" width="11.7109375" style="9" customWidth="1"/>
    <col min="710" max="710" width="10.7109375" customWidth="1"/>
    <col min="711" max="711" width="11.7109375" style="9" customWidth="1"/>
    <col min="712" max="712" width="10.7109375" customWidth="1"/>
    <col min="713" max="713" width="11.7109375" style="9" customWidth="1"/>
    <col min="714" max="714" width="10.7109375" customWidth="1"/>
    <col min="715" max="715" width="11.7109375" style="9" customWidth="1"/>
    <col min="716" max="716" width="10.7109375" customWidth="1"/>
    <col min="717" max="717" width="11.7109375" style="9" customWidth="1"/>
    <col min="718" max="718" width="10.7109375" customWidth="1"/>
    <col min="719" max="719" width="11.7109375" style="9" customWidth="1"/>
    <col min="720" max="720" width="10.7109375" customWidth="1"/>
    <col min="721" max="721" width="11.7109375" style="9" customWidth="1"/>
    <col min="722" max="722" width="10.7109375" customWidth="1"/>
    <col min="723" max="723" width="11.7109375" style="9" customWidth="1"/>
    <col min="724" max="724" width="10.7109375" customWidth="1"/>
    <col min="725" max="725" width="11.7109375" style="9" customWidth="1"/>
    <col min="726" max="726" width="10.7109375" customWidth="1"/>
    <col min="727" max="727" width="11.7109375" style="9" customWidth="1"/>
    <col min="728" max="728" width="10.7109375" customWidth="1"/>
    <col min="729" max="729" width="11.7109375" style="9" customWidth="1"/>
    <col min="730" max="730" width="10.7109375" customWidth="1"/>
    <col min="731" max="731" width="11.7109375" style="9" customWidth="1"/>
    <col min="732" max="732" width="10.7109375" customWidth="1"/>
    <col min="733" max="733" width="11.7109375" style="9" customWidth="1"/>
    <col min="734" max="734" width="10.7109375" customWidth="1"/>
    <col min="735" max="735" width="11.7109375" style="9" customWidth="1"/>
    <col min="736" max="736" width="10.7109375" customWidth="1"/>
    <col min="737" max="737" width="11.7109375" style="9" customWidth="1"/>
    <col min="738" max="738" width="10.7109375" customWidth="1"/>
    <col min="739" max="739" width="11.7109375" style="9" customWidth="1"/>
    <col min="740" max="740" width="10.7109375" customWidth="1"/>
    <col min="741" max="741" width="11.7109375" style="9" customWidth="1"/>
    <col min="742" max="742" width="10.7109375" customWidth="1"/>
    <col min="743" max="743" width="11.7109375" style="9" customWidth="1"/>
    <col min="744" max="744" width="10.7109375" customWidth="1"/>
    <col min="745" max="745" width="11.7109375" style="9" customWidth="1"/>
    <col min="746" max="746" width="10.7109375" customWidth="1"/>
    <col min="747" max="747" width="11.7109375" style="9" customWidth="1"/>
    <col min="748" max="748" width="10.7109375" customWidth="1"/>
    <col min="749" max="749" width="11.7109375" style="9" customWidth="1"/>
    <col min="750" max="750" width="10.7109375" customWidth="1"/>
    <col min="751" max="751" width="11.7109375" style="9" customWidth="1"/>
    <col min="752" max="752" width="10.7109375" customWidth="1"/>
    <col min="753" max="753" width="11.7109375" style="9" customWidth="1"/>
    <col min="754" max="754" width="10.7109375" customWidth="1"/>
    <col min="755" max="755" width="11.7109375" style="9" customWidth="1"/>
    <col min="756" max="756" width="10.7109375" customWidth="1"/>
    <col min="757" max="757" width="11.7109375" style="9" customWidth="1"/>
    <col min="758" max="758" width="10.7109375" customWidth="1"/>
    <col min="759" max="759" width="11.7109375" style="9" customWidth="1"/>
    <col min="760" max="760" width="10.7109375" customWidth="1"/>
    <col min="761" max="761" width="11.7109375" style="9" customWidth="1"/>
    <col min="762" max="762" width="10.7109375" customWidth="1"/>
    <col min="763" max="763" width="11.7109375" style="9" customWidth="1"/>
    <col min="764" max="764" width="10.7109375" customWidth="1"/>
    <col min="765" max="765" width="11.7109375" style="9" customWidth="1"/>
    <col min="766" max="766" width="10.7109375" customWidth="1"/>
    <col min="767" max="767" width="11.7109375" style="9" customWidth="1"/>
    <col min="768" max="768" width="10.7109375" customWidth="1"/>
    <col min="769" max="769" width="11.7109375" style="9" customWidth="1"/>
    <col min="770" max="770" width="10.7109375" customWidth="1"/>
    <col min="771" max="771" width="11.7109375" style="9" customWidth="1"/>
    <col min="772" max="772" width="10.7109375" customWidth="1"/>
    <col min="773" max="773" width="11.7109375" style="9" customWidth="1"/>
    <col min="774" max="774" width="10.7109375" customWidth="1"/>
    <col min="775" max="775" width="11.7109375" style="9" customWidth="1"/>
    <col min="776" max="776" width="10.7109375" customWidth="1"/>
    <col min="777" max="777" width="11.7109375" style="9" customWidth="1"/>
    <col min="778" max="778" width="10.7109375" customWidth="1"/>
    <col min="779" max="779" width="11.7109375" style="9" customWidth="1"/>
    <col min="780" max="780" width="10.7109375" customWidth="1"/>
    <col min="781" max="781" width="11.7109375" style="9" customWidth="1"/>
    <col min="782" max="782" width="10.7109375" customWidth="1"/>
    <col min="783" max="783" width="11.7109375" style="9" customWidth="1"/>
    <col min="784" max="784" width="10.7109375" customWidth="1"/>
    <col min="785" max="785" width="11.7109375" style="9" customWidth="1"/>
    <col min="786" max="786" width="10.7109375" customWidth="1"/>
    <col min="787" max="787" width="11.7109375" style="9" customWidth="1"/>
    <col min="788" max="788" width="10.7109375" customWidth="1"/>
    <col min="789" max="789" width="11.7109375" style="9" customWidth="1"/>
    <col min="790" max="790" width="10.7109375" customWidth="1"/>
    <col min="791" max="791" width="11.7109375" style="9" customWidth="1"/>
    <col min="792" max="792" width="10.7109375" customWidth="1"/>
    <col min="793" max="793" width="11.7109375" style="9" customWidth="1"/>
    <col min="794" max="794" width="10.7109375" customWidth="1"/>
    <col min="795" max="795" width="11.7109375" style="9" customWidth="1"/>
    <col min="796" max="796" width="10.7109375" customWidth="1"/>
    <col min="797" max="797" width="11.7109375" style="9" customWidth="1"/>
    <col min="798" max="798" width="10.7109375" customWidth="1"/>
    <col min="799" max="799" width="11.7109375" style="9" customWidth="1"/>
    <col min="800" max="800" width="10.7109375" customWidth="1"/>
    <col min="801" max="801" width="11.7109375" style="9" customWidth="1"/>
    <col min="802" max="802" width="10.7109375" customWidth="1"/>
    <col min="803" max="803" width="11.7109375" style="9" customWidth="1"/>
    <col min="804" max="804" width="10.7109375" customWidth="1"/>
    <col min="805" max="805" width="11.7109375" style="9" customWidth="1"/>
    <col min="806" max="806" width="10.7109375" customWidth="1"/>
    <col min="807" max="807" width="11.7109375" style="9" customWidth="1"/>
    <col min="808" max="808" width="10.7109375" customWidth="1"/>
    <col min="809" max="809" width="11.7109375" style="9" customWidth="1"/>
    <col min="810" max="810" width="10.7109375" customWidth="1"/>
    <col min="811" max="811" width="11.7109375" style="9" customWidth="1"/>
    <col min="812" max="812" width="10.7109375" customWidth="1"/>
    <col min="813" max="813" width="11.7109375" style="9" customWidth="1"/>
    <col min="814" max="814" width="10.7109375" customWidth="1"/>
    <col min="815" max="815" width="11.7109375" style="9" customWidth="1"/>
    <col min="816" max="816" width="10.7109375" customWidth="1"/>
    <col min="817" max="817" width="11.7109375" style="9" customWidth="1"/>
    <col min="818" max="818" width="10.7109375" customWidth="1"/>
    <col min="819" max="819" width="11.7109375" style="9" customWidth="1"/>
    <col min="820" max="820" width="10.7109375" customWidth="1"/>
    <col min="821" max="821" width="11.7109375" style="9" customWidth="1"/>
    <col min="822" max="822" width="10.7109375" customWidth="1"/>
    <col min="823" max="823" width="11.7109375" style="9" customWidth="1"/>
    <col min="824" max="824" width="10.7109375" customWidth="1"/>
    <col min="825" max="825" width="11.7109375" style="9" customWidth="1"/>
    <col min="826" max="826" width="10.7109375" customWidth="1"/>
    <col min="827" max="827" width="11.7109375" style="9" customWidth="1"/>
    <col min="828" max="828" width="10.7109375" customWidth="1"/>
    <col min="829" max="829" width="11.7109375" style="9" customWidth="1"/>
    <col min="830" max="830" width="10.7109375" customWidth="1"/>
    <col min="831" max="831" width="11.7109375" style="9" customWidth="1"/>
    <col min="832" max="832" width="10.7109375" customWidth="1"/>
    <col min="833" max="833" width="11.7109375" style="9" customWidth="1"/>
    <col min="834" max="834" width="10.7109375" customWidth="1"/>
    <col min="835" max="835" width="11.7109375" style="9" customWidth="1"/>
    <col min="836" max="836" width="10.7109375" customWidth="1"/>
    <col min="837" max="837" width="11.7109375" style="9" customWidth="1"/>
    <col min="838" max="838" width="10.7109375" customWidth="1"/>
    <col min="839" max="839" width="11.7109375" style="9" customWidth="1"/>
    <col min="840" max="840" width="10.7109375" customWidth="1"/>
    <col min="841" max="841" width="11.7109375" style="9" customWidth="1"/>
    <col min="842" max="842" width="10.7109375" customWidth="1"/>
    <col min="843" max="843" width="11.7109375" style="9" customWidth="1"/>
    <col min="844" max="844" width="10.7109375" customWidth="1"/>
    <col min="845" max="845" width="11.7109375" style="9" customWidth="1"/>
    <col min="846" max="846" width="10.7109375" customWidth="1"/>
    <col min="847" max="847" width="11.7109375" style="9" customWidth="1"/>
    <col min="848" max="848" width="10.7109375" customWidth="1"/>
    <col min="849" max="849" width="11.7109375" style="9" customWidth="1"/>
    <col min="850" max="850" width="10.7109375" customWidth="1"/>
    <col min="851" max="851" width="11.7109375" style="9" customWidth="1"/>
    <col min="852" max="852" width="10.7109375" customWidth="1"/>
    <col min="853" max="853" width="11.7109375" style="9" customWidth="1"/>
    <col min="854" max="854" width="10.7109375" customWidth="1"/>
    <col min="855" max="855" width="11.7109375" style="9" customWidth="1"/>
    <col min="856" max="856" width="10.7109375" customWidth="1"/>
    <col min="857" max="857" width="11.7109375" style="9" customWidth="1"/>
    <col min="858" max="858" width="10.7109375" customWidth="1"/>
    <col min="859" max="859" width="11.7109375" style="9" customWidth="1"/>
    <col min="860" max="860" width="10.7109375" customWidth="1"/>
    <col min="861" max="861" width="11.7109375" style="9" customWidth="1"/>
    <col min="862" max="862" width="10.7109375" customWidth="1"/>
    <col min="863" max="863" width="11.7109375" style="9" customWidth="1"/>
    <col min="864" max="864" width="10.7109375" customWidth="1"/>
    <col min="865" max="865" width="11.7109375" style="9" customWidth="1"/>
    <col min="866" max="866" width="10.7109375" customWidth="1"/>
    <col min="867" max="867" width="11.7109375" style="9" customWidth="1"/>
    <col min="868" max="868" width="10.7109375" customWidth="1"/>
    <col min="869" max="869" width="11.7109375" style="9" customWidth="1"/>
    <col min="870" max="870" width="10.7109375" customWidth="1"/>
    <col min="871" max="871" width="11.7109375" style="9" customWidth="1"/>
    <col min="872" max="872" width="10.7109375" customWidth="1"/>
    <col min="873" max="873" width="11.7109375" style="9" customWidth="1"/>
    <col min="874" max="874" width="10.7109375" customWidth="1"/>
    <col min="875" max="875" width="11.7109375" style="9" customWidth="1"/>
    <col min="876" max="876" width="10.7109375" customWidth="1"/>
    <col min="877" max="877" width="11.7109375" style="9" customWidth="1"/>
    <col min="878" max="878" width="10.7109375" customWidth="1"/>
    <col min="879" max="879" width="11.7109375" style="9" customWidth="1"/>
    <col min="880" max="880" width="10.7109375" customWidth="1"/>
    <col min="881" max="881" width="11.7109375" style="9" customWidth="1"/>
    <col min="882" max="882" width="10.7109375" customWidth="1"/>
    <col min="883" max="883" width="11.7109375" style="9" customWidth="1"/>
    <col min="884" max="884" width="10.7109375" customWidth="1"/>
    <col min="885" max="885" width="11.7109375" style="9" customWidth="1"/>
    <col min="886" max="886" width="10.7109375" customWidth="1"/>
    <col min="887" max="887" width="11.7109375" style="9" customWidth="1"/>
    <col min="888" max="888" width="10.7109375" customWidth="1"/>
    <col min="889" max="889" width="11.7109375" style="9" customWidth="1"/>
    <col min="890" max="890" width="10.7109375" customWidth="1"/>
    <col min="891" max="891" width="11.7109375" style="9" customWidth="1"/>
    <col min="892" max="892" width="10.7109375" customWidth="1"/>
    <col min="893" max="893" width="11.7109375" style="9" customWidth="1"/>
    <col min="894" max="894" width="10.7109375" customWidth="1"/>
    <col min="895" max="895" width="11.7109375" style="9" customWidth="1"/>
    <col min="896" max="896" width="10.7109375" customWidth="1"/>
    <col min="897" max="897" width="11.7109375" style="9" customWidth="1"/>
    <col min="898" max="898" width="10.7109375" customWidth="1"/>
    <col min="899" max="899" width="11.7109375" style="9" customWidth="1"/>
    <col min="900" max="900" width="10.7109375" customWidth="1"/>
    <col min="901" max="901" width="11.7109375" style="9" customWidth="1"/>
    <col min="902" max="902" width="10.7109375" customWidth="1"/>
    <col min="903" max="903" width="11.7109375" style="9" customWidth="1"/>
    <col min="904" max="904" width="10.7109375" customWidth="1"/>
    <col min="905" max="905" width="11.7109375" style="9" customWidth="1"/>
    <col min="906" max="906" width="10.7109375" customWidth="1"/>
    <col min="907" max="907" width="11.7109375" style="9" customWidth="1"/>
    <col min="908" max="908" width="10.7109375" customWidth="1"/>
    <col min="909" max="909" width="11.7109375" style="9" customWidth="1"/>
    <col min="910" max="910" width="10.7109375" customWidth="1"/>
    <col min="911" max="911" width="11.7109375" style="9" customWidth="1"/>
    <col min="912" max="912" width="10.7109375" customWidth="1"/>
    <col min="913" max="913" width="11.7109375" style="9" customWidth="1"/>
    <col min="914" max="914" width="10.7109375" customWidth="1"/>
    <col min="915" max="915" width="11.7109375" style="9" customWidth="1"/>
    <col min="916" max="916" width="10.7109375" customWidth="1"/>
    <col min="917" max="917" width="11.7109375" style="9" customWidth="1"/>
    <col min="918" max="918" width="10.7109375" customWidth="1"/>
    <col min="919" max="919" width="11.7109375" style="9" customWidth="1"/>
    <col min="920" max="920" width="10.7109375" customWidth="1"/>
    <col min="921" max="921" width="11.7109375" style="9" customWidth="1"/>
    <col min="922" max="922" width="10.7109375" customWidth="1"/>
    <col min="923" max="923" width="11.7109375" style="9" customWidth="1"/>
    <col min="924" max="924" width="10.7109375" customWidth="1"/>
    <col min="925" max="925" width="11.7109375" style="9" customWidth="1"/>
    <col min="926" max="926" width="10.7109375" customWidth="1"/>
    <col min="927" max="927" width="11.7109375" style="9" customWidth="1"/>
    <col min="928" max="928" width="10.7109375" customWidth="1"/>
    <col min="929" max="929" width="11.7109375" style="9" customWidth="1"/>
    <col min="930" max="930" width="10.7109375" customWidth="1"/>
    <col min="931" max="931" width="11.7109375" style="9" customWidth="1"/>
    <col min="932" max="932" width="10.7109375" customWidth="1"/>
    <col min="933" max="933" width="11.7109375" style="9" customWidth="1"/>
    <col min="934" max="934" width="10.7109375" customWidth="1"/>
    <col min="935" max="935" width="11.7109375" style="9" customWidth="1"/>
    <col min="936" max="936" width="10.7109375" customWidth="1"/>
    <col min="937" max="937" width="11.7109375" style="9" customWidth="1"/>
    <col min="938" max="938" width="10.7109375" customWidth="1"/>
    <col min="939" max="939" width="11.7109375" style="9" customWidth="1"/>
    <col min="940" max="940" width="10.7109375" customWidth="1"/>
    <col min="941" max="941" width="11.7109375" style="9" customWidth="1"/>
    <col min="942" max="942" width="10.7109375" customWidth="1"/>
    <col min="943" max="943" width="11.7109375" style="9" customWidth="1"/>
    <col min="944" max="944" width="10.7109375" customWidth="1"/>
    <col min="945" max="945" width="11.7109375" style="9" customWidth="1"/>
    <col min="946" max="946" width="10.7109375" customWidth="1"/>
    <col min="947" max="947" width="11.7109375" style="9" customWidth="1"/>
    <col min="948" max="948" width="10.7109375" customWidth="1"/>
    <col min="949" max="949" width="11.7109375" style="9" customWidth="1"/>
    <col min="950" max="950" width="10.7109375" customWidth="1"/>
    <col min="951" max="951" width="11.7109375" style="9" customWidth="1"/>
    <col min="952" max="952" width="10.7109375" customWidth="1"/>
    <col min="953" max="953" width="11.7109375" style="9" customWidth="1"/>
    <col min="954" max="954" width="10.7109375" customWidth="1"/>
    <col min="955" max="955" width="11.7109375" style="9" customWidth="1"/>
    <col min="956" max="956" width="10.7109375" customWidth="1"/>
    <col min="957" max="957" width="11.7109375" style="9" customWidth="1"/>
    <col min="958" max="958" width="10.7109375" customWidth="1"/>
    <col min="959" max="959" width="11.7109375" style="9" customWidth="1"/>
    <col min="960" max="960" width="10.7109375" customWidth="1"/>
    <col min="961" max="961" width="11.7109375" style="9" customWidth="1"/>
    <col min="962" max="962" width="10.7109375" customWidth="1"/>
    <col min="963" max="963" width="11.7109375" style="9" customWidth="1"/>
    <col min="964" max="964" width="10.7109375" customWidth="1"/>
    <col min="965" max="965" width="11.7109375" style="9" customWidth="1"/>
    <col min="966" max="966" width="10.7109375" customWidth="1"/>
    <col min="967" max="967" width="11.7109375" style="9" customWidth="1"/>
    <col min="968" max="968" width="10.7109375" customWidth="1"/>
    <col min="969" max="969" width="11.7109375" style="9" customWidth="1"/>
    <col min="970" max="970" width="10.7109375" customWidth="1"/>
    <col min="971" max="971" width="11.7109375" style="9" customWidth="1"/>
    <col min="972" max="972" width="10.7109375" customWidth="1"/>
    <col min="973" max="973" width="11.7109375" style="9" customWidth="1"/>
    <col min="974" max="974" width="10.7109375" customWidth="1"/>
    <col min="975" max="975" width="11.7109375" style="9" customWidth="1"/>
    <col min="976" max="976" width="10.7109375" customWidth="1"/>
    <col min="977" max="977" width="11.7109375" style="9" customWidth="1"/>
    <col min="978" max="978" width="10.7109375" customWidth="1"/>
    <col min="979" max="979" width="11.7109375" style="9" customWidth="1"/>
    <col min="980" max="980" width="10.7109375" customWidth="1"/>
    <col min="981" max="981" width="11.7109375" style="9" customWidth="1"/>
    <col min="982" max="982" width="10.7109375" customWidth="1"/>
    <col min="983" max="983" width="11.7109375" style="9" customWidth="1"/>
    <col min="984" max="984" width="10.7109375" customWidth="1"/>
    <col min="985" max="985" width="11.7109375" style="9" customWidth="1"/>
    <col min="986" max="986" width="10.7109375" customWidth="1"/>
    <col min="987" max="987" width="11.7109375" style="9" customWidth="1"/>
    <col min="988" max="988" width="10.7109375" customWidth="1"/>
    <col min="989" max="989" width="11.7109375" style="9" customWidth="1"/>
    <col min="990" max="990" width="10.7109375" customWidth="1"/>
    <col min="991" max="991" width="11.7109375" style="9" customWidth="1"/>
    <col min="992" max="992" width="10.7109375" customWidth="1"/>
    <col min="993" max="993" width="11.7109375" style="9" customWidth="1"/>
    <col min="994" max="994" width="10.7109375" customWidth="1"/>
    <col min="995" max="995" width="11.7109375" style="9" customWidth="1"/>
    <col min="996" max="996" width="10.7109375" customWidth="1"/>
    <col min="997" max="997" width="11.7109375" style="9" customWidth="1"/>
    <col min="998" max="998" width="10.7109375" customWidth="1"/>
    <col min="999" max="999" width="11.7109375" style="9" customWidth="1"/>
    <col min="1000" max="1000" width="10.7109375" customWidth="1"/>
    <col min="1001" max="1001" width="11.7109375" style="9" customWidth="1"/>
    <col min="1002" max="1002" width="10.7109375" customWidth="1"/>
    <col min="1003" max="1003" width="11.7109375" style="9" customWidth="1"/>
    <col min="1004" max="1004" width="10.7109375" customWidth="1"/>
    <col min="1005" max="1005" width="11.7109375" style="9" customWidth="1"/>
    <col min="1006" max="1006" width="10.7109375" customWidth="1"/>
    <col min="1007" max="1007" width="11.7109375" style="9" customWidth="1"/>
    <col min="1008" max="1008" width="10.7109375" customWidth="1"/>
    <col min="1009" max="1009" width="11.7109375" style="9" customWidth="1"/>
    <col min="1010" max="1010" width="10.7109375" customWidth="1"/>
    <col min="1011" max="1011" width="11.7109375" style="9" customWidth="1"/>
    <col min="1012" max="1012" width="10.7109375" customWidth="1"/>
    <col min="1013" max="1013" width="11.7109375" style="9" customWidth="1"/>
    <col min="1014" max="1014" width="10.7109375" customWidth="1"/>
    <col min="1015" max="1015" width="11.7109375" style="9" customWidth="1"/>
    <col min="1016" max="1016" width="10.7109375" customWidth="1"/>
    <col min="1017" max="1017" width="11.7109375" style="9" customWidth="1"/>
    <col min="1018" max="1018" width="10.7109375" customWidth="1"/>
    <col min="1019" max="1019" width="11.7109375" style="9" customWidth="1"/>
    <col min="1020" max="1020" width="10.7109375" customWidth="1"/>
    <col min="1021" max="1021" width="11.7109375" style="9" customWidth="1"/>
    <col min="1022" max="1022" width="10.7109375" customWidth="1"/>
    <col min="1023" max="1023" width="11.7109375" style="9" customWidth="1"/>
    <col min="1024" max="1024" width="10.7109375" customWidth="1"/>
    <col min="1025" max="1025" width="11.7109375" style="9" customWidth="1"/>
    <col min="1026" max="1026" width="10.7109375" customWidth="1"/>
    <col min="1027" max="1027" width="11.7109375" style="9" customWidth="1"/>
    <col min="1028" max="1028" width="10.7109375" customWidth="1"/>
    <col min="1029" max="1029" width="11.7109375" style="9" customWidth="1"/>
    <col min="1030" max="1030" width="10.7109375" customWidth="1"/>
    <col min="1031" max="1031" width="11.7109375" style="9" customWidth="1"/>
    <col min="1032" max="1032" width="10.7109375" customWidth="1"/>
    <col min="1033" max="1033" width="11.7109375" style="9" customWidth="1"/>
    <col min="1034" max="1034" width="10.7109375" customWidth="1"/>
    <col min="1035" max="1035" width="11.7109375" style="9" customWidth="1"/>
    <col min="1036" max="1036" width="10.7109375" customWidth="1"/>
    <col min="1037" max="1037" width="11.7109375" style="9" customWidth="1"/>
    <col min="1038" max="1038" width="10.7109375" customWidth="1"/>
    <col min="1039" max="1039" width="11.7109375" style="9" customWidth="1"/>
    <col min="1040" max="1040" width="10.7109375" customWidth="1"/>
    <col min="1041" max="1041" width="11.7109375" style="9" customWidth="1"/>
    <col min="1042" max="1042" width="10.7109375" customWidth="1"/>
    <col min="1043" max="1043" width="11.7109375" style="9" customWidth="1"/>
    <col min="1044" max="1044" width="10.7109375" customWidth="1"/>
    <col min="1045" max="1045" width="11.7109375" style="9" customWidth="1"/>
    <col min="1046" max="1046" width="10.7109375" customWidth="1"/>
    <col min="1047" max="1047" width="11.7109375" style="9" customWidth="1"/>
    <col min="1048" max="1048" width="10.7109375" customWidth="1"/>
    <col min="1049" max="1049" width="11.7109375" style="9" customWidth="1"/>
    <col min="1050" max="1050" width="10.7109375" customWidth="1"/>
    <col min="1051" max="1051" width="11.7109375" style="9" customWidth="1"/>
    <col min="1052" max="1052" width="10.7109375" customWidth="1"/>
    <col min="1053" max="1053" width="11.7109375" style="9" customWidth="1"/>
    <col min="1054" max="1054" width="10.7109375" customWidth="1"/>
    <col min="1055" max="1055" width="11.7109375" style="9" customWidth="1"/>
    <col min="1056" max="1056" width="10.7109375" customWidth="1"/>
    <col min="1057" max="1057" width="11.7109375" style="9" customWidth="1"/>
    <col min="1058" max="1058" width="10.7109375" customWidth="1"/>
    <col min="1059" max="1059" width="11.7109375" style="9" customWidth="1"/>
    <col min="1060" max="1060" width="10.7109375" customWidth="1"/>
    <col min="1061" max="1061" width="11.7109375" style="9" customWidth="1"/>
    <col min="1062" max="1062" width="10.7109375" customWidth="1"/>
    <col min="1063" max="1063" width="11.7109375" style="9" customWidth="1"/>
    <col min="1064" max="1064" width="10.7109375" customWidth="1"/>
    <col min="1065" max="1065" width="11.7109375" style="9" customWidth="1"/>
    <col min="1066" max="1066" width="10.7109375" customWidth="1"/>
    <col min="1067" max="1067" width="11.7109375" style="9" customWidth="1"/>
    <col min="1068" max="1068" width="10.7109375" customWidth="1"/>
    <col min="1069" max="1069" width="11.7109375" style="9" customWidth="1"/>
    <col min="1070" max="1070" width="10.7109375" customWidth="1"/>
    <col min="1071" max="1071" width="11.7109375" style="9" customWidth="1"/>
    <col min="1072" max="1072" width="10.7109375" customWidth="1"/>
    <col min="1073" max="1073" width="11.7109375" style="9" customWidth="1"/>
    <col min="1074" max="1074" width="10.7109375" customWidth="1"/>
    <col min="1075" max="1075" width="11.7109375" style="9" customWidth="1"/>
    <col min="1076" max="1076" width="10.7109375" customWidth="1"/>
    <col min="1077" max="1077" width="11.7109375" style="9" customWidth="1"/>
    <col min="1078" max="1078" width="10.7109375" customWidth="1"/>
    <col min="1079" max="1079" width="11.7109375" style="9" customWidth="1"/>
    <col min="1080" max="1080" width="10.7109375" customWidth="1"/>
    <col min="1081" max="1081" width="11.7109375" style="9" customWidth="1"/>
    <col min="1082" max="1082" width="10.7109375" customWidth="1"/>
    <col min="1083" max="1083" width="11.7109375" style="9" customWidth="1"/>
    <col min="1084" max="1084" width="10.7109375" customWidth="1"/>
    <col min="1085" max="1085" width="11.7109375" style="9" customWidth="1"/>
    <col min="1086" max="1086" width="10.7109375" customWidth="1"/>
    <col min="1087" max="1087" width="11.7109375" style="9" customWidth="1"/>
    <col min="1088" max="1088" width="10.7109375" customWidth="1"/>
    <col min="1089" max="1089" width="11.7109375" style="9" customWidth="1"/>
    <col min="1090" max="1090" width="10.7109375" customWidth="1"/>
    <col min="1091" max="1091" width="11.7109375" style="9" customWidth="1"/>
    <col min="1092" max="1092" width="10.7109375" customWidth="1"/>
    <col min="1093" max="1093" width="11.7109375" style="9" customWidth="1"/>
    <col min="1094" max="1094" width="10.7109375" customWidth="1"/>
    <col min="1095" max="1095" width="11.7109375" style="9" customWidth="1"/>
    <col min="1096" max="1096" width="10.7109375" customWidth="1"/>
    <col min="1097" max="1097" width="11.7109375" style="9" customWidth="1"/>
    <col min="1098" max="1098" width="10.7109375" customWidth="1"/>
    <col min="1099" max="1099" width="11.7109375" style="9" customWidth="1"/>
    <col min="1100" max="1100" width="10.7109375" customWidth="1"/>
    <col min="1101" max="1101" width="11.7109375" style="9" customWidth="1"/>
    <col min="1102" max="1102" width="10.7109375" customWidth="1"/>
    <col min="1103" max="1103" width="11.7109375" style="9" customWidth="1"/>
    <col min="1104" max="1104" width="10.7109375" customWidth="1"/>
    <col min="1105" max="1105" width="11.7109375" style="9" customWidth="1"/>
    <col min="1106" max="1106" width="10.7109375" customWidth="1"/>
    <col min="1107" max="1107" width="11.7109375" style="9" customWidth="1"/>
    <col min="1108" max="1108" width="10.7109375" customWidth="1"/>
    <col min="1109" max="1109" width="11.7109375" style="9" customWidth="1"/>
    <col min="1110" max="1110" width="10.7109375" customWidth="1"/>
    <col min="1111" max="1111" width="11.7109375" style="9" customWidth="1"/>
    <col min="1112" max="1112" width="10.7109375" customWidth="1"/>
    <col min="1113" max="1113" width="11.7109375" style="9" customWidth="1"/>
    <col min="1114" max="1114" width="10.7109375" customWidth="1"/>
    <col min="1115" max="1115" width="11.7109375" style="9" customWidth="1"/>
    <col min="1116" max="1116" width="10.7109375" customWidth="1"/>
    <col min="1117" max="1117" width="11.7109375" style="9" customWidth="1"/>
    <col min="1118" max="1118" width="10.7109375" customWidth="1"/>
    <col min="1119" max="1119" width="11.7109375" style="9" customWidth="1"/>
    <col min="1120" max="1120" width="10.7109375" customWidth="1"/>
    <col min="1121" max="1121" width="11.7109375" style="9" customWidth="1"/>
    <col min="1122" max="1122" width="10.7109375" customWidth="1"/>
    <col min="1123" max="1123" width="11.7109375" style="9" customWidth="1"/>
    <col min="1124" max="1124" width="10.7109375" customWidth="1"/>
    <col min="1125" max="1125" width="11.7109375" style="9" customWidth="1"/>
    <col min="1126" max="1126" width="10.7109375" customWidth="1"/>
    <col min="1127" max="1127" width="11.7109375" style="9" customWidth="1"/>
    <col min="1128" max="1128" width="10.7109375" customWidth="1"/>
    <col min="1129" max="1129" width="11.7109375" style="9" customWidth="1"/>
    <col min="1130" max="1130" width="10.7109375" customWidth="1"/>
    <col min="1131" max="1131" width="11.7109375" style="9" customWidth="1"/>
    <col min="1132" max="1132" width="10.7109375" customWidth="1"/>
    <col min="1133" max="1133" width="11.7109375" style="9" customWidth="1"/>
    <col min="1134" max="1134" width="10.7109375" customWidth="1"/>
    <col min="1135" max="1135" width="11.7109375" style="9" customWidth="1"/>
    <col min="1136" max="1136" width="10.7109375" customWidth="1"/>
    <col min="1137" max="1137" width="11.7109375" style="9" customWidth="1"/>
    <col min="1138" max="1138" width="10.7109375" customWidth="1"/>
    <col min="1139" max="1139" width="11.7109375" style="9" customWidth="1"/>
    <col min="1140" max="1140" width="10.7109375" customWidth="1"/>
    <col min="1141" max="1141" width="11.7109375" style="9" customWidth="1"/>
    <col min="1142" max="1142" width="10.7109375" customWidth="1"/>
    <col min="1143" max="1143" width="11.7109375" style="9" customWidth="1"/>
    <col min="1144" max="1144" width="10.7109375" customWidth="1"/>
    <col min="1145" max="1145" width="11.7109375" style="9" customWidth="1"/>
    <col min="1146" max="1146" width="10.7109375" customWidth="1"/>
    <col min="1147" max="1147" width="11.7109375" style="9" customWidth="1"/>
    <col min="1148" max="1148" width="10.7109375" customWidth="1"/>
    <col min="1149" max="1149" width="11.7109375" style="9" customWidth="1"/>
    <col min="1150" max="1150" width="10.7109375" customWidth="1"/>
    <col min="1151" max="1151" width="11.7109375" style="9" customWidth="1"/>
    <col min="1152" max="1152" width="10.7109375" customWidth="1"/>
    <col min="1153" max="1153" width="11.7109375" style="9" customWidth="1"/>
    <col min="1154" max="1154" width="10.7109375" customWidth="1"/>
    <col min="1155" max="1155" width="11.7109375" style="9" customWidth="1"/>
    <col min="1156" max="1156" width="10.7109375" customWidth="1"/>
    <col min="1157" max="1157" width="11.7109375" style="9" customWidth="1"/>
    <col min="1158" max="1158" width="10.7109375" customWidth="1"/>
    <col min="1159" max="1159" width="11.7109375" style="9" customWidth="1"/>
    <col min="1160" max="1160" width="10.7109375" customWidth="1"/>
    <col min="1161" max="1161" width="11.7109375" style="9" customWidth="1"/>
    <col min="1162" max="1162" width="10.7109375" customWidth="1"/>
    <col min="1163" max="1163" width="11.7109375" style="9" customWidth="1"/>
    <col min="1164" max="1164" width="10.7109375" customWidth="1"/>
    <col min="1165" max="1165" width="11.7109375" style="9" customWidth="1"/>
    <col min="1166" max="1166" width="10.7109375" customWidth="1"/>
    <col min="1167" max="1167" width="11.7109375" style="9" customWidth="1"/>
    <col min="1168" max="1168" width="10.7109375" customWidth="1"/>
    <col min="1169" max="1169" width="11.7109375" style="9" customWidth="1"/>
    <col min="1170" max="1170" width="10.7109375" customWidth="1"/>
    <col min="1171" max="1171" width="11.7109375" style="9" customWidth="1"/>
    <col min="1172" max="1172" width="10.7109375" customWidth="1"/>
    <col min="1173" max="1173" width="11.7109375" style="9" customWidth="1"/>
    <col min="1174" max="1174" width="10.7109375" customWidth="1"/>
    <col min="1175" max="1175" width="11.7109375" style="9" customWidth="1"/>
    <col min="1176" max="1176" width="10.7109375" customWidth="1"/>
    <col min="1177" max="1177" width="11.7109375" style="9" customWidth="1"/>
    <col min="1178" max="1178" width="10.7109375" customWidth="1"/>
    <col min="1179" max="1179" width="11.7109375" style="9" customWidth="1"/>
    <col min="1180" max="1180" width="10.7109375" customWidth="1"/>
    <col min="1181" max="1181" width="11.7109375" style="9" customWidth="1"/>
    <col min="1182" max="1182" width="10.7109375" customWidth="1"/>
    <col min="1183" max="1183" width="11.7109375" style="9" customWidth="1"/>
    <col min="1184" max="1184" width="10.7109375" customWidth="1"/>
    <col min="1185" max="1185" width="11.7109375" style="9" customWidth="1"/>
    <col min="1186" max="1186" width="10.7109375" customWidth="1"/>
    <col min="1187" max="1187" width="11.7109375" style="9" customWidth="1"/>
    <col min="1188" max="1188" width="10.7109375" customWidth="1"/>
    <col min="1189" max="1189" width="11.7109375" style="9" customWidth="1"/>
    <col min="1190" max="1190" width="10.7109375" customWidth="1"/>
    <col min="1191" max="1191" width="11.7109375" style="9" customWidth="1"/>
    <col min="1192" max="1192" width="10.7109375" customWidth="1"/>
    <col min="1193" max="1193" width="11.7109375" style="9" customWidth="1"/>
    <col min="1194" max="1194" width="10.7109375" customWidth="1"/>
    <col min="1195" max="1195" width="11.7109375" style="9" customWidth="1"/>
    <col min="1196" max="1196" width="10.7109375" customWidth="1"/>
    <col min="1197" max="1197" width="11.7109375" style="9" customWidth="1"/>
    <col min="1198" max="1198" width="10.7109375" customWidth="1"/>
    <col min="1199" max="1199" width="11.7109375" style="9" customWidth="1"/>
    <col min="1200" max="1200" width="10.7109375" customWidth="1"/>
    <col min="1201" max="1201" width="11.7109375" style="9" customWidth="1"/>
    <col min="1202" max="1202" width="10.7109375" customWidth="1"/>
    <col min="1203" max="1203" width="11.7109375" style="9" customWidth="1"/>
    <col min="1204" max="1204" width="10.7109375" customWidth="1"/>
    <col min="1205" max="1205" width="11.7109375" style="9" customWidth="1"/>
    <col min="1206" max="1206" width="10.7109375" customWidth="1"/>
    <col min="1207" max="1207" width="11.7109375" style="9" customWidth="1"/>
    <col min="1208" max="1208" width="10.7109375" customWidth="1"/>
    <col min="1209" max="1209" width="11.7109375" style="9" customWidth="1"/>
    <col min="1210" max="1210" width="10.7109375" customWidth="1"/>
    <col min="1211" max="1211" width="11.7109375" style="9" customWidth="1"/>
    <col min="1212" max="1212" width="10.7109375" customWidth="1"/>
    <col min="1213" max="1213" width="11.7109375" style="9" customWidth="1"/>
    <col min="1214" max="1214" width="10.7109375" customWidth="1"/>
    <col min="1215" max="1215" width="11.7109375" style="9" customWidth="1"/>
    <col min="1216" max="1216" width="10.7109375" customWidth="1"/>
    <col min="1217" max="1217" width="11.7109375" style="9" customWidth="1"/>
    <col min="1218" max="1218" width="10.7109375" customWidth="1"/>
    <col min="1219" max="1219" width="11.7109375" style="9" customWidth="1"/>
    <col min="1220" max="1220" width="10.7109375" customWidth="1"/>
    <col min="1221" max="1221" width="11.7109375" style="9" customWidth="1"/>
    <col min="1222" max="1222" width="10.7109375" customWidth="1"/>
    <col min="1223" max="1223" width="11.7109375" style="9" customWidth="1"/>
    <col min="1224" max="1224" width="10.7109375" customWidth="1"/>
    <col min="1225" max="1225" width="11.7109375" style="9" customWidth="1"/>
    <col min="1226" max="1226" width="10.7109375" customWidth="1"/>
    <col min="1227" max="1227" width="11.7109375" style="9" customWidth="1"/>
    <col min="1228" max="1228" width="10.7109375" customWidth="1"/>
    <col min="1229" max="1229" width="11.7109375" style="9" customWidth="1"/>
    <col min="1230" max="1230" width="10.7109375" customWidth="1"/>
    <col min="1231" max="1231" width="11.7109375" style="9" customWidth="1"/>
    <col min="1232" max="1232" width="10.7109375" customWidth="1"/>
    <col min="1233" max="1233" width="11.7109375" style="9" customWidth="1"/>
    <col min="1234" max="1234" width="10.7109375" customWidth="1"/>
    <col min="1235" max="1235" width="11.7109375" style="9" customWidth="1"/>
    <col min="1236" max="1236" width="10.7109375" customWidth="1"/>
    <col min="1237" max="1237" width="11.7109375" style="9" customWidth="1"/>
    <col min="1238" max="1238" width="10.7109375" customWidth="1"/>
    <col min="1239" max="1239" width="11.7109375" style="9" customWidth="1"/>
    <col min="1240" max="1240" width="10.7109375" customWidth="1"/>
    <col min="1241" max="1241" width="11.7109375" style="9" customWidth="1"/>
    <col min="1242" max="1242" width="10.7109375" customWidth="1"/>
    <col min="1243" max="1243" width="11.7109375" style="9" customWidth="1"/>
    <col min="1244" max="1244" width="10.7109375" customWidth="1"/>
    <col min="1245" max="1245" width="11.7109375" style="9" customWidth="1"/>
    <col min="1246" max="1246" width="10.7109375" customWidth="1"/>
    <col min="1247" max="1247" width="11.7109375" style="9" customWidth="1"/>
    <col min="1248" max="1248" width="10.7109375" customWidth="1"/>
    <col min="1249" max="1249" width="11.7109375" style="9" customWidth="1"/>
    <col min="1250" max="1250" width="10.7109375" customWidth="1"/>
    <col min="1251" max="1251" width="11.7109375" style="9" customWidth="1"/>
    <col min="1252" max="1252" width="10.7109375" customWidth="1"/>
    <col min="1253" max="1253" width="11.7109375" style="9" customWidth="1"/>
    <col min="1254" max="1254" width="10.7109375" customWidth="1"/>
    <col min="1255" max="1255" width="11.7109375" style="9" customWidth="1"/>
    <col min="1256" max="1256" width="10.7109375" customWidth="1"/>
    <col min="1257" max="1257" width="11.7109375" style="9" customWidth="1"/>
    <col min="1258" max="1258" width="10.7109375" customWidth="1"/>
    <col min="1259" max="1259" width="11.7109375" style="9" customWidth="1"/>
    <col min="1260" max="1260" width="10.7109375" customWidth="1"/>
    <col min="1261" max="1261" width="11.7109375" style="9" customWidth="1"/>
    <col min="1262" max="1262" width="10.7109375" customWidth="1"/>
    <col min="1263" max="1263" width="11.7109375" style="9" customWidth="1"/>
    <col min="1264" max="1264" width="10.7109375" customWidth="1"/>
    <col min="1265" max="1265" width="11.7109375" style="9" customWidth="1"/>
    <col min="1266" max="1266" width="10.7109375" customWidth="1"/>
    <col min="1267" max="1267" width="11.7109375" style="9" customWidth="1"/>
    <col min="1268" max="1268" width="10.7109375" customWidth="1"/>
    <col min="1269" max="1269" width="11.7109375" style="9" customWidth="1"/>
    <col min="1270" max="1270" width="10.7109375" customWidth="1"/>
    <col min="1271" max="1271" width="11.7109375" style="9" customWidth="1"/>
    <col min="1272" max="1272" width="10.7109375" customWidth="1"/>
    <col min="1273" max="1273" width="11.7109375" style="9" customWidth="1"/>
    <col min="1274" max="1274" width="10.7109375" customWidth="1"/>
    <col min="1275" max="1275" width="11.7109375" style="9" customWidth="1"/>
    <col min="1276" max="1276" width="10.7109375" customWidth="1"/>
    <col min="1277" max="1277" width="11.7109375" style="9" customWidth="1"/>
    <col min="1278" max="1278" width="10.7109375" customWidth="1"/>
    <col min="1279" max="1279" width="11.7109375" style="9" customWidth="1"/>
    <col min="1280" max="1280" width="10.7109375" customWidth="1"/>
    <col min="1281" max="1281" width="11.7109375" style="9" customWidth="1"/>
    <col min="1282" max="1282" width="10.7109375" customWidth="1"/>
    <col min="1283" max="1283" width="11.7109375" style="9" customWidth="1"/>
    <col min="1284" max="1284" width="10.7109375" customWidth="1"/>
    <col min="1285" max="1285" width="11.7109375" style="9" customWidth="1"/>
    <col min="1286" max="1286" width="10.7109375" customWidth="1"/>
    <col min="1287" max="1287" width="11.7109375" style="9" customWidth="1"/>
    <col min="1288" max="1288" width="10.7109375" customWidth="1"/>
    <col min="1289" max="1289" width="11.7109375" style="9" customWidth="1"/>
    <col min="1290" max="1290" width="10.7109375" customWidth="1"/>
    <col min="1291" max="1291" width="11.7109375" style="9" customWidth="1"/>
    <col min="1292" max="1292" width="10.7109375" customWidth="1"/>
    <col min="1293" max="1293" width="11.7109375" style="9" customWidth="1"/>
    <col min="1294" max="1294" width="10.7109375" customWidth="1"/>
    <col min="1295" max="1295" width="11.7109375" style="9" customWidth="1"/>
    <col min="1296" max="1296" width="10.7109375" customWidth="1"/>
    <col min="1297" max="1297" width="11.7109375" style="9" customWidth="1"/>
    <col min="1298" max="1298" width="10.7109375" customWidth="1"/>
    <col min="1299" max="1299" width="11.7109375" style="9" customWidth="1"/>
    <col min="1300" max="1300" width="10.7109375" customWidth="1"/>
    <col min="1301" max="1301" width="11.7109375" style="9" customWidth="1"/>
    <col min="1302" max="1302" width="10.7109375" customWidth="1"/>
    <col min="1303" max="1303" width="11.7109375" style="9" customWidth="1"/>
    <col min="1304" max="1304" width="10.7109375" customWidth="1"/>
    <col min="1305" max="1305" width="11.7109375" style="9" customWidth="1"/>
    <col min="1306" max="1306" width="10.7109375" customWidth="1"/>
    <col min="1307" max="1307" width="11.7109375" style="9" customWidth="1"/>
    <col min="1308" max="1308" width="10.7109375" customWidth="1"/>
    <col min="1309" max="1309" width="11.7109375" style="9" customWidth="1"/>
    <col min="1310" max="1310" width="10.7109375" customWidth="1"/>
    <col min="1311" max="1311" width="11.7109375" style="9" customWidth="1"/>
    <col min="1312" max="1312" width="10.7109375" customWidth="1"/>
    <col min="1313" max="1313" width="11.7109375" style="9" customWidth="1"/>
    <col min="1314" max="1314" width="10.7109375" customWidth="1"/>
    <col min="1315" max="1315" width="11.7109375" style="9" customWidth="1"/>
    <col min="1316" max="1316" width="10.7109375" customWidth="1"/>
    <col min="1317" max="1317" width="11.7109375" style="9" customWidth="1"/>
    <col min="1318" max="1318" width="10.7109375" customWidth="1"/>
    <col min="1319" max="1319" width="11.7109375" style="9" customWidth="1"/>
    <col min="1320" max="1320" width="10.7109375" customWidth="1"/>
    <col min="1321" max="1321" width="11.7109375" style="9" customWidth="1"/>
    <col min="1322" max="1322" width="10.7109375" customWidth="1"/>
    <col min="1323" max="1323" width="11.7109375" style="9" customWidth="1"/>
    <col min="1324" max="1324" width="10.7109375" customWidth="1"/>
    <col min="1325" max="1325" width="11.7109375" style="9" customWidth="1"/>
    <col min="1326" max="1326" width="10.7109375" customWidth="1"/>
    <col min="1327" max="1327" width="11.7109375" style="9" customWidth="1"/>
    <col min="1328" max="1328" width="10.7109375" customWidth="1"/>
    <col min="1329" max="1329" width="11.7109375" style="9" customWidth="1"/>
    <col min="1330" max="1330" width="10.7109375" customWidth="1"/>
    <col min="1331" max="1331" width="11.7109375" style="9" customWidth="1"/>
    <col min="1332" max="1332" width="10.7109375" customWidth="1"/>
    <col min="1333" max="1333" width="11.7109375" style="9" customWidth="1"/>
    <col min="1334" max="1334" width="10.7109375" customWidth="1"/>
    <col min="1335" max="1335" width="11.7109375" style="9" customWidth="1"/>
    <col min="1336" max="1336" width="10.7109375" customWidth="1"/>
    <col min="1337" max="1337" width="11.7109375" style="9" customWidth="1"/>
    <col min="1338" max="1338" width="10.7109375" customWidth="1"/>
    <col min="1339" max="1339" width="11.7109375" style="9" customWidth="1"/>
    <col min="1340" max="1340" width="10.7109375" customWidth="1"/>
    <col min="1341" max="1341" width="11.7109375" style="9" customWidth="1"/>
    <col min="1342" max="1342" width="10.7109375" customWidth="1"/>
    <col min="1343" max="1343" width="11.7109375" style="9" customWidth="1"/>
    <col min="1344" max="1344" width="10.7109375" customWidth="1"/>
    <col min="1345" max="1345" width="11.7109375" style="9" customWidth="1"/>
    <col min="1346" max="1346" width="10.7109375" customWidth="1"/>
    <col min="1347" max="1347" width="11.7109375" style="9" customWidth="1"/>
    <col min="1348" max="1348" width="10.7109375" customWidth="1"/>
    <col min="1349" max="1349" width="11.7109375" style="9" customWidth="1"/>
    <col min="1350" max="1350" width="10.7109375" customWidth="1"/>
    <col min="1351" max="1351" width="11.7109375" style="9" customWidth="1"/>
    <col min="1352" max="1352" width="10.7109375" customWidth="1"/>
    <col min="1353" max="1353" width="11.7109375" style="9" customWidth="1"/>
    <col min="1354" max="1354" width="10.7109375" customWidth="1"/>
    <col min="1355" max="1355" width="11.7109375" style="9" customWidth="1"/>
    <col min="1356" max="1356" width="10.7109375" customWidth="1"/>
    <col min="1357" max="1357" width="11.7109375" style="9" customWidth="1"/>
    <col min="1358" max="1358" width="10.7109375" customWidth="1"/>
    <col min="1359" max="1359" width="11.7109375" style="9" customWidth="1"/>
    <col min="1360" max="1360" width="10.7109375" customWidth="1"/>
    <col min="1361" max="1361" width="11.7109375" style="9" customWidth="1"/>
    <col min="1362" max="1362" width="10.7109375" customWidth="1"/>
    <col min="1363" max="1363" width="11.7109375" style="9" customWidth="1"/>
    <col min="1364" max="1364" width="10.7109375" customWidth="1"/>
    <col min="1365" max="1365" width="11.7109375" style="9" customWidth="1"/>
    <col min="1366" max="1366" width="10.7109375" customWidth="1"/>
    <col min="1367" max="1367" width="11.7109375" style="9" customWidth="1"/>
    <col min="1368" max="1368" width="10.7109375" customWidth="1"/>
    <col min="1369" max="1369" width="11.7109375" style="9" customWidth="1"/>
    <col min="1370" max="1370" width="10.7109375" customWidth="1"/>
    <col min="1371" max="1371" width="11.7109375" style="9" customWidth="1"/>
    <col min="1372" max="1372" width="10.7109375" customWidth="1"/>
    <col min="1373" max="1373" width="11.7109375" style="9" customWidth="1"/>
    <col min="1374" max="1374" width="10.7109375" customWidth="1"/>
    <col min="1375" max="1375" width="11.7109375" style="9" customWidth="1"/>
    <col min="1376" max="1376" width="10.7109375" customWidth="1"/>
    <col min="1377" max="1377" width="11.7109375" style="9" customWidth="1"/>
    <col min="1378" max="1378" width="10.7109375" customWidth="1"/>
    <col min="1379" max="1379" width="11.7109375" style="9" customWidth="1"/>
    <col min="1380" max="1380" width="10.7109375" customWidth="1"/>
    <col min="1381" max="1381" width="11.7109375" style="9" customWidth="1"/>
    <col min="1382" max="1382" width="10.7109375" customWidth="1"/>
    <col min="1383" max="1383" width="11.7109375" style="9" customWidth="1"/>
    <col min="1384" max="1384" width="10.7109375" customWidth="1"/>
    <col min="1385" max="1385" width="11.7109375" style="9" customWidth="1"/>
    <col min="1386" max="1386" width="10.7109375" customWidth="1"/>
    <col min="1387" max="1387" width="11.7109375" style="9" customWidth="1"/>
    <col min="1388" max="1388" width="10.7109375" customWidth="1"/>
    <col min="1389" max="1389" width="11.7109375" style="9" customWidth="1"/>
    <col min="1390" max="1390" width="10.7109375" customWidth="1"/>
    <col min="1391" max="1391" width="11.7109375" style="9" customWidth="1"/>
    <col min="1392" max="1392" width="10.7109375" customWidth="1"/>
    <col min="1393" max="1393" width="11.7109375" style="9" customWidth="1"/>
    <col min="1394" max="1394" width="10.7109375" customWidth="1"/>
    <col min="1395" max="1395" width="11.7109375" style="9" customWidth="1"/>
    <col min="1396" max="1396" width="10.7109375" customWidth="1"/>
    <col min="1397" max="1397" width="11.7109375" style="9" customWidth="1"/>
    <col min="1398" max="1398" width="10.7109375" customWidth="1"/>
    <col min="1399" max="1399" width="11.7109375" style="9" customWidth="1"/>
    <col min="1400" max="1400" width="10.7109375" customWidth="1"/>
    <col min="1401" max="1401" width="11.7109375" style="9" customWidth="1"/>
    <col min="1402" max="1402" width="10.7109375" customWidth="1"/>
    <col min="1403" max="1403" width="11.7109375" style="9" customWidth="1"/>
    <col min="1404" max="1404" width="10.7109375" customWidth="1"/>
    <col min="1405" max="1405" width="11.7109375" style="9" customWidth="1"/>
    <col min="1406" max="1406" width="10.7109375" customWidth="1"/>
    <col min="1407" max="1407" width="11.7109375" style="9" customWidth="1"/>
    <col min="1408" max="1408" width="10.7109375" customWidth="1"/>
    <col min="1409" max="1409" width="11.7109375" style="9" customWidth="1"/>
    <col min="1410" max="1410" width="10.7109375" customWidth="1"/>
    <col min="1411" max="1411" width="11.7109375" style="9" customWidth="1"/>
    <col min="1412" max="1412" width="10.7109375" customWidth="1"/>
    <col min="1413" max="1413" width="11.7109375" style="9" customWidth="1"/>
    <col min="1414" max="1414" width="10.7109375" customWidth="1"/>
    <col min="1415" max="1415" width="11.7109375" style="9" customWidth="1"/>
    <col min="1416" max="1416" width="10.7109375" customWidth="1"/>
    <col min="1417" max="1417" width="11.7109375" style="9" customWidth="1"/>
    <col min="1418" max="1418" width="10.7109375" customWidth="1"/>
    <col min="1419" max="1419" width="11.7109375" style="9" customWidth="1"/>
    <col min="1420" max="1420" width="10.7109375" customWidth="1"/>
    <col min="1421" max="1421" width="11.7109375" style="9" customWidth="1"/>
    <col min="1422" max="1422" width="10.7109375" customWidth="1"/>
    <col min="1423" max="1423" width="11.7109375" style="9" customWidth="1"/>
    <col min="1424" max="1424" width="10.7109375" customWidth="1"/>
    <col min="1425" max="1425" width="11.7109375" style="9" customWidth="1"/>
    <col min="1426" max="1426" width="10.7109375" customWidth="1"/>
    <col min="1427" max="1427" width="11.7109375" style="9" customWidth="1"/>
    <col min="1428" max="1428" width="10.7109375" customWidth="1"/>
    <col min="1429" max="1429" width="11.7109375" style="9" customWidth="1"/>
    <col min="1430" max="1430" width="10.7109375" customWidth="1"/>
    <col min="1431" max="1431" width="11.7109375" style="9" customWidth="1"/>
    <col min="1432" max="1432" width="10.7109375" customWidth="1"/>
    <col min="1433" max="1433" width="11.7109375" style="9" customWidth="1"/>
    <col min="1434" max="1434" width="10.7109375" customWidth="1"/>
    <col min="1435" max="1435" width="11.7109375" style="9" customWidth="1"/>
    <col min="1436" max="1436" width="10.7109375" customWidth="1"/>
    <col min="1437" max="1437" width="11.7109375" style="9" customWidth="1"/>
    <col min="1438" max="1438" width="10.7109375" customWidth="1"/>
    <col min="1439" max="1439" width="11.7109375" style="9" customWidth="1"/>
    <col min="1440" max="1440" width="10.7109375" customWidth="1"/>
    <col min="1441" max="1441" width="11.7109375" style="9" customWidth="1"/>
    <col min="1442" max="1442" width="10.7109375" customWidth="1"/>
    <col min="1443" max="1443" width="11.7109375" style="9" customWidth="1"/>
    <col min="1444" max="1444" width="10.7109375" customWidth="1"/>
    <col min="1445" max="1445" width="11.7109375" style="9" customWidth="1"/>
    <col min="1446" max="1446" width="10.7109375" customWidth="1"/>
    <col min="1447" max="1447" width="11.7109375" style="9" customWidth="1"/>
    <col min="1448" max="1448" width="10.7109375" customWidth="1"/>
    <col min="1449" max="1449" width="11.7109375" style="9" customWidth="1"/>
    <col min="1450" max="1450" width="10.7109375" customWidth="1"/>
    <col min="1451" max="1451" width="11.7109375" style="9" customWidth="1"/>
    <col min="1452" max="1452" width="10.7109375" customWidth="1"/>
    <col min="1453" max="1453" width="11.7109375" style="9" customWidth="1"/>
    <col min="1454" max="1454" width="10.7109375" customWidth="1"/>
    <col min="1455" max="1455" width="11.7109375" style="9" customWidth="1"/>
    <col min="1456" max="1456" width="10.7109375" customWidth="1"/>
    <col min="1457" max="1457" width="11.7109375" style="9" customWidth="1"/>
    <col min="1458" max="1458" width="10.7109375" customWidth="1"/>
    <col min="1459" max="1459" width="11.7109375" style="9" customWidth="1"/>
    <col min="1460" max="1460" width="10.7109375" customWidth="1"/>
    <col min="1461" max="1461" width="11.7109375" style="9" customWidth="1"/>
    <col min="1462" max="1462" width="10.7109375" customWidth="1"/>
    <col min="1463" max="1463" width="11.7109375" style="9" customWidth="1"/>
    <col min="1464" max="1464" width="10.7109375" customWidth="1"/>
    <col min="1465" max="1465" width="11.7109375" style="9" customWidth="1"/>
    <col min="1466" max="1466" width="10.7109375" customWidth="1"/>
    <col min="1467" max="1467" width="11.7109375" style="9" customWidth="1"/>
    <col min="1468" max="1468" width="10.7109375" customWidth="1"/>
    <col min="1469" max="1469" width="11.7109375" style="9" customWidth="1"/>
    <col min="1470" max="1470" width="10.7109375" customWidth="1"/>
    <col min="1471" max="1471" width="11.7109375" style="9" customWidth="1"/>
    <col min="1472" max="1472" width="10.7109375" customWidth="1"/>
    <col min="1473" max="1473" width="11.7109375" style="9" customWidth="1"/>
    <col min="1474" max="1474" width="10.7109375" customWidth="1"/>
    <col min="1475" max="1475" width="11.7109375" style="9" customWidth="1"/>
    <col min="1476" max="1476" width="10.7109375" customWidth="1"/>
    <col min="1477" max="1477" width="11.7109375" style="9" customWidth="1"/>
    <col min="1478" max="1478" width="10.7109375" customWidth="1"/>
    <col min="1479" max="1479" width="11.7109375" style="9" customWidth="1"/>
    <col min="1480" max="1480" width="10.7109375" customWidth="1"/>
    <col min="1481" max="1481" width="11.7109375" style="9" customWidth="1"/>
    <col min="1482" max="1482" width="10.7109375" customWidth="1"/>
    <col min="1483" max="1483" width="11.7109375" style="9" customWidth="1"/>
    <col min="1484" max="1484" width="10.7109375" customWidth="1"/>
    <col min="1485" max="1485" width="11.7109375" style="9" customWidth="1"/>
    <col min="1486" max="1486" width="10.7109375" customWidth="1"/>
    <col min="1487" max="1487" width="11.7109375" style="9" customWidth="1"/>
    <col min="1488" max="1488" width="10.7109375" customWidth="1"/>
    <col min="1489" max="1489" width="11.7109375" style="9" customWidth="1"/>
    <col min="1490" max="1490" width="10.7109375" customWidth="1"/>
    <col min="1491" max="1491" width="11.7109375" style="9" customWidth="1"/>
    <col min="1492" max="1492" width="10.7109375" customWidth="1"/>
    <col min="1493" max="1493" width="11.7109375" style="9" customWidth="1"/>
    <col min="1494" max="1494" width="10.7109375" customWidth="1"/>
    <col min="1495" max="1495" width="11.7109375" style="9" customWidth="1"/>
    <col min="1496" max="1496" width="10.7109375" customWidth="1"/>
    <col min="1497" max="1497" width="11.7109375" style="9" customWidth="1"/>
    <col min="1498" max="1498" width="10.7109375" customWidth="1"/>
    <col min="1499" max="1499" width="11.7109375" style="9" customWidth="1"/>
    <col min="1500" max="1500" width="10.7109375" customWidth="1"/>
    <col min="1501" max="1501" width="11.7109375" style="9" customWidth="1"/>
    <col min="1502" max="1502" width="10.7109375" customWidth="1"/>
    <col min="1503" max="1503" width="11.7109375" style="9" customWidth="1"/>
    <col min="1504" max="1504" width="10.7109375" customWidth="1"/>
    <col min="1505" max="1505" width="11.7109375" style="9" customWidth="1"/>
    <col min="1506" max="1506" width="10.7109375" customWidth="1"/>
    <col min="1507" max="1507" width="11.7109375" style="9" customWidth="1"/>
    <col min="1508" max="1508" width="10.7109375" customWidth="1"/>
    <col min="1509" max="1509" width="11.7109375" style="9" customWidth="1"/>
    <col min="1510" max="1510" width="10.7109375" customWidth="1"/>
    <col min="1511" max="1511" width="11.7109375" style="9" customWidth="1"/>
    <col min="1512" max="1512" width="10.7109375" customWidth="1"/>
    <col min="1513" max="1513" width="11.7109375" style="9" customWidth="1"/>
    <col min="1514" max="1514" width="10.7109375" customWidth="1"/>
    <col min="1515" max="1515" width="11.7109375" style="9" customWidth="1"/>
    <col min="1516" max="1516" width="10.7109375" customWidth="1"/>
    <col min="1517" max="1517" width="11.7109375" style="9" customWidth="1"/>
    <col min="1518" max="1518" width="10.7109375" customWidth="1"/>
    <col min="1519" max="1519" width="11.7109375" style="9" customWidth="1"/>
    <col min="1520" max="1520" width="10.7109375" customWidth="1"/>
    <col min="1521" max="1521" width="11.7109375" style="9" customWidth="1"/>
    <col min="1522" max="1522" width="10.7109375" customWidth="1"/>
    <col min="1523" max="1523" width="11.7109375" style="9" customWidth="1"/>
    <col min="1524" max="1524" width="10.7109375" customWidth="1"/>
    <col min="1525" max="1525" width="11.7109375" style="9" customWidth="1"/>
    <col min="1526" max="1526" width="10.7109375" customWidth="1"/>
    <col min="1527" max="1527" width="11.7109375" style="9" customWidth="1"/>
    <col min="1528" max="1528" width="10.7109375" customWidth="1"/>
    <col min="1529" max="1529" width="11.7109375" style="9" customWidth="1"/>
    <col min="1530" max="1530" width="10.7109375" customWidth="1"/>
    <col min="1531" max="1531" width="11.7109375" style="9" customWidth="1"/>
    <col min="1532" max="1532" width="10.7109375" customWidth="1"/>
    <col min="1533" max="1533" width="11.7109375" style="9" customWidth="1"/>
    <col min="1534" max="1534" width="10.7109375" customWidth="1"/>
    <col min="1535" max="1535" width="11.7109375" style="9" customWidth="1"/>
    <col min="1536" max="1536" width="10.7109375" customWidth="1"/>
    <col min="1537" max="1537" width="11.7109375" style="9" customWidth="1"/>
    <col min="1538" max="1538" width="10.7109375" customWidth="1"/>
    <col min="1539" max="1539" width="11.7109375" style="9" customWidth="1"/>
    <col min="1540" max="1540" width="10.7109375" customWidth="1"/>
    <col min="1541" max="1541" width="11.7109375" style="9" customWidth="1"/>
    <col min="1542" max="1542" width="10.7109375" customWidth="1"/>
    <col min="1543" max="1543" width="11.7109375" style="9" customWidth="1"/>
    <col min="1544" max="1544" width="10.7109375" customWidth="1"/>
    <col min="1545" max="1545" width="11.7109375" style="9" customWidth="1"/>
    <col min="1546" max="1546" width="10.7109375" customWidth="1"/>
    <col min="1547" max="1547" width="11.7109375" style="9" customWidth="1"/>
    <col min="1548" max="1548" width="10.7109375" customWidth="1"/>
    <col min="1549" max="1549" width="11.7109375" style="9" customWidth="1"/>
    <col min="1550" max="1550" width="10.7109375" customWidth="1"/>
    <col min="1551" max="1551" width="11.7109375" style="9" customWidth="1"/>
    <col min="1552" max="1552" width="10.7109375" customWidth="1"/>
    <col min="1553" max="1553" width="11.7109375" style="9" customWidth="1"/>
    <col min="1554" max="1554" width="10.7109375" customWidth="1"/>
    <col min="1555" max="1555" width="11.7109375" style="9" customWidth="1"/>
    <col min="1556" max="1556" width="10.7109375" customWidth="1"/>
    <col min="1557" max="1557" width="11.7109375" style="9" customWidth="1"/>
    <col min="1558" max="1558" width="10.7109375" customWidth="1"/>
    <col min="1559" max="1559" width="11.7109375" style="9" customWidth="1"/>
    <col min="1560" max="1560" width="10.7109375" customWidth="1"/>
    <col min="1561" max="1561" width="11.7109375" style="9" customWidth="1"/>
    <col min="1562" max="1562" width="10.7109375" customWidth="1"/>
    <col min="1563" max="1563" width="11.7109375" style="9" customWidth="1"/>
    <col min="1564" max="1564" width="10.7109375" customWidth="1"/>
    <col min="1565" max="1565" width="11.7109375" style="9" customWidth="1"/>
    <col min="1566" max="1566" width="10.7109375" customWidth="1"/>
    <col min="1567" max="1567" width="11.7109375" style="9" customWidth="1"/>
    <col min="1568" max="1568" width="10.7109375" customWidth="1"/>
    <col min="1569" max="1569" width="11.7109375" style="9" customWidth="1"/>
    <col min="1570" max="1570" width="10.7109375" customWidth="1"/>
    <col min="1571" max="1571" width="11.7109375" style="9" customWidth="1"/>
    <col min="1572" max="1572" width="10.7109375" customWidth="1"/>
    <col min="1573" max="1573" width="11.7109375" style="9" customWidth="1"/>
    <col min="1574" max="1574" width="10.7109375" customWidth="1"/>
    <col min="1575" max="1575" width="11.7109375" style="9" customWidth="1"/>
    <col min="1576" max="1576" width="10.7109375" customWidth="1"/>
    <col min="1577" max="1577" width="11.7109375" style="9" customWidth="1"/>
    <col min="1578" max="1578" width="10.7109375" customWidth="1"/>
    <col min="1579" max="1579" width="11.7109375" style="9" customWidth="1"/>
    <col min="1580" max="1580" width="10.7109375" customWidth="1"/>
    <col min="1581" max="1581" width="11.7109375" style="9" customWidth="1"/>
    <col min="1582" max="1582" width="10.7109375" customWidth="1"/>
    <col min="1583" max="1583" width="11.7109375" style="9" customWidth="1"/>
    <col min="1584" max="1584" width="10.7109375" customWidth="1"/>
    <col min="1585" max="1585" width="11.7109375" style="9" customWidth="1"/>
    <col min="1586" max="1586" width="10.7109375" customWidth="1"/>
    <col min="1587" max="1587" width="11.7109375" style="9" customWidth="1"/>
    <col min="1588" max="1588" width="10.7109375" customWidth="1"/>
    <col min="1589" max="1589" width="11.7109375" style="9" customWidth="1"/>
    <col min="1590" max="1590" width="10.7109375" customWidth="1"/>
    <col min="1591" max="1591" width="11.7109375" style="9" customWidth="1"/>
    <col min="1592" max="1592" width="10.7109375" customWidth="1"/>
    <col min="1593" max="1593" width="11.7109375" style="9" customWidth="1"/>
    <col min="1594" max="1594" width="10.7109375" customWidth="1"/>
    <col min="1595" max="1595" width="11.7109375" style="9" customWidth="1"/>
    <col min="1596" max="1596" width="10.7109375" customWidth="1"/>
    <col min="1597" max="1597" width="11.7109375" style="9" customWidth="1"/>
    <col min="1598" max="1598" width="10.7109375" customWidth="1"/>
    <col min="1599" max="1599" width="11.7109375" style="9" customWidth="1"/>
    <col min="1600" max="1600" width="10.7109375" customWidth="1"/>
    <col min="1601" max="1601" width="11.7109375" style="9" customWidth="1"/>
    <col min="1602" max="1602" width="10.7109375" customWidth="1"/>
    <col min="1603" max="1603" width="11.7109375" style="9" customWidth="1"/>
    <col min="1604" max="1604" width="10.7109375" customWidth="1"/>
    <col min="1605" max="1605" width="11.7109375" style="9" customWidth="1"/>
    <col min="1606" max="1606" width="10.7109375" customWidth="1"/>
    <col min="1607" max="1607" width="11.7109375" style="9" customWidth="1"/>
    <col min="1608" max="1608" width="10.7109375" customWidth="1"/>
    <col min="1609" max="1609" width="11.7109375" style="9" customWidth="1"/>
    <col min="1610" max="1610" width="10.7109375" customWidth="1"/>
    <col min="1611" max="1611" width="11.7109375" style="9" customWidth="1"/>
    <col min="1612" max="1612" width="10.7109375" customWidth="1"/>
    <col min="1613" max="1613" width="11.7109375" style="9" customWidth="1"/>
    <col min="1614" max="1614" width="10.7109375" customWidth="1"/>
    <col min="1615" max="1615" width="11.7109375" style="9" customWidth="1"/>
    <col min="1616" max="1616" width="10.7109375" customWidth="1"/>
    <col min="1617" max="1617" width="11.7109375" style="9" customWidth="1"/>
    <col min="1618" max="1618" width="10.7109375" customWidth="1"/>
    <col min="1619" max="1619" width="11.7109375" style="9" customWidth="1"/>
    <col min="1620" max="1620" width="10.7109375" customWidth="1"/>
    <col min="1621" max="1621" width="11.7109375" style="9" customWidth="1"/>
    <col min="1622" max="1622" width="10.7109375" customWidth="1"/>
    <col min="1623" max="1623" width="11.7109375" style="9" customWidth="1"/>
    <col min="1624" max="1624" width="10.7109375" customWidth="1"/>
    <col min="1625" max="1625" width="11.7109375" style="9" customWidth="1"/>
    <col min="1626" max="1626" width="10.7109375" customWidth="1"/>
    <col min="1627" max="1627" width="11.7109375" style="9" customWidth="1"/>
    <col min="1628" max="1628" width="10.7109375" customWidth="1"/>
    <col min="1629" max="1629" width="11.7109375" style="9" customWidth="1"/>
    <col min="1630" max="1630" width="10.7109375" customWidth="1"/>
    <col min="1631" max="1631" width="11.7109375" style="9" customWidth="1"/>
    <col min="1632" max="1632" width="10.7109375" customWidth="1"/>
    <col min="1633" max="1633" width="11.7109375" style="9" customWidth="1"/>
    <col min="1634" max="1634" width="10.7109375" customWidth="1"/>
    <col min="1635" max="1635" width="11.7109375" style="9" customWidth="1"/>
    <col min="1636" max="1636" width="10.7109375" customWidth="1"/>
    <col min="1637" max="1637" width="11.7109375" style="9" customWidth="1"/>
    <col min="1638" max="1638" width="10.7109375" customWidth="1"/>
    <col min="1639" max="1639" width="11.7109375" style="9" customWidth="1"/>
    <col min="1640" max="1640" width="10.7109375" customWidth="1"/>
    <col min="1641" max="1641" width="11.7109375" style="9" customWidth="1"/>
    <col min="1642" max="1642" width="10.7109375" customWidth="1"/>
    <col min="1643" max="1643" width="11.7109375" style="9" customWidth="1"/>
    <col min="1644" max="1644" width="10.7109375" customWidth="1"/>
    <col min="1645" max="1645" width="11.7109375" style="9" customWidth="1"/>
    <col min="1646" max="1646" width="10.7109375" customWidth="1"/>
    <col min="1647" max="1647" width="11.7109375" style="9" customWidth="1"/>
    <col min="1648" max="1648" width="10.7109375" customWidth="1"/>
    <col min="1649" max="1649" width="11.7109375" style="9" customWidth="1"/>
    <col min="1650" max="1650" width="10.7109375" customWidth="1"/>
    <col min="1651" max="1651" width="11.7109375" style="9" customWidth="1"/>
    <col min="1652" max="1652" width="10.7109375" customWidth="1"/>
    <col min="1653" max="1653" width="11.7109375" style="9" customWidth="1"/>
    <col min="1654" max="1654" width="10.7109375" customWidth="1"/>
    <col min="1655" max="1655" width="11.7109375" style="9" customWidth="1"/>
    <col min="1656" max="1656" width="10.7109375" customWidth="1"/>
    <col min="1657" max="1657" width="11.7109375" style="9" customWidth="1"/>
    <col min="1658" max="1658" width="10.7109375" customWidth="1"/>
    <col min="1659" max="1659" width="11.7109375" style="9" customWidth="1"/>
    <col min="1660" max="1660" width="10.7109375" customWidth="1"/>
    <col min="1661" max="1661" width="11.7109375" style="9" customWidth="1"/>
    <col min="1662" max="1662" width="10.7109375" customWidth="1"/>
    <col min="1663" max="1663" width="11.7109375" style="9" customWidth="1"/>
    <col min="1664" max="1664" width="10.7109375" customWidth="1"/>
    <col min="1665" max="1665" width="11.7109375" style="9" customWidth="1"/>
    <col min="1666" max="1666" width="10.7109375" customWidth="1"/>
    <col min="1667" max="1667" width="11.7109375" style="9" customWidth="1"/>
    <col min="1668" max="1668" width="10.7109375" customWidth="1"/>
    <col min="1669" max="1669" width="11.7109375" style="9" customWidth="1"/>
    <col min="1670" max="1670" width="10.7109375" customWidth="1"/>
    <col min="1671" max="1671" width="11.7109375" style="9" customWidth="1"/>
    <col min="1672" max="1672" width="10.7109375" customWidth="1"/>
    <col min="1673" max="1673" width="11.7109375" style="9" customWidth="1"/>
    <col min="1674" max="1674" width="10.7109375" customWidth="1"/>
    <col min="1675" max="1675" width="11.7109375" style="9" customWidth="1"/>
    <col min="1676" max="1676" width="10.7109375" customWidth="1"/>
    <col min="1677" max="1677" width="11.7109375" style="9" customWidth="1"/>
    <col min="1678" max="1678" width="10.7109375" customWidth="1"/>
    <col min="1679" max="1679" width="11.7109375" style="9" customWidth="1"/>
    <col min="1680" max="1680" width="10.7109375" customWidth="1"/>
    <col min="1681" max="1681" width="11.7109375" style="9" customWidth="1"/>
    <col min="1682" max="1682" width="10.7109375" customWidth="1"/>
    <col min="1683" max="1683" width="11.7109375" style="9" customWidth="1"/>
    <col min="1684" max="1684" width="10.7109375" customWidth="1"/>
    <col min="1685" max="1685" width="11.7109375" style="9" customWidth="1"/>
    <col min="1686" max="1686" width="10.7109375" customWidth="1"/>
    <col min="1687" max="1687" width="11.7109375" style="9" customWidth="1"/>
    <col min="1688" max="1688" width="10.7109375" customWidth="1"/>
    <col min="1689" max="1689" width="11.7109375" style="9" customWidth="1"/>
    <col min="1690" max="1690" width="10.7109375" customWidth="1"/>
    <col min="1691" max="1691" width="11.7109375" style="9" customWidth="1"/>
    <col min="1692" max="1692" width="10.7109375" customWidth="1"/>
    <col min="1693" max="1693" width="11.7109375" style="9" customWidth="1"/>
    <col min="1694" max="1694" width="10.7109375" customWidth="1"/>
    <col min="1695" max="1695" width="11.7109375" style="9" customWidth="1"/>
    <col min="1696" max="1696" width="10.7109375" customWidth="1"/>
    <col min="1697" max="1697" width="11.7109375" style="9" customWidth="1"/>
    <col min="1698" max="1698" width="10.7109375" customWidth="1"/>
    <col min="1699" max="1699" width="11.7109375" style="9" customWidth="1"/>
    <col min="1700" max="1700" width="10.7109375" customWidth="1"/>
    <col min="1701" max="1701" width="11.7109375" style="9" customWidth="1"/>
    <col min="1702" max="1702" width="10.7109375" customWidth="1"/>
    <col min="1703" max="1703" width="11.7109375" style="9" customWidth="1"/>
    <col min="1704" max="1704" width="10.7109375" customWidth="1"/>
    <col min="1705" max="1705" width="11.7109375" style="9" customWidth="1"/>
    <col min="1706" max="1706" width="10.7109375" customWidth="1"/>
    <col min="1707" max="1707" width="11.7109375" style="9" customWidth="1"/>
    <col min="1708" max="1708" width="10.7109375" customWidth="1"/>
    <col min="1709" max="1709" width="11.7109375" style="9" customWidth="1"/>
    <col min="1710" max="1710" width="10.7109375" customWidth="1"/>
    <col min="1711" max="1711" width="11.7109375" style="9" customWidth="1"/>
    <col min="1712" max="1712" width="10.7109375" customWidth="1"/>
    <col min="1713" max="1713" width="11.7109375" style="9" customWidth="1"/>
    <col min="1714" max="1714" width="10.7109375" customWidth="1"/>
    <col min="1715" max="1715" width="11.7109375" style="9" customWidth="1"/>
    <col min="1716" max="1716" width="10.7109375" customWidth="1"/>
    <col min="1717" max="1717" width="11.7109375" style="9" customWidth="1"/>
    <col min="1718" max="1718" width="10.7109375" customWidth="1"/>
    <col min="1719" max="1719" width="11.7109375" style="9" customWidth="1"/>
    <col min="1720" max="1720" width="10.7109375" customWidth="1"/>
    <col min="1721" max="1721" width="11.7109375" style="9" customWidth="1"/>
    <col min="1722" max="1722" width="10.7109375" customWidth="1"/>
    <col min="1723" max="1723" width="11.7109375" style="9" customWidth="1"/>
    <col min="1724" max="1724" width="10.7109375" customWidth="1"/>
    <col min="1725" max="1725" width="11.7109375" style="9" customWidth="1"/>
    <col min="1726" max="1726" width="10.7109375" customWidth="1"/>
    <col min="1727" max="1727" width="11.7109375" style="9" customWidth="1"/>
    <col min="1728" max="1728" width="10.7109375" customWidth="1"/>
    <col min="1729" max="1729" width="11.7109375" style="9" customWidth="1"/>
    <col min="1730" max="1730" width="10.7109375" customWidth="1"/>
    <col min="1731" max="1731" width="11.7109375" style="9" customWidth="1"/>
    <col min="1732" max="1732" width="10.7109375" customWidth="1"/>
    <col min="1733" max="1733" width="11.7109375" style="9" customWidth="1"/>
    <col min="1734" max="1734" width="10.7109375" customWidth="1"/>
    <col min="1735" max="1735" width="11.7109375" style="9" customWidth="1"/>
    <col min="1736" max="1736" width="10.7109375" customWidth="1"/>
    <col min="1737" max="1737" width="11.7109375" style="9" customWidth="1"/>
    <col min="1738" max="1738" width="10.7109375" customWidth="1"/>
    <col min="1739" max="1739" width="11.7109375" style="9" customWidth="1"/>
    <col min="1740" max="1740" width="10.7109375" customWidth="1"/>
    <col min="1741" max="1741" width="11.7109375" style="9" customWidth="1"/>
    <col min="1742" max="1742" width="10.7109375" customWidth="1"/>
    <col min="1743" max="1743" width="11.7109375" style="9" customWidth="1"/>
    <col min="1744" max="1744" width="10.7109375" customWidth="1"/>
    <col min="1745" max="1745" width="11.7109375" style="9" customWidth="1"/>
    <col min="1746" max="1746" width="10.7109375" customWidth="1"/>
    <col min="1747" max="1747" width="11.7109375" style="9" customWidth="1"/>
    <col min="1748" max="1748" width="10.7109375" customWidth="1"/>
    <col min="1749" max="1749" width="11.7109375" style="9" customWidth="1"/>
    <col min="1750" max="1750" width="10.7109375" customWidth="1"/>
    <col min="1751" max="1751" width="11.7109375" style="9" customWidth="1"/>
    <col min="1752" max="1752" width="10.7109375" customWidth="1"/>
    <col min="1753" max="1753" width="11.7109375" style="9" customWidth="1"/>
    <col min="1754" max="1754" width="10.7109375" customWidth="1"/>
    <col min="1755" max="1755" width="11.7109375" style="9" customWidth="1"/>
    <col min="1756" max="1756" width="10.7109375" customWidth="1"/>
    <col min="1757" max="1757" width="11.7109375" style="9" customWidth="1"/>
    <col min="1758" max="1758" width="10.7109375" customWidth="1"/>
    <col min="1759" max="1759" width="11.7109375" style="9" customWidth="1"/>
    <col min="1760" max="1760" width="10.7109375" customWidth="1"/>
    <col min="1761" max="1761" width="11.7109375" style="9" customWidth="1"/>
    <col min="1762" max="1762" width="10.7109375" customWidth="1"/>
    <col min="1763" max="1763" width="11.7109375" style="9" customWidth="1"/>
    <col min="1764" max="1764" width="10.7109375" customWidth="1"/>
    <col min="1765" max="1765" width="11.7109375" style="9" customWidth="1"/>
    <col min="1766" max="1766" width="10.7109375" customWidth="1"/>
    <col min="1767" max="1767" width="11.7109375" style="9" customWidth="1"/>
    <col min="1768" max="1768" width="10.7109375" customWidth="1"/>
    <col min="1769" max="1769" width="11.7109375" style="9" customWidth="1"/>
    <col min="1770" max="1770" width="10.7109375" customWidth="1"/>
    <col min="1771" max="1771" width="11.7109375" style="9" customWidth="1"/>
    <col min="1772" max="1772" width="10.7109375" customWidth="1"/>
    <col min="1773" max="1773" width="11.7109375" style="9" customWidth="1"/>
    <col min="1774" max="1774" width="10.7109375" customWidth="1"/>
    <col min="1775" max="1775" width="11.7109375" style="9" customWidth="1"/>
    <col min="1776" max="1776" width="10.7109375" customWidth="1"/>
    <col min="1777" max="1777" width="11.7109375" style="9" customWidth="1"/>
    <col min="1778" max="1778" width="10.7109375" customWidth="1"/>
    <col min="1779" max="1779" width="11.7109375" style="9" customWidth="1"/>
    <col min="1780" max="1780" width="10.7109375" customWidth="1"/>
    <col min="1781" max="1781" width="11.7109375" style="9" customWidth="1"/>
    <col min="1782" max="1782" width="10.7109375" customWidth="1"/>
    <col min="1783" max="1783" width="11.7109375" style="9" customWidth="1"/>
    <col min="1784" max="1784" width="10.7109375" customWidth="1"/>
    <col min="1785" max="1785" width="11.7109375" style="9" customWidth="1"/>
    <col min="1786" max="1786" width="10.7109375" customWidth="1"/>
    <col min="1787" max="1787" width="11.7109375" style="9" customWidth="1"/>
    <col min="1788" max="1788" width="10.7109375" customWidth="1"/>
    <col min="1789" max="1789" width="11.7109375" style="9" customWidth="1"/>
    <col min="1790" max="1790" width="10.7109375" customWidth="1"/>
    <col min="1791" max="1791" width="11.7109375" style="9" customWidth="1"/>
    <col min="1792" max="1792" width="10.7109375" customWidth="1"/>
    <col min="1793" max="1793" width="11.7109375" style="9" customWidth="1"/>
    <col min="1794" max="1794" width="10.7109375" customWidth="1"/>
    <col min="1795" max="1795" width="11.7109375" style="9" customWidth="1"/>
    <col min="1796" max="1796" width="10.7109375" customWidth="1"/>
    <col min="1797" max="1797" width="11.7109375" style="9" customWidth="1"/>
    <col min="1798" max="1798" width="10.7109375" customWidth="1"/>
    <col min="1799" max="1799" width="11.7109375" style="9" customWidth="1"/>
    <col min="1800" max="1800" width="10.7109375" customWidth="1"/>
    <col min="1801" max="1801" width="11.7109375" style="9" customWidth="1"/>
    <col min="1802" max="1802" width="10.7109375" customWidth="1"/>
    <col min="1803" max="1803" width="11.7109375" style="9" customWidth="1"/>
    <col min="1804" max="1804" width="10.7109375" customWidth="1"/>
    <col min="1805" max="1805" width="11.7109375" style="9" customWidth="1"/>
    <col min="1806" max="1806" width="10.7109375" customWidth="1"/>
    <col min="1807" max="1807" width="11.7109375" style="9" customWidth="1"/>
    <col min="1808" max="1808" width="10.7109375" customWidth="1"/>
    <col min="1809" max="1809" width="11.7109375" style="9" customWidth="1"/>
    <col min="1810" max="1810" width="10.7109375" customWidth="1"/>
    <col min="1811" max="1811" width="11.7109375" style="9" customWidth="1"/>
    <col min="1812" max="1812" width="10.7109375" customWidth="1"/>
    <col min="1813" max="1813" width="11.7109375" style="9" customWidth="1"/>
    <col min="1814" max="1814" width="10.7109375" customWidth="1"/>
    <col min="1815" max="1815" width="11.7109375" style="9" customWidth="1"/>
    <col min="1816" max="1816" width="10.7109375" customWidth="1"/>
    <col min="1817" max="1817" width="11.7109375" style="9" customWidth="1"/>
    <col min="1818" max="1818" width="10.7109375" customWidth="1"/>
    <col min="1819" max="1819" width="11.7109375" style="9" customWidth="1"/>
    <col min="1820" max="1820" width="10.7109375" customWidth="1"/>
    <col min="1821" max="1821" width="11.7109375" style="9" customWidth="1"/>
    <col min="1822" max="1822" width="10.7109375" customWidth="1"/>
    <col min="1823" max="1823" width="11.7109375" style="9" customWidth="1"/>
    <col min="1824" max="1824" width="10.7109375" customWidth="1"/>
    <col min="1825" max="1825" width="11.7109375" style="9" customWidth="1"/>
    <col min="1826" max="1826" width="10.7109375" customWidth="1"/>
    <col min="1827" max="1827" width="11.7109375" style="9" customWidth="1"/>
    <col min="1828" max="1828" width="10.7109375" customWidth="1"/>
    <col min="1829" max="1829" width="11.7109375" style="9" customWidth="1"/>
    <col min="1830" max="1830" width="10.7109375" customWidth="1"/>
    <col min="1831" max="1831" width="11.7109375" style="9" customWidth="1"/>
    <col min="1832" max="1832" width="10.7109375" customWidth="1"/>
    <col min="1833" max="1833" width="11.7109375" style="9" customWidth="1"/>
    <col min="1834" max="1834" width="10.7109375" customWidth="1"/>
    <col min="1835" max="1835" width="11.7109375" style="9" customWidth="1"/>
    <col min="1836" max="1836" width="10.7109375" customWidth="1"/>
    <col min="1837" max="1837" width="11.7109375" style="9" customWidth="1"/>
    <col min="1838" max="1838" width="10.7109375" customWidth="1"/>
    <col min="1839" max="1839" width="11.7109375" style="9" customWidth="1"/>
    <col min="1840" max="1840" width="10.7109375" customWidth="1"/>
    <col min="1841" max="1841" width="11.7109375" style="9" customWidth="1"/>
    <col min="1842" max="1842" width="10.7109375" customWidth="1"/>
    <col min="1843" max="1843" width="11.7109375" style="9" customWidth="1"/>
    <col min="1844" max="1844" width="10.7109375" customWidth="1"/>
    <col min="1845" max="1845" width="11.7109375" style="9" customWidth="1"/>
    <col min="1846" max="1846" width="10.7109375" customWidth="1"/>
    <col min="1847" max="1847" width="11.7109375" style="9" customWidth="1"/>
    <col min="1848" max="1848" width="10.7109375" customWidth="1"/>
    <col min="1849" max="1849" width="11.7109375" style="9" customWidth="1"/>
    <col min="1850" max="1850" width="10.7109375" customWidth="1"/>
    <col min="1851" max="1851" width="11.7109375" style="9" customWidth="1"/>
    <col min="1852" max="1852" width="10.7109375" customWidth="1"/>
    <col min="1853" max="1853" width="11.7109375" style="9" customWidth="1"/>
    <col min="1854" max="1854" width="10.7109375" customWidth="1"/>
    <col min="1855" max="1855" width="11.7109375" style="9" customWidth="1"/>
    <col min="1856" max="1856" width="10.7109375" customWidth="1"/>
    <col min="1857" max="1857" width="11.7109375" style="9" customWidth="1"/>
    <col min="1858" max="1858" width="10.7109375" customWidth="1"/>
    <col min="1859" max="1859" width="11.7109375" style="9" customWidth="1"/>
    <col min="1860" max="1860" width="10.7109375" customWidth="1"/>
    <col min="1861" max="1861" width="11.7109375" style="9" customWidth="1"/>
    <col min="1862" max="1862" width="10.7109375" customWidth="1"/>
    <col min="1863" max="1863" width="11.7109375" style="9" customWidth="1"/>
    <col min="1864" max="1864" width="10.7109375" customWidth="1"/>
    <col min="1865" max="1865" width="11.7109375" style="9" customWidth="1"/>
    <col min="1866" max="1866" width="10.7109375" customWidth="1"/>
    <col min="1867" max="1867" width="11.7109375" style="9" customWidth="1"/>
    <col min="1868" max="1868" width="10.7109375" customWidth="1"/>
    <col min="1869" max="1869" width="11.7109375" style="9" customWidth="1"/>
    <col min="1870" max="1870" width="10.7109375" customWidth="1"/>
    <col min="1871" max="1871" width="11.7109375" style="9" customWidth="1"/>
    <col min="1872" max="1872" width="10.7109375" customWidth="1"/>
    <col min="1873" max="1873" width="11.7109375" style="9" customWidth="1"/>
    <col min="1874" max="1874" width="10.7109375" customWidth="1"/>
    <col min="1875" max="1875" width="11.7109375" style="9" customWidth="1"/>
    <col min="1876" max="1876" width="10.7109375" customWidth="1"/>
    <col min="1877" max="1877" width="11.7109375" style="9" customWidth="1"/>
    <col min="1878" max="1878" width="10.7109375" customWidth="1"/>
    <col min="1879" max="1879" width="11.7109375" style="9" customWidth="1"/>
    <col min="1880" max="1880" width="10.7109375" customWidth="1"/>
    <col min="1881" max="1881" width="11.7109375" style="9" customWidth="1"/>
    <col min="1882" max="1882" width="10.7109375" customWidth="1"/>
    <col min="1883" max="1883" width="11.7109375" style="9" customWidth="1"/>
    <col min="1884" max="1884" width="10.7109375" customWidth="1"/>
    <col min="1885" max="1885" width="11.7109375" style="9" customWidth="1"/>
    <col min="1886" max="1886" width="10.7109375" customWidth="1"/>
    <col min="1887" max="1887" width="11.7109375" style="9" customWidth="1"/>
    <col min="1888" max="1888" width="10.7109375" customWidth="1"/>
    <col min="1889" max="1889" width="11.7109375" style="9" customWidth="1"/>
    <col min="1890" max="1890" width="10.7109375" customWidth="1"/>
    <col min="1891" max="1891" width="11.7109375" style="9" customWidth="1"/>
    <col min="1892" max="1892" width="10.7109375" customWidth="1"/>
    <col min="1893" max="1893" width="11.7109375" style="9" customWidth="1"/>
    <col min="1894" max="1894" width="10.7109375" customWidth="1"/>
    <col min="1895" max="1895" width="11.7109375" style="9" customWidth="1"/>
    <col min="1896" max="1896" width="10.7109375" customWidth="1"/>
    <col min="1897" max="1897" width="11.7109375" style="9" customWidth="1"/>
    <col min="1898" max="1898" width="10.7109375" customWidth="1"/>
    <col min="1899" max="1899" width="11.7109375" style="9" customWidth="1"/>
    <col min="1900" max="1900" width="10.7109375" customWidth="1"/>
    <col min="1901" max="1901" width="11.7109375" style="9" customWidth="1"/>
    <col min="1902" max="1902" width="10.7109375" customWidth="1"/>
    <col min="1903" max="1903" width="11.7109375" style="9" customWidth="1"/>
    <col min="1904" max="1904" width="10.7109375" customWidth="1"/>
    <col min="1905" max="1905" width="11.7109375" style="9" customWidth="1"/>
    <col min="1906" max="1906" width="10.7109375" customWidth="1"/>
    <col min="1907" max="1907" width="11.7109375" style="9" customWidth="1"/>
    <col min="1908" max="1908" width="10.7109375" customWidth="1"/>
    <col min="1909" max="1909" width="11.7109375" style="9" customWidth="1"/>
    <col min="1910" max="1910" width="10.7109375" customWidth="1"/>
    <col min="1911" max="1911" width="11.7109375" style="9" customWidth="1"/>
    <col min="1912" max="1912" width="10.7109375" customWidth="1"/>
    <col min="1913" max="1913" width="11.7109375" style="9" customWidth="1"/>
    <col min="1914" max="1914" width="10.7109375" customWidth="1"/>
    <col min="1915" max="1915" width="11.7109375" style="9" customWidth="1"/>
    <col min="1916" max="1916" width="10.7109375" customWidth="1"/>
    <col min="1917" max="1917" width="11.7109375" style="9" customWidth="1"/>
    <col min="1918" max="1918" width="10.7109375" customWidth="1"/>
    <col min="1919" max="1919" width="11.7109375" style="9" customWidth="1"/>
    <col min="1920" max="1920" width="10.7109375" customWidth="1"/>
    <col min="1921" max="1921" width="11.7109375" style="9" customWidth="1"/>
    <col min="1922" max="1922" width="10.7109375" customWidth="1"/>
    <col min="1923" max="1923" width="11.7109375" style="9" customWidth="1"/>
    <col min="1924" max="1924" width="10.7109375" customWidth="1"/>
    <col min="1925" max="1925" width="11.7109375" style="9" customWidth="1"/>
    <col min="1926" max="1926" width="10.7109375" customWidth="1"/>
    <col min="1927" max="1927" width="11.7109375" style="9" customWidth="1"/>
    <col min="1928" max="1928" width="10.7109375" customWidth="1"/>
    <col min="1929" max="1929" width="11.7109375" style="9" customWidth="1"/>
    <col min="1930" max="1930" width="10.7109375" customWidth="1"/>
    <col min="1931" max="1931" width="11.7109375" style="9" customWidth="1"/>
    <col min="1932" max="1932" width="10.7109375" customWidth="1"/>
    <col min="1933" max="1933" width="11.7109375" style="9" customWidth="1"/>
    <col min="1934" max="1934" width="10.7109375" customWidth="1"/>
    <col min="1935" max="1935" width="11.7109375" style="9" customWidth="1"/>
    <col min="1936" max="1936" width="10.7109375" customWidth="1"/>
    <col min="1937" max="1937" width="11.7109375" style="9" customWidth="1"/>
    <col min="1938" max="1938" width="10.7109375" customWidth="1"/>
    <col min="1939" max="1939" width="11.7109375" style="9" customWidth="1"/>
    <col min="1940" max="1940" width="10.7109375" customWidth="1"/>
    <col min="1941" max="1941" width="11.7109375" style="9" customWidth="1"/>
    <col min="1942" max="1942" width="10.7109375" customWidth="1"/>
    <col min="1943" max="1943" width="11.7109375" style="9" customWidth="1"/>
    <col min="1944" max="1944" width="10.7109375" customWidth="1"/>
    <col min="1945" max="1945" width="11.7109375" style="9" customWidth="1"/>
    <col min="1946" max="1946" width="10.7109375" customWidth="1"/>
    <col min="1947" max="1947" width="11.7109375" style="9" customWidth="1"/>
    <col min="1948" max="1948" width="10.7109375" customWidth="1"/>
    <col min="1949" max="1949" width="11.7109375" style="9" customWidth="1"/>
    <col min="1950" max="1950" width="10.7109375" customWidth="1"/>
    <col min="1951" max="1951" width="11.7109375" style="9" customWidth="1"/>
    <col min="1952" max="1952" width="10.7109375" customWidth="1"/>
    <col min="1953" max="1953" width="11.7109375" style="9" customWidth="1"/>
    <col min="1954" max="1954" width="10.7109375" customWidth="1"/>
    <col min="1955" max="1955" width="11.7109375" style="9" customWidth="1"/>
    <col min="1956" max="1956" width="10.7109375" customWidth="1"/>
    <col min="1957" max="1957" width="11.7109375" style="9" customWidth="1"/>
    <col min="1958" max="1958" width="10.7109375" customWidth="1"/>
    <col min="1959" max="1959" width="11.7109375" style="9" customWidth="1"/>
    <col min="1960" max="1960" width="10.7109375" customWidth="1"/>
    <col min="1961" max="1961" width="11.7109375" style="9" customWidth="1"/>
    <col min="1962" max="1962" width="10.7109375" customWidth="1"/>
    <col min="1963" max="1963" width="11.7109375" style="9" customWidth="1"/>
    <col min="1964" max="1964" width="10.7109375" customWidth="1"/>
    <col min="1965" max="1965" width="11.7109375" style="9" customWidth="1"/>
    <col min="1966" max="1966" width="10.7109375" customWidth="1"/>
    <col min="1967" max="1967" width="11.7109375" style="9" customWidth="1"/>
    <col min="1968" max="1968" width="10.7109375" customWidth="1"/>
    <col min="1969" max="1969" width="11.7109375" style="9" customWidth="1"/>
    <col min="1970" max="1970" width="10.7109375" customWidth="1"/>
    <col min="1971" max="1971" width="11.7109375" style="9" customWidth="1"/>
    <col min="1972" max="1972" width="10.7109375" customWidth="1"/>
    <col min="1973" max="1973" width="11.7109375" style="9" customWidth="1"/>
    <col min="1974" max="1974" width="10.7109375" customWidth="1"/>
    <col min="1975" max="1975" width="11.7109375" style="9" customWidth="1"/>
    <col min="1976" max="1976" width="10.7109375" customWidth="1"/>
    <col min="1977" max="1977" width="11.7109375" style="9" customWidth="1"/>
    <col min="1978" max="1978" width="10.7109375" customWidth="1"/>
    <col min="1979" max="1979" width="11.7109375" style="9" customWidth="1"/>
    <col min="1980" max="1980" width="10.7109375" customWidth="1"/>
    <col min="1981" max="1981" width="11.7109375" style="9" customWidth="1"/>
    <col min="1982" max="1982" width="10.7109375" customWidth="1"/>
    <col min="1983" max="1983" width="11.7109375" style="9" customWidth="1"/>
    <col min="1984" max="1984" width="10.7109375" customWidth="1"/>
    <col min="1985" max="1985" width="11.7109375" style="9" customWidth="1"/>
    <col min="1986" max="1986" width="10.7109375" customWidth="1"/>
    <col min="1987" max="1987" width="11.7109375" style="9" customWidth="1"/>
    <col min="1988" max="1988" width="10.7109375" customWidth="1"/>
    <col min="1989" max="1989" width="11.7109375" style="9" customWidth="1"/>
    <col min="1990" max="1990" width="10.7109375" customWidth="1"/>
    <col min="1991" max="1991" width="11.7109375" style="9" customWidth="1"/>
    <col min="1992" max="1992" width="10.7109375" customWidth="1"/>
    <col min="1993" max="1993" width="11.7109375" style="9" customWidth="1"/>
    <col min="1994" max="1994" width="10.7109375" customWidth="1"/>
    <col min="1995" max="1995" width="11.7109375" style="9" customWidth="1"/>
    <col min="1996" max="1996" width="10.7109375" customWidth="1"/>
    <col min="1997" max="1997" width="11.7109375" style="9" customWidth="1"/>
    <col min="1998" max="1998" width="10.7109375" customWidth="1"/>
    <col min="1999" max="1999" width="11.7109375" style="9" customWidth="1"/>
    <col min="2000" max="2000" width="10.7109375" customWidth="1"/>
    <col min="2001" max="2001" width="11.7109375" style="9" customWidth="1"/>
    <col min="2002" max="2002" width="10.7109375" customWidth="1"/>
    <col min="2003" max="2003" width="11.7109375" style="9" customWidth="1"/>
    <col min="2004" max="2004" width="10.7109375" customWidth="1"/>
    <col min="2005" max="2005" width="11.7109375" style="9" customWidth="1"/>
    <col min="2006" max="2006" width="10.7109375" customWidth="1"/>
    <col min="2007" max="2007" width="11.7109375" style="9" customWidth="1"/>
    <col min="2008" max="2008" width="10.7109375" customWidth="1"/>
    <col min="2009" max="2009" width="11.7109375" style="9" customWidth="1"/>
    <col min="2010" max="2010" width="10.7109375" customWidth="1"/>
    <col min="2011" max="2011" width="11.7109375" style="9" customWidth="1"/>
    <col min="2012" max="2012" width="10.7109375" customWidth="1"/>
    <col min="2013" max="2013" width="11.7109375" style="9" customWidth="1"/>
    <col min="2014" max="2014" width="10.7109375" customWidth="1"/>
    <col min="2015" max="2015" width="11.7109375" style="9" customWidth="1"/>
    <col min="2016" max="2016" width="10.7109375" customWidth="1"/>
    <col min="2017" max="2017" width="11.7109375" style="9" customWidth="1"/>
    <col min="2018" max="2018" width="10.7109375" customWidth="1"/>
    <col min="2019" max="2019" width="11.7109375" style="9" customWidth="1"/>
    <col min="2020" max="2020" width="10.7109375" customWidth="1"/>
    <col min="2021" max="2021" width="11.7109375" style="9" customWidth="1"/>
    <col min="2022" max="2022" width="10.7109375" customWidth="1"/>
    <col min="2023" max="2023" width="11.7109375" style="9" customWidth="1"/>
    <col min="2024" max="2024" width="10.7109375" customWidth="1"/>
    <col min="2025" max="2025" width="11.7109375" style="9" customWidth="1"/>
    <col min="2026" max="2026" width="10.7109375" customWidth="1"/>
    <col min="2027" max="2027" width="11.7109375" style="9" customWidth="1"/>
    <col min="2028" max="2028" width="10.7109375" customWidth="1"/>
    <col min="2029" max="2029" width="11.7109375" style="9" customWidth="1"/>
    <col min="2030" max="2030" width="10.7109375" customWidth="1"/>
    <col min="2031" max="2031" width="11.7109375" style="9" customWidth="1"/>
    <col min="2032" max="2032" width="10.7109375" customWidth="1"/>
    <col min="2033" max="2033" width="11.7109375" style="9" customWidth="1"/>
    <col min="2034" max="2034" width="10.7109375" customWidth="1"/>
    <col min="2035" max="2035" width="11.7109375" style="9" customWidth="1"/>
    <col min="2036" max="2036" width="10.7109375" customWidth="1"/>
    <col min="2037" max="2037" width="11.7109375" style="9" customWidth="1"/>
    <col min="2038" max="2038" width="10.7109375" customWidth="1"/>
    <col min="2039" max="2039" width="11.7109375" style="9" customWidth="1"/>
    <col min="2040" max="2040" width="10.7109375" customWidth="1"/>
    <col min="2041" max="2041" width="11.7109375" style="9" customWidth="1"/>
    <col min="2042" max="2042" width="10.7109375" customWidth="1"/>
    <col min="2043" max="2043" width="11.7109375" style="9" customWidth="1"/>
    <col min="2044" max="2044" width="10.7109375" customWidth="1"/>
    <col min="2045" max="2045" width="11.7109375" style="9" customWidth="1"/>
    <col min="2046" max="2046" width="10.7109375" customWidth="1"/>
    <col min="2047" max="2047" width="11.7109375" style="9" customWidth="1"/>
    <col min="2048" max="2048" width="10.7109375" customWidth="1"/>
    <col min="2049" max="2049" width="11.7109375" style="9" customWidth="1"/>
    <col min="2050" max="2050" width="10.7109375" customWidth="1"/>
    <col min="2051" max="2051" width="11.7109375" style="9" customWidth="1"/>
    <col min="2052" max="2052" width="10.7109375" customWidth="1"/>
    <col min="2053" max="2053" width="11.7109375" style="9" customWidth="1"/>
    <col min="2054" max="2054" width="10.7109375" customWidth="1"/>
    <col min="2055" max="2055" width="11.7109375" style="9" customWidth="1"/>
    <col min="2056" max="2056" width="10.7109375" customWidth="1"/>
    <col min="2057" max="2057" width="11.7109375" style="9" customWidth="1"/>
    <col min="2058" max="2058" width="10.7109375" customWidth="1"/>
    <col min="2059" max="2059" width="11.7109375" style="9" customWidth="1"/>
    <col min="2060" max="2060" width="10.7109375" customWidth="1"/>
    <col min="2061" max="2061" width="11.7109375" style="9" customWidth="1"/>
    <col min="2062" max="2062" width="10.7109375" customWidth="1"/>
    <col min="2063" max="2063" width="11.7109375" style="9" customWidth="1"/>
    <col min="2064" max="2064" width="10.7109375" customWidth="1"/>
    <col min="2065" max="2065" width="11.7109375" style="9" customWidth="1"/>
    <col min="2066" max="2066" width="10.7109375" customWidth="1"/>
    <col min="2067" max="2067" width="11.7109375" style="9" customWidth="1"/>
    <col min="2068" max="2068" width="10.7109375" customWidth="1"/>
    <col min="2069" max="2069" width="11.7109375" style="9" customWidth="1"/>
    <col min="2070" max="2070" width="10.7109375" customWidth="1"/>
    <col min="2071" max="2071" width="11.7109375" style="9" customWidth="1"/>
    <col min="2072" max="2072" width="10.7109375" customWidth="1"/>
    <col min="2073" max="2073" width="11.7109375" style="9" customWidth="1"/>
    <col min="2074" max="2074" width="10.7109375" customWidth="1"/>
    <col min="2075" max="2075" width="11.7109375" style="9" customWidth="1"/>
    <col min="2076" max="2076" width="10.7109375" customWidth="1"/>
    <col min="2077" max="2077" width="11.7109375" style="9" customWidth="1"/>
    <col min="2078" max="2078" width="10.7109375" customWidth="1"/>
    <col min="2079" max="2079" width="11.7109375" style="9" customWidth="1"/>
    <col min="2080" max="2080" width="10.7109375" customWidth="1"/>
    <col min="2081" max="2081" width="11.7109375" style="9" customWidth="1"/>
    <col min="2082" max="2082" width="10.7109375" customWidth="1"/>
    <col min="2083" max="2083" width="11.7109375" style="9" customWidth="1"/>
    <col min="2084" max="2084" width="10.7109375" customWidth="1"/>
    <col min="2085" max="2085" width="11.7109375" style="9" customWidth="1"/>
    <col min="2086" max="2086" width="10.7109375" customWidth="1"/>
    <col min="2087" max="2087" width="11.7109375" style="9" customWidth="1"/>
    <col min="2088" max="2088" width="10.7109375" customWidth="1"/>
    <col min="2089" max="2089" width="11.7109375" style="9" customWidth="1"/>
    <col min="2090" max="2090" width="10.7109375" customWidth="1"/>
    <col min="2091" max="2091" width="11.7109375" style="9" customWidth="1"/>
    <col min="2092" max="2092" width="10.7109375" customWidth="1"/>
    <col min="2093" max="2093" width="11.7109375" style="9" customWidth="1"/>
    <col min="2094" max="2094" width="10.7109375" customWidth="1"/>
    <col min="2095" max="2095" width="11.7109375" style="9" customWidth="1"/>
    <col min="2096" max="2096" width="10.7109375" customWidth="1"/>
    <col min="2097" max="2097" width="11.7109375" style="9" customWidth="1"/>
    <col min="2098" max="2098" width="10.7109375" customWidth="1"/>
    <col min="2099" max="2099" width="11.7109375" style="9" customWidth="1"/>
    <col min="2100" max="2100" width="10.7109375" customWidth="1"/>
    <col min="2101" max="2101" width="11.7109375" style="9" customWidth="1"/>
    <col min="2102" max="2102" width="10.7109375" customWidth="1"/>
    <col min="2103" max="2103" width="11.7109375" style="9" customWidth="1"/>
    <col min="2104" max="2104" width="10.7109375" customWidth="1"/>
    <col min="2105" max="2105" width="11.7109375" style="9" customWidth="1"/>
    <col min="2106" max="2106" width="10.7109375" customWidth="1"/>
    <col min="2107" max="2107" width="11.7109375" style="9" customWidth="1"/>
    <col min="2108" max="2108" width="10.7109375" customWidth="1"/>
    <col min="2109" max="2109" width="11.7109375" style="9" customWidth="1"/>
    <col min="2110" max="2110" width="10.7109375" customWidth="1"/>
    <col min="2111" max="2111" width="11.7109375" style="9" customWidth="1"/>
    <col min="2112" max="2112" width="10.7109375" customWidth="1"/>
    <col min="2113" max="2113" width="11.7109375" style="9" customWidth="1"/>
    <col min="2114" max="2114" width="10.7109375" customWidth="1"/>
    <col min="2115" max="2115" width="11.7109375" style="9" customWidth="1"/>
    <col min="2116" max="2116" width="10.7109375" customWidth="1"/>
    <col min="2117" max="2117" width="11.7109375" style="9" customWidth="1"/>
    <col min="2118" max="2118" width="10.7109375" customWidth="1"/>
    <col min="2119" max="2119" width="11.7109375" style="9" customWidth="1"/>
    <col min="2120" max="2120" width="10.7109375" customWidth="1"/>
    <col min="2121" max="2121" width="11.7109375" style="9" customWidth="1"/>
    <col min="2122" max="2122" width="10.7109375" customWidth="1"/>
    <col min="2123" max="2123" width="11.7109375" style="9" customWidth="1"/>
    <col min="2124" max="2124" width="10.7109375" customWidth="1"/>
    <col min="2125" max="2125" width="11.7109375" style="9" customWidth="1"/>
    <col min="2126" max="2126" width="10.7109375" customWidth="1"/>
    <col min="2127" max="2127" width="11.7109375" style="9" customWidth="1"/>
    <col min="2128" max="2128" width="10.7109375" customWidth="1"/>
    <col min="2129" max="2129" width="11.7109375" style="9" customWidth="1"/>
    <col min="2130" max="2130" width="10.7109375" customWidth="1"/>
    <col min="2131" max="2131" width="11.7109375" style="9" customWidth="1"/>
    <col min="2132" max="2132" width="10.7109375" customWidth="1"/>
    <col min="2133" max="2133" width="11.7109375" style="9" customWidth="1"/>
    <col min="2134" max="2134" width="10.7109375" customWidth="1"/>
    <col min="2135" max="2135" width="11.7109375" style="9" customWidth="1"/>
    <col min="2136" max="2136" width="10.7109375" customWidth="1"/>
    <col min="2137" max="2137" width="11.7109375" style="9" customWidth="1"/>
    <col min="2138" max="2138" width="10.7109375" customWidth="1"/>
    <col min="2139" max="2139" width="11.7109375" style="9" customWidth="1"/>
    <col min="2140" max="2140" width="10.7109375" customWidth="1"/>
    <col min="2141" max="2141" width="11.7109375" style="9" customWidth="1"/>
    <col min="2142" max="2142" width="10.7109375" customWidth="1"/>
    <col min="2143" max="2143" width="11.7109375" style="9" customWidth="1"/>
    <col min="2144" max="2144" width="10.7109375" customWidth="1"/>
    <col min="2145" max="2145" width="11.7109375" style="9" customWidth="1"/>
    <col min="2146" max="2146" width="10.7109375" customWidth="1"/>
    <col min="2147" max="2147" width="11.7109375" style="9" customWidth="1"/>
    <col min="2148" max="2148" width="10.7109375" customWidth="1"/>
    <col min="2149" max="2149" width="11.7109375" style="9" customWidth="1"/>
    <col min="2150" max="2150" width="10.7109375" customWidth="1"/>
    <col min="2151" max="2151" width="11.7109375" style="9" customWidth="1"/>
    <col min="2152" max="2152" width="10.7109375" customWidth="1"/>
    <col min="2153" max="2153" width="11.7109375" style="9" customWidth="1"/>
    <col min="2154" max="2154" width="10.7109375" customWidth="1"/>
    <col min="2155" max="2155" width="11.7109375" style="9" customWidth="1"/>
    <col min="2156" max="2156" width="10.7109375" customWidth="1"/>
    <col min="2157" max="2157" width="11.7109375" style="9" customWidth="1"/>
    <col min="2158" max="2158" width="10.7109375" customWidth="1"/>
    <col min="2159" max="2159" width="11.7109375" style="9" customWidth="1"/>
    <col min="2160" max="2160" width="10.7109375" customWidth="1"/>
    <col min="2161" max="2161" width="11.7109375" style="9" customWidth="1"/>
    <col min="2162" max="2162" width="10.7109375" customWidth="1"/>
    <col min="2163" max="2163" width="11.7109375" style="9" customWidth="1"/>
    <col min="2164" max="2164" width="10.7109375" customWidth="1"/>
    <col min="2165" max="2165" width="11.7109375" style="9" customWidth="1"/>
    <col min="2166" max="2166" width="10.7109375" customWidth="1"/>
    <col min="2167" max="2167" width="11.7109375" style="9" customWidth="1"/>
    <col min="2168" max="2168" width="10.7109375" customWidth="1"/>
    <col min="2169" max="2169" width="11.7109375" style="9" customWidth="1"/>
    <col min="2170" max="2170" width="10.7109375" customWidth="1"/>
    <col min="2171" max="2171" width="11.7109375" style="9" customWidth="1"/>
    <col min="2172" max="2172" width="10.7109375" customWidth="1"/>
    <col min="2173" max="2173" width="11.7109375" style="9" customWidth="1"/>
    <col min="2174" max="2174" width="10.7109375" customWidth="1"/>
    <col min="2175" max="2175" width="11.7109375" style="9" customWidth="1"/>
    <col min="2176" max="2176" width="10.7109375" customWidth="1"/>
    <col min="2177" max="2177" width="11.7109375" style="9" customWidth="1"/>
    <col min="2178" max="2178" width="10.7109375" customWidth="1"/>
    <col min="2179" max="2179" width="11.7109375" style="9" customWidth="1"/>
    <col min="2180" max="2180" width="10.7109375" customWidth="1"/>
    <col min="2181" max="2181" width="11.7109375" style="9" customWidth="1"/>
    <col min="2182" max="2182" width="10.7109375" customWidth="1"/>
    <col min="2183" max="2183" width="11.7109375" style="9" customWidth="1"/>
    <col min="2184" max="2184" width="10.7109375" customWidth="1"/>
    <col min="2185" max="2185" width="11.7109375" style="9" customWidth="1"/>
    <col min="2186" max="2186" width="10.7109375" customWidth="1"/>
    <col min="2187" max="2187" width="11.7109375" style="9" customWidth="1"/>
    <col min="2188" max="2188" width="10.7109375" customWidth="1"/>
    <col min="2189" max="2189" width="11.7109375" style="9" customWidth="1"/>
    <col min="2190" max="2190" width="10.7109375" customWidth="1"/>
    <col min="2191" max="2191" width="11.7109375" style="9" customWidth="1"/>
    <col min="2192" max="2192" width="10.7109375" customWidth="1"/>
    <col min="2193" max="2193" width="11.7109375" style="9" customWidth="1"/>
    <col min="2194" max="2194" width="10.7109375" customWidth="1"/>
    <col min="2195" max="2195" width="11.7109375" style="9" customWidth="1"/>
    <col min="2196" max="2196" width="10.7109375" customWidth="1"/>
    <col min="2197" max="2197" width="11.7109375" style="9" customWidth="1"/>
    <col min="2198" max="2198" width="10.7109375" customWidth="1"/>
    <col min="2199" max="2199" width="11.7109375" style="9" customWidth="1"/>
    <col min="2200" max="2200" width="10.7109375" customWidth="1"/>
    <col min="2201" max="2201" width="11.7109375" style="9" customWidth="1"/>
    <col min="2202" max="2202" width="10.7109375" customWidth="1"/>
    <col min="2203" max="2203" width="11.7109375" style="9" customWidth="1"/>
    <col min="2204" max="2204" width="10.7109375" customWidth="1"/>
    <col min="2205" max="2205" width="11.7109375" style="9" customWidth="1"/>
    <col min="2206" max="2206" width="10.7109375" customWidth="1"/>
    <col min="2207" max="2207" width="11.7109375" style="9" customWidth="1"/>
    <col min="2208" max="2208" width="10.7109375" customWidth="1"/>
    <col min="2209" max="2209" width="11.7109375" style="9" customWidth="1"/>
    <col min="2210" max="2210" width="10.7109375" customWidth="1"/>
    <col min="2211" max="2211" width="11.7109375" style="9" customWidth="1"/>
    <col min="2212" max="2212" width="10.7109375" customWidth="1"/>
    <col min="2213" max="2213" width="11.7109375" style="9" customWidth="1"/>
    <col min="2214" max="2214" width="10.7109375" customWidth="1"/>
    <col min="2215" max="2215" width="11.7109375" style="9" customWidth="1"/>
    <col min="2216" max="2216" width="10.7109375" customWidth="1"/>
    <col min="2217" max="2217" width="11.7109375" style="9" customWidth="1"/>
    <col min="2218" max="2218" width="10.7109375" customWidth="1"/>
    <col min="2219" max="2219" width="11.7109375" style="9" customWidth="1"/>
    <col min="2220" max="2220" width="10.7109375" customWidth="1"/>
    <col min="2221" max="2221" width="11.7109375" style="9" customWidth="1"/>
    <col min="2222" max="2222" width="10.7109375" customWidth="1"/>
    <col min="2223" max="2223" width="11.7109375" style="9" customWidth="1"/>
    <col min="2224" max="2224" width="10.7109375" customWidth="1"/>
    <col min="2225" max="2225" width="11.7109375" style="9" customWidth="1"/>
    <col min="2226" max="2226" width="10.7109375" customWidth="1"/>
    <col min="2227" max="2227" width="11.7109375" style="9" customWidth="1"/>
    <col min="2228" max="2228" width="10.7109375" customWidth="1"/>
    <col min="2229" max="2229" width="11.7109375" style="9" customWidth="1"/>
    <col min="2230" max="2230" width="10.7109375" customWidth="1"/>
    <col min="2231" max="2231" width="11.7109375" style="9" customWidth="1"/>
    <col min="2232" max="2232" width="10.7109375" customWidth="1"/>
    <col min="2233" max="2233" width="11.7109375" style="9" customWidth="1"/>
    <col min="2234" max="2234" width="10.7109375" customWidth="1"/>
    <col min="2235" max="2235" width="11.7109375" style="9" customWidth="1"/>
    <col min="2236" max="2236" width="10.7109375" customWidth="1"/>
    <col min="2237" max="2237" width="11.7109375" style="9" customWidth="1"/>
    <col min="2238" max="2238" width="10.7109375" customWidth="1"/>
    <col min="2239" max="2239" width="11.7109375" style="9" customWidth="1"/>
    <col min="2240" max="2240" width="10.7109375" customWidth="1"/>
    <col min="2241" max="2241" width="11.7109375" style="9" customWidth="1"/>
    <col min="2242" max="2242" width="10.7109375" customWidth="1"/>
    <col min="2243" max="2243" width="11.7109375" style="9" customWidth="1"/>
    <col min="2244" max="2244" width="10.7109375" customWidth="1"/>
    <col min="2245" max="2245" width="11.7109375" style="9" customWidth="1"/>
    <col min="2246" max="2246" width="10.7109375" customWidth="1"/>
    <col min="2247" max="2247" width="11.7109375" style="9" customWidth="1"/>
    <col min="2248" max="2248" width="10.7109375" customWidth="1"/>
    <col min="2249" max="2249" width="11.7109375" style="9" customWidth="1"/>
    <col min="2250" max="2250" width="10.7109375" customWidth="1"/>
    <col min="2251" max="2251" width="11.7109375" style="9" customWidth="1"/>
    <col min="2252" max="2252" width="10.7109375" customWidth="1"/>
    <col min="2253" max="2253" width="11.7109375" style="9" customWidth="1"/>
    <col min="2254" max="2254" width="10.7109375" customWidth="1"/>
    <col min="2255" max="2255" width="11.7109375" style="9" customWidth="1"/>
    <col min="2256" max="2256" width="10.7109375" customWidth="1"/>
    <col min="2257" max="2257" width="11.7109375" style="9" customWidth="1"/>
    <col min="2258" max="2258" width="10.7109375" customWidth="1"/>
    <col min="2259" max="2259" width="11.7109375" style="9" customWidth="1"/>
    <col min="2260" max="2260" width="10.7109375" customWidth="1"/>
    <col min="2261" max="2261" width="11.7109375" style="9" customWidth="1"/>
    <col min="2262" max="2262" width="10.7109375" customWidth="1"/>
    <col min="2263" max="2263" width="11.7109375" style="9" customWidth="1"/>
    <col min="2264" max="2264" width="10.7109375" customWidth="1"/>
    <col min="2265" max="2265" width="11.7109375" style="9" customWidth="1"/>
    <col min="2266" max="2266" width="10.7109375" customWidth="1"/>
    <col min="2267" max="2267" width="11.7109375" style="9" customWidth="1"/>
    <col min="2268" max="2268" width="10.7109375" customWidth="1"/>
    <col min="2269" max="2269" width="11.7109375" style="9" customWidth="1"/>
    <col min="2270" max="2270" width="10.7109375" customWidth="1"/>
    <col min="2271" max="2271" width="11.7109375" style="9" customWidth="1"/>
    <col min="2272" max="2272" width="10.7109375" customWidth="1"/>
    <col min="2273" max="2273" width="11.7109375" style="9" customWidth="1"/>
    <col min="2274" max="2274" width="10.7109375" customWidth="1"/>
    <col min="2275" max="2275" width="11.7109375" style="9" customWidth="1"/>
    <col min="2276" max="2276" width="10.7109375" customWidth="1"/>
    <col min="2277" max="2277" width="11.7109375" style="9" customWidth="1"/>
    <col min="2278" max="2278" width="10.7109375" customWidth="1"/>
    <col min="2279" max="2279" width="11.7109375" style="9" customWidth="1"/>
    <col min="2280" max="2280" width="10.7109375" customWidth="1"/>
    <col min="2281" max="2281" width="11.7109375" style="9" customWidth="1"/>
    <col min="2282" max="2282" width="10.7109375" customWidth="1"/>
    <col min="2283" max="2283" width="11.7109375" style="9" customWidth="1"/>
    <col min="2284" max="2284" width="10.7109375" customWidth="1"/>
    <col min="2285" max="2285" width="11.7109375" style="9" customWidth="1"/>
    <col min="2286" max="2286" width="10.7109375" customWidth="1"/>
    <col min="2287" max="2287" width="11.7109375" style="9" customWidth="1"/>
    <col min="2288" max="2288" width="10.7109375" customWidth="1"/>
    <col min="2289" max="2289" width="11.7109375" style="9" customWidth="1"/>
    <col min="2290" max="2290" width="10.7109375" customWidth="1"/>
    <col min="2291" max="2291" width="11.7109375" style="9" customWidth="1"/>
    <col min="2292" max="2292" width="10.7109375" customWidth="1"/>
    <col min="2293" max="2293" width="11.7109375" style="9" customWidth="1"/>
    <col min="2294" max="2294" width="10.7109375" customWidth="1"/>
    <col min="2295" max="2295" width="11.7109375" style="9" customWidth="1"/>
    <col min="2296" max="2296" width="10.7109375" customWidth="1"/>
    <col min="2297" max="2297" width="11.7109375" style="9" customWidth="1"/>
    <col min="2298" max="2298" width="10.7109375" customWidth="1"/>
    <col min="2299" max="2299" width="11.7109375" style="9" customWidth="1"/>
    <col min="2300" max="2300" width="10.7109375" customWidth="1"/>
    <col min="2301" max="2301" width="11.7109375" style="9" customWidth="1"/>
    <col min="2302" max="2302" width="10.7109375" customWidth="1"/>
    <col min="2303" max="2303" width="11.7109375" style="9" customWidth="1"/>
    <col min="2304" max="2304" width="10.7109375" customWidth="1"/>
    <col min="2305" max="2305" width="11.7109375" style="9" customWidth="1"/>
    <col min="2306" max="2306" width="10.7109375" customWidth="1"/>
    <col min="2307" max="2307" width="11.7109375" style="9" customWidth="1"/>
    <col min="2308" max="2308" width="10.7109375" customWidth="1"/>
    <col min="2309" max="2309" width="11.7109375" style="9" customWidth="1"/>
    <col min="2310" max="2310" width="10.7109375" customWidth="1"/>
    <col min="2311" max="2311" width="11.7109375" style="9" customWidth="1"/>
    <col min="2312" max="2312" width="10.7109375" customWidth="1"/>
    <col min="2313" max="2313" width="11.7109375" style="9" customWidth="1"/>
    <col min="2314" max="2314" width="10.7109375" customWidth="1"/>
    <col min="2315" max="2315" width="11.7109375" style="9" customWidth="1"/>
    <col min="2316" max="2316" width="10.7109375" customWidth="1"/>
    <col min="2317" max="2317" width="11.7109375" style="9" customWidth="1"/>
    <col min="2318" max="2318" width="10.7109375" customWidth="1"/>
    <col min="2319" max="2319" width="11.7109375" style="9" customWidth="1"/>
    <col min="2320" max="2320" width="10.7109375" customWidth="1"/>
    <col min="2321" max="2321" width="11.7109375" style="9" customWidth="1"/>
    <col min="2322" max="2322" width="10.7109375" customWidth="1"/>
    <col min="2323" max="2323" width="11.7109375" style="9" customWidth="1"/>
    <col min="2324" max="2324" width="10.7109375" customWidth="1"/>
    <col min="2325" max="2325" width="11.7109375" style="9" customWidth="1"/>
    <col min="2326" max="2326" width="10.7109375" customWidth="1"/>
    <col min="2327" max="2327" width="11.7109375" style="9" customWidth="1"/>
    <col min="2328" max="2328" width="10.7109375" customWidth="1"/>
    <col min="2329" max="2329" width="11.7109375" style="9" customWidth="1"/>
    <col min="2330" max="2330" width="10.7109375" customWidth="1"/>
    <col min="2331" max="2331" width="11.7109375" style="9" customWidth="1"/>
    <col min="2332" max="2332" width="10.7109375" customWidth="1"/>
    <col min="2333" max="2333" width="11.7109375" style="9" customWidth="1"/>
    <col min="2334" max="2334" width="10.7109375" customWidth="1"/>
    <col min="2335" max="2335" width="11.7109375" style="9" customWidth="1"/>
    <col min="2336" max="2336" width="10.7109375" customWidth="1"/>
    <col min="2337" max="2337" width="11.7109375" style="9" customWidth="1"/>
    <col min="2338" max="2338" width="10.7109375" customWidth="1"/>
    <col min="2339" max="2339" width="11.7109375" style="9" customWidth="1"/>
    <col min="2340" max="2340" width="10.7109375" customWidth="1"/>
    <col min="2341" max="2341" width="11.7109375" style="9" customWidth="1"/>
    <col min="2342" max="2342" width="10.7109375" customWidth="1"/>
    <col min="2343" max="2343" width="11.7109375" style="9" customWidth="1"/>
    <col min="2344" max="2344" width="10.7109375" customWidth="1"/>
    <col min="2345" max="2345" width="11.7109375" style="9" customWidth="1"/>
    <col min="2346" max="2346" width="10.7109375" customWidth="1"/>
    <col min="2347" max="2347" width="11.7109375" style="9" customWidth="1"/>
    <col min="2348" max="2348" width="10.7109375" customWidth="1"/>
    <col min="2349" max="2349" width="11.7109375" style="9" customWidth="1"/>
    <col min="2350" max="2350" width="10.7109375" customWidth="1"/>
    <col min="2351" max="2351" width="11.7109375" style="9" customWidth="1"/>
    <col min="2352" max="2352" width="10.7109375" customWidth="1"/>
    <col min="2353" max="2353" width="11.7109375" style="9" customWidth="1"/>
    <col min="2354" max="2354" width="10.7109375" customWidth="1"/>
    <col min="2355" max="2355" width="11.7109375" style="9" customWidth="1"/>
    <col min="2356" max="2356" width="10.7109375" customWidth="1"/>
    <col min="2357" max="2357" width="11.7109375" style="9" customWidth="1"/>
    <col min="2358" max="2358" width="10.7109375" customWidth="1"/>
    <col min="2359" max="2359" width="11.7109375" style="9" customWidth="1"/>
    <col min="2360" max="2360" width="10.7109375" customWidth="1"/>
    <col min="2361" max="2361" width="11.7109375" style="9" customWidth="1"/>
    <col min="2362" max="2362" width="10.7109375" customWidth="1"/>
    <col min="2363" max="2363" width="11.7109375" style="9" customWidth="1"/>
    <col min="2364" max="2364" width="10.7109375" customWidth="1"/>
    <col min="2365" max="2365" width="11.7109375" style="9" customWidth="1"/>
    <col min="2366" max="2366" width="10.7109375" customWidth="1"/>
    <col min="2367" max="2367" width="11.7109375" style="9" customWidth="1"/>
    <col min="2368" max="2368" width="10.7109375" customWidth="1"/>
    <col min="2369" max="2369" width="11.7109375" style="9" customWidth="1"/>
    <col min="2370" max="2370" width="10.7109375" customWidth="1"/>
    <col min="2371" max="2371" width="11.7109375" style="9" customWidth="1"/>
    <col min="2372" max="2372" width="10.7109375" customWidth="1"/>
    <col min="2373" max="2373" width="11.7109375" style="9" customWidth="1"/>
    <col min="2374" max="2374" width="10.7109375" customWidth="1"/>
    <col min="2375" max="2375" width="11.7109375" style="9" customWidth="1"/>
    <col min="2376" max="2376" width="10.7109375" customWidth="1"/>
    <col min="2377" max="2377" width="11.7109375" style="9" customWidth="1"/>
    <col min="2378" max="2378" width="10.7109375" customWidth="1"/>
    <col min="2379" max="2379" width="11.7109375" style="9" customWidth="1"/>
    <col min="2380" max="2380" width="10.7109375" customWidth="1"/>
    <col min="2381" max="2381" width="11.7109375" style="9" customWidth="1"/>
    <col min="2382" max="2382" width="10.7109375" customWidth="1"/>
    <col min="2383" max="2383" width="11.7109375" style="9" customWidth="1"/>
    <col min="2384" max="2384" width="10.7109375" customWidth="1"/>
    <col min="2385" max="2385" width="11.7109375" style="9" customWidth="1"/>
    <col min="2386" max="2386" width="10.7109375" customWidth="1"/>
    <col min="2387" max="2387" width="11.7109375" style="9" customWidth="1"/>
    <col min="2388" max="2388" width="10.7109375" customWidth="1"/>
    <col min="2389" max="2389" width="11.7109375" style="9" customWidth="1"/>
    <col min="2390" max="2390" width="10.7109375" customWidth="1"/>
    <col min="2391" max="2391" width="11.7109375" style="9" customWidth="1"/>
    <col min="2392" max="2392" width="10.7109375" customWidth="1"/>
    <col min="2393" max="2393" width="11.7109375" style="9" customWidth="1"/>
    <col min="2394" max="2394" width="10.7109375" customWidth="1"/>
    <col min="2395" max="2395" width="11.7109375" style="9" customWidth="1"/>
    <col min="2396" max="2396" width="10.7109375" customWidth="1"/>
    <col min="2397" max="2397" width="11.7109375" style="9" customWidth="1"/>
    <col min="2398" max="2398" width="10.7109375" customWidth="1"/>
    <col min="2399" max="2399" width="11.7109375" style="9" customWidth="1"/>
    <col min="2400" max="2400" width="10.7109375" customWidth="1"/>
    <col min="2401" max="2401" width="11.7109375" style="9" customWidth="1"/>
    <col min="2402" max="2402" width="10.7109375" customWidth="1"/>
    <col min="2403" max="2403" width="11.7109375" style="9" customWidth="1"/>
    <col min="2404" max="2404" width="10.7109375" customWidth="1"/>
    <col min="2405" max="2405" width="11.7109375" style="9" customWidth="1"/>
    <col min="2406" max="2406" width="10.7109375" customWidth="1"/>
    <col min="2407" max="2407" width="11.7109375" style="9" customWidth="1"/>
    <col min="2408" max="2408" width="10.7109375" customWidth="1"/>
    <col min="2409" max="2409" width="11.7109375" style="9" customWidth="1"/>
    <col min="2410" max="2410" width="10.7109375" customWidth="1"/>
    <col min="2411" max="2411" width="11.7109375" style="9" customWidth="1"/>
    <col min="2412" max="2412" width="10.7109375" customWidth="1"/>
    <col min="2413" max="2413" width="11.7109375" style="9" customWidth="1"/>
    <col min="2414" max="2414" width="10.7109375" customWidth="1"/>
    <col min="2415" max="2415" width="11.7109375" style="9" customWidth="1"/>
    <col min="2416" max="2416" width="10.7109375" customWidth="1"/>
    <col min="2417" max="2417" width="11.7109375" style="9" customWidth="1"/>
    <col min="2418" max="2418" width="10.7109375" customWidth="1"/>
    <col min="2419" max="2419" width="11.7109375" style="9" customWidth="1"/>
    <col min="2420" max="2420" width="10.7109375" customWidth="1"/>
    <col min="2421" max="2421" width="11.7109375" style="9" customWidth="1"/>
    <col min="2422" max="2422" width="10.7109375" customWidth="1"/>
    <col min="2423" max="2423" width="11.7109375" style="9" customWidth="1"/>
    <col min="2424" max="2424" width="10.7109375" customWidth="1"/>
    <col min="2425" max="2425" width="11.7109375" style="9" customWidth="1"/>
    <col min="2426" max="2426" width="10.7109375" customWidth="1"/>
    <col min="2427" max="2427" width="11.7109375" style="9" customWidth="1"/>
    <col min="2428" max="2428" width="10.7109375" customWidth="1"/>
    <col min="2429" max="2429" width="11.7109375" style="9" customWidth="1"/>
    <col min="2430" max="2430" width="10.7109375" customWidth="1"/>
    <col min="2431" max="2431" width="11.7109375" style="9" customWidth="1"/>
    <col min="2432" max="2432" width="10.7109375" customWidth="1"/>
    <col min="2433" max="2433" width="11.7109375" style="9" customWidth="1"/>
    <col min="2434" max="2434" width="10.7109375" customWidth="1"/>
    <col min="2435" max="2435" width="11.7109375" style="9" customWidth="1"/>
    <col min="2436" max="2436" width="10.7109375" customWidth="1"/>
    <col min="2437" max="2437" width="11.7109375" style="9" customWidth="1"/>
    <col min="2438" max="2438" width="10.7109375" customWidth="1"/>
    <col min="2439" max="2439" width="11.7109375" style="9" customWidth="1"/>
    <col min="2440" max="2440" width="10.7109375" customWidth="1"/>
    <col min="2441" max="2441" width="11.7109375" style="9" customWidth="1"/>
    <col min="2442" max="2442" width="10.7109375" customWidth="1"/>
    <col min="2443" max="2443" width="11.7109375" style="9" customWidth="1"/>
    <col min="2444" max="2444" width="10.7109375" customWidth="1"/>
    <col min="2445" max="2445" width="11.7109375" style="9" customWidth="1"/>
    <col min="2446" max="2446" width="10.7109375" customWidth="1"/>
    <col min="2447" max="2447" width="11.7109375" style="9" customWidth="1"/>
    <col min="2448" max="2448" width="10.7109375" customWidth="1"/>
    <col min="2449" max="2449" width="11.7109375" style="9" customWidth="1"/>
    <col min="2450" max="2450" width="10.7109375" customWidth="1"/>
    <col min="2451" max="2451" width="11.7109375" style="9" customWidth="1"/>
    <col min="2452" max="2452" width="10.7109375" customWidth="1"/>
    <col min="2453" max="2453" width="11.7109375" style="9" customWidth="1"/>
    <col min="2454" max="2454" width="10.7109375" customWidth="1"/>
    <col min="2455" max="2455" width="11.7109375" style="9" customWidth="1"/>
    <col min="2456" max="2456" width="10.7109375" customWidth="1"/>
    <col min="2457" max="2457" width="11.7109375" style="9" customWidth="1"/>
    <col min="2458" max="2458" width="10.7109375" customWidth="1"/>
    <col min="2459" max="2459" width="11.7109375" style="9" customWidth="1"/>
    <col min="2460" max="2460" width="10.7109375" customWidth="1"/>
    <col min="2461" max="2461" width="11.7109375" style="9" customWidth="1"/>
    <col min="2462" max="2462" width="10.7109375" customWidth="1"/>
    <col min="2463" max="2463" width="11.7109375" style="9" customWidth="1"/>
    <col min="2464" max="2464" width="10.7109375" customWidth="1"/>
    <col min="2465" max="2465" width="11.7109375" style="9" customWidth="1"/>
    <col min="2466" max="2466" width="10.7109375" customWidth="1"/>
    <col min="2467" max="2467" width="11.7109375" style="9" customWidth="1"/>
    <col min="2468" max="2468" width="10.7109375" customWidth="1"/>
    <col min="2469" max="2469" width="11.7109375" style="9" customWidth="1"/>
    <col min="2470" max="2470" width="10.7109375" customWidth="1"/>
    <col min="2471" max="2471" width="11.7109375" style="9" customWidth="1"/>
    <col min="2472" max="2472" width="10.7109375" customWidth="1"/>
    <col min="2473" max="2473" width="11.7109375" style="9" customWidth="1"/>
    <col min="2474" max="2474" width="10.7109375" customWidth="1"/>
    <col min="2475" max="2475" width="11.7109375" style="9" customWidth="1"/>
    <col min="2476" max="2476" width="10.7109375" customWidth="1"/>
    <col min="2477" max="2477" width="11.7109375" style="9" customWidth="1"/>
    <col min="2478" max="2478" width="10.7109375" customWidth="1"/>
    <col min="2479" max="2479" width="11.7109375" style="9" customWidth="1"/>
    <col min="2480" max="2480" width="10.7109375" customWidth="1"/>
    <col min="2481" max="2481" width="11.7109375" style="9" customWidth="1"/>
    <col min="2482" max="2482" width="10.7109375" customWidth="1"/>
    <col min="2483" max="2483" width="11.7109375" style="9" customWidth="1"/>
    <col min="2484" max="2484" width="10.7109375" customWidth="1"/>
    <col min="2485" max="2485" width="11.7109375" style="9" customWidth="1"/>
    <col min="2486" max="2486" width="10.7109375" customWidth="1"/>
    <col min="2487" max="2487" width="11.7109375" style="9" customWidth="1"/>
    <col min="2488" max="2488" width="10.7109375" customWidth="1"/>
    <col min="2489" max="2489" width="11.7109375" style="9" customWidth="1"/>
    <col min="2490" max="2490" width="10.7109375" customWidth="1"/>
    <col min="2491" max="2491" width="11.7109375" style="9" customWidth="1"/>
    <col min="2492" max="2492" width="10.7109375" customWidth="1"/>
    <col min="2493" max="2493" width="11.7109375" style="9" customWidth="1"/>
    <col min="2494" max="2494" width="10.7109375" customWidth="1"/>
    <col min="2495" max="2495" width="11.7109375" style="9" customWidth="1"/>
    <col min="2496" max="2496" width="10.7109375" customWidth="1"/>
    <col min="2497" max="2497" width="11.7109375" style="9" customWidth="1"/>
    <col min="2498" max="2498" width="10.7109375" customWidth="1"/>
    <col min="2499" max="2499" width="11.7109375" style="9" customWidth="1"/>
    <col min="2500" max="2500" width="10.7109375" customWidth="1"/>
    <col min="2501" max="2501" width="11.7109375" style="9" customWidth="1"/>
    <col min="2502" max="2502" width="10.7109375" customWidth="1"/>
    <col min="2503" max="2503" width="11.7109375" style="9" customWidth="1"/>
    <col min="2504" max="2504" width="10.7109375" customWidth="1"/>
    <col min="2505" max="2505" width="11.7109375" style="9" customWidth="1"/>
    <col min="2506" max="2506" width="10.7109375" customWidth="1"/>
    <col min="2507" max="2507" width="11.7109375" style="9" customWidth="1"/>
    <col min="2508" max="2508" width="10.7109375" customWidth="1"/>
    <col min="2509" max="2509" width="11.7109375" style="9" customWidth="1"/>
    <col min="2510" max="2510" width="10.7109375" customWidth="1"/>
    <col min="2511" max="2511" width="11.7109375" style="9" customWidth="1"/>
    <col min="2512" max="2512" width="10.7109375" customWidth="1"/>
    <col min="2513" max="2513" width="11.7109375" style="9" customWidth="1"/>
    <col min="2514" max="2514" width="10.7109375" customWidth="1"/>
    <col min="2515" max="2515" width="11.7109375" style="9" customWidth="1"/>
    <col min="2516" max="2516" width="10.7109375" customWidth="1"/>
    <col min="2517" max="2517" width="11.7109375" style="9" customWidth="1"/>
    <col min="2518" max="2518" width="10.7109375" customWidth="1"/>
    <col min="2519" max="2519" width="11.7109375" style="9" customWidth="1"/>
    <col min="2520" max="2520" width="10.7109375" customWidth="1"/>
    <col min="2521" max="2521" width="11.7109375" style="9" customWidth="1"/>
    <col min="2522" max="2522" width="10.7109375" customWidth="1"/>
    <col min="2523" max="2523" width="11.7109375" style="9" customWidth="1"/>
    <col min="2524" max="2524" width="10.7109375" customWidth="1"/>
    <col min="2525" max="2525" width="11.7109375" style="9" customWidth="1"/>
    <col min="2526" max="2526" width="10.7109375" customWidth="1"/>
    <col min="2527" max="2527" width="11.7109375" style="9" customWidth="1"/>
    <col min="2528" max="2528" width="10.7109375" customWidth="1"/>
    <col min="2529" max="2529" width="11.7109375" style="9" customWidth="1"/>
    <col min="2530" max="2530" width="10.7109375" customWidth="1"/>
    <col min="2531" max="2531" width="11.7109375" style="9" customWidth="1"/>
    <col min="2532" max="2532" width="10.7109375" customWidth="1"/>
    <col min="2533" max="2533" width="11.7109375" style="9" customWidth="1"/>
    <col min="2534" max="2534" width="10.7109375" customWidth="1"/>
    <col min="2535" max="2535" width="11.7109375" style="9" customWidth="1"/>
    <col min="2536" max="2536" width="10.7109375" customWidth="1"/>
    <col min="2537" max="2537" width="11.7109375" style="9" customWidth="1"/>
    <col min="2538" max="2538" width="10.7109375" customWidth="1"/>
    <col min="2539" max="2539" width="11.7109375" style="9" customWidth="1"/>
    <col min="2540" max="2540" width="10.7109375" customWidth="1"/>
    <col min="2541" max="2541" width="11.7109375" style="9" customWidth="1"/>
    <col min="2542" max="2542" width="10.7109375" customWidth="1"/>
    <col min="2543" max="2543" width="11.7109375" style="9" customWidth="1"/>
    <col min="2544" max="2544" width="10.7109375" customWidth="1"/>
    <col min="2545" max="2545" width="11.7109375" style="9" customWidth="1"/>
    <col min="2546" max="2546" width="10.7109375" customWidth="1"/>
    <col min="2547" max="2547" width="11.7109375" style="9" customWidth="1"/>
    <col min="2548" max="2548" width="10.7109375" customWidth="1"/>
    <col min="2549" max="2549" width="11.7109375" style="9" customWidth="1"/>
    <col min="2550" max="2550" width="10.7109375" customWidth="1"/>
    <col min="2551" max="2551" width="11.7109375" style="9" customWidth="1"/>
    <col min="2552" max="2552" width="10.7109375" customWidth="1"/>
    <col min="2553" max="2553" width="11.7109375" style="9" customWidth="1"/>
    <col min="2554" max="2554" width="10.7109375" customWidth="1"/>
    <col min="2555" max="2555" width="11.7109375" style="9" customWidth="1"/>
    <col min="2556" max="2556" width="10.7109375" customWidth="1"/>
    <col min="2557" max="2557" width="11.7109375" style="9" customWidth="1"/>
    <col min="2558" max="2558" width="10.7109375" customWidth="1"/>
    <col min="2559" max="2559" width="11.7109375" style="9" customWidth="1"/>
    <col min="2560" max="2560" width="10.7109375" customWidth="1"/>
    <col min="2561" max="2561" width="11.7109375" style="9" customWidth="1"/>
    <col min="2562" max="2562" width="10.7109375" customWidth="1"/>
    <col min="2563" max="2563" width="11.7109375" style="9" customWidth="1"/>
    <col min="2564" max="2564" width="10.7109375" customWidth="1"/>
    <col min="2565" max="2565" width="11.7109375" style="9" customWidth="1"/>
    <col min="2566" max="2566" width="10.7109375" customWidth="1"/>
    <col min="2567" max="2567" width="11.7109375" style="9" customWidth="1"/>
    <col min="2568" max="2568" width="10.7109375" customWidth="1"/>
    <col min="2569" max="2569" width="11.7109375" style="9" customWidth="1"/>
    <col min="2570" max="2570" width="10.7109375" customWidth="1"/>
    <col min="2571" max="2571" width="11.7109375" style="9" customWidth="1"/>
    <col min="2572" max="2572" width="10.7109375" customWidth="1"/>
    <col min="2573" max="2573" width="11.7109375" style="9" customWidth="1"/>
    <col min="2574" max="2574" width="10.7109375" customWidth="1"/>
    <col min="2575" max="2575" width="11.7109375" style="9" customWidth="1"/>
    <col min="2576" max="2576" width="10.7109375" customWidth="1"/>
    <col min="2577" max="2577" width="11.7109375" style="9" customWidth="1"/>
    <col min="2578" max="2578" width="10.7109375" customWidth="1"/>
    <col min="2579" max="2579" width="11.7109375" style="9" customWidth="1"/>
    <col min="2580" max="2580" width="10.7109375" customWidth="1"/>
    <col min="2581" max="2581" width="11.7109375" style="9" customWidth="1"/>
    <col min="2582" max="2582" width="10.7109375" customWidth="1"/>
    <col min="2583" max="2583" width="11.7109375" style="9" customWidth="1"/>
    <col min="2584" max="2584" width="10.7109375" customWidth="1"/>
    <col min="2585" max="2585" width="11.7109375" style="9" customWidth="1"/>
    <col min="2586" max="2586" width="10.7109375" customWidth="1"/>
    <col min="2587" max="2587" width="11.7109375" style="9" customWidth="1"/>
    <col min="2588" max="2588" width="10.7109375" customWidth="1"/>
    <col min="2589" max="2589" width="11.7109375" style="9" customWidth="1"/>
    <col min="2590" max="2590" width="10.7109375" customWidth="1"/>
    <col min="2591" max="2591" width="11.7109375" style="9" customWidth="1"/>
    <col min="2592" max="2592" width="10.7109375" customWidth="1"/>
    <col min="2593" max="2593" width="11.7109375" style="9" customWidth="1"/>
    <col min="2594" max="2594" width="10.7109375" customWidth="1"/>
    <col min="2595" max="2595" width="11.7109375" style="9" customWidth="1"/>
    <col min="2596" max="2596" width="10.7109375" customWidth="1"/>
    <col min="2597" max="2597" width="11.7109375" style="9" customWidth="1"/>
    <col min="2598" max="2598" width="10.7109375" customWidth="1"/>
    <col min="2599" max="2599" width="11.7109375" style="9" customWidth="1"/>
    <col min="2600" max="2600" width="10.7109375" customWidth="1"/>
    <col min="2601" max="2601" width="11.7109375" style="9" customWidth="1"/>
    <col min="2602" max="2602" width="10.7109375" customWidth="1"/>
    <col min="2603" max="2603" width="11.7109375" style="9" customWidth="1"/>
    <col min="2604" max="2604" width="10.7109375" customWidth="1"/>
    <col min="2605" max="2605" width="11.7109375" style="9" customWidth="1"/>
    <col min="2606" max="2606" width="10.7109375" customWidth="1"/>
    <col min="2607" max="2607" width="11.7109375" style="9" customWidth="1"/>
    <col min="2608" max="2608" width="10.7109375" customWidth="1"/>
    <col min="2609" max="2609" width="11.7109375" style="9" customWidth="1"/>
    <col min="2610" max="2610" width="10.7109375" customWidth="1"/>
    <col min="2611" max="2611" width="11.7109375" style="9" customWidth="1"/>
    <col min="2612" max="2612" width="10.7109375" customWidth="1"/>
    <col min="2613" max="2613" width="11.7109375" style="9" customWidth="1"/>
    <col min="2614" max="2614" width="10.7109375" customWidth="1"/>
    <col min="2615" max="2615" width="11.7109375" style="9" customWidth="1"/>
    <col min="2616" max="2616" width="10.7109375" customWidth="1"/>
    <col min="2617" max="2617" width="11.7109375" style="9" customWidth="1"/>
    <col min="2618" max="2618" width="10.7109375" customWidth="1"/>
    <col min="2619" max="2619" width="11.7109375" style="9" customWidth="1"/>
    <col min="2620" max="2620" width="10.7109375" customWidth="1"/>
    <col min="2621" max="2621" width="11.7109375" style="9" customWidth="1"/>
    <col min="2622" max="2622" width="10.7109375" customWidth="1"/>
    <col min="2623" max="2623" width="11.7109375" style="9" customWidth="1"/>
    <col min="2624" max="2624" width="10.7109375" customWidth="1"/>
    <col min="2625" max="2625" width="11.7109375" style="9" customWidth="1"/>
    <col min="2626" max="2626" width="10.7109375" customWidth="1"/>
    <col min="2627" max="2627" width="11.7109375" style="9" customWidth="1"/>
    <col min="2628" max="2628" width="10.7109375" customWidth="1"/>
    <col min="2629" max="2629" width="11.7109375" style="9" customWidth="1"/>
    <col min="2630" max="2630" width="10.7109375" customWidth="1"/>
    <col min="2631" max="2631" width="11.7109375" style="9" customWidth="1"/>
    <col min="2632" max="2632" width="10.7109375" customWidth="1"/>
    <col min="2633" max="2633" width="11.7109375" style="9" customWidth="1"/>
    <col min="2634" max="2634" width="10.7109375" customWidth="1"/>
    <col min="2635" max="2635" width="11.7109375" style="9" customWidth="1"/>
    <col min="2636" max="2636" width="10.7109375" customWidth="1"/>
    <col min="2637" max="2637" width="11.7109375" style="9" customWidth="1"/>
    <col min="2638" max="2638" width="10.7109375" customWidth="1"/>
    <col min="2639" max="2639" width="11.7109375" style="9" customWidth="1"/>
    <col min="2640" max="2640" width="10.7109375" customWidth="1"/>
    <col min="2641" max="2641" width="11.7109375" style="9" customWidth="1"/>
    <col min="2642" max="2642" width="10.7109375" customWidth="1"/>
    <col min="2643" max="2643" width="11.7109375" style="9" customWidth="1"/>
    <col min="2644" max="2644" width="10.7109375" customWidth="1"/>
    <col min="2645" max="2645" width="11.7109375" style="9" customWidth="1"/>
    <col min="2646" max="2646" width="10.7109375" customWidth="1"/>
    <col min="2647" max="2647" width="11.7109375" style="9" customWidth="1"/>
    <col min="2648" max="2648" width="10.7109375" customWidth="1"/>
    <col min="2649" max="2649" width="11.7109375" style="9" customWidth="1"/>
    <col min="2650" max="2650" width="10.7109375" customWidth="1"/>
    <col min="2651" max="2651" width="11.7109375" style="9" customWidth="1"/>
    <col min="2652" max="2652" width="10.7109375" customWidth="1"/>
    <col min="2653" max="2653" width="11.7109375" style="9" customWidth="1"/>
    <col min="2654" max="2654" width="10.7109375" customWidth="1"/>
    <col min="2655" max="2655" width="11.7109375" style="9" customWidth="1"/>
    <col min="2656" max="2656" width="10.7109375" customWidth="1"/>
    <col min="2657" max="2657" width="11.7109375" style="9" customWidth="1"/>
    <col min="2658" max="2658" width="10.7109375" customWidth="1"/>
    <col min="2659" max="2659" width="11.7109375" style="9" customWidth="1"/>
    <col min="2660" max="2660" width="10.7109375" customWidth="1"/>
    <col min="2661" max="2661" width="11.7109375" style="9" customWidth="1"/>
    <col min="2662" max="2662" width="10.7109375" customWidth="1"/>
    <col min="2663" max="2663" width="11.7109375" style="9" customWidth="1"/>
    <col min="2664" max="2664" width="10.7109375" customWidth="1"/>
    <col min="2665" max="2665" width="11.7109375" style="9" customWidth="1"/>
    <col min="2666" max="2666" width="10.7109375" customWidth="1"/>
    <col min="2667" max="2667" width="11.7109375" style="9" customWidth="1"/>
    <col min="2668" max="2668" width="10.7109375" customWidth="1"/>
    <col min="2669" max="2669" width="11.7109375" style="9" customWidth="1"/>
    <col min="2670" max="2670" width="10.7109375" customWidth="1"/>
    <col min="2671" max="2671" width="11.7109375" style="9" customWidth="1"/>
    <col min="2672" max="2672" width="10.7109375" customWidth="1"/>
    <col min="2673" max="2673" width="11.7109375" style="9" customWidth="1"/>
    <col min="2674" max="2674" width="10.7109375" customWidth="1"/>
    <col min="2675" max="2675" width="11.7109375" style="9" customWidth="1"/>
    <col min="2676" max="2676" width="10.7109375" customWidth="1"/>
    <col min="2677" max="2677" width="11.7109375" style="9" customWidth="1"/>
    <col min="2678" max="2678" width="10.7109375" customWidth="1"/>
    <col min="2679" max="2679" width="11.7109375" style="9" customWidth="1"/>
    <col min="2680" max="2680" width="10.7109375" customWidth="1"/>
    <col min="2681" max="2681" width="11.7109375" style="9" customWidth="1"/>
    <col min="2682" max="2682" width="10.7109375" customWidth="1"/>
    <col min="2683" max="2683" width="11.7109375" style="9" customWidth="1"/>
    <col min="2684" max="2684" width="10.7109375" customWidth="1"/>
    <col min="2685" max="2685" width="11.7109375" style="9" customWidth="1"/>
    <col min="2686" max="2686" width="10.7109375" customWidth="1"/>
    <col min="2687" max="2687" width="11.7109375" style="9" customWidth="1"/>
    <col min="2688" max="2688" width="10.7109375" customWidth="1"/>
    <col min="2689" max="2689" width="11.7109375" style="9" customWidth="1"/>
    <col min="2690" max="2690" width="10.7109375" customWidth="1"/>
    <col min="2691" max="2691" width="11.7109375" style="9" customWidth="1"/>
    <col min="2692" max="2692" width="10.7109375" customWidth="1"/>
    <col min="2693" max="2693" width="11.7109375" style="9" customWidth="1"/>
    <col min="2694" max="2694" width="10.7109375" customWidth="1"/>
    <col min="2695" max="2695" width="11.7109375" style="9" customWidth="1"/>
    <col min="2696" max="2696" width="10.7109375" customWidth="1"/>
    <col min="2697" max="2697" width="11.7109375" style="9" customWidth="1"/>
    <col min="2698" max="2698" width="10.7109375" customWidth="1"/>
    <col min="2699" max="2699" width="11.7109375" style="9" customWidth="1"/>
    <col min="2700" max="2700" width="10.7109375" customWidth="1"/>
    <col min="2701" max="2701" width="11.7109375" style="9" customWidth="1"/>
    <col min="2702" max="2702" width="10.7109375" customWidth="1"/>
    <col min="2703" max="2703" width="11.7109375" style="9" customWidth="1"/>
    <col min="2704" max="2704" width="10.7109375" customWidth="1"/>
    <col min="2705" max="2705" width="11.7109375" style="9" customWidth="1"/>
    <col min="2706" max="2706" width="10.7109375" customWidth="1"/>
    <col min="2707" max="2707" width="11.7109375" style="9" customWidth="1"/>
    <col min="2708" max="2708" width="10.7109375" customWidth="1"/>
    <col min="2709" max="2709" width="11.7109375" style="9" customWidth="1"/>
    <col min="2710" max="2710" width="10.7109375" customWidth="1"/>
    <col min="2711" max="2711" width="11.7109375" style="9" customWidth="1"/>
    <col min="2712" max="2712" width="10.7109375" customWidth="1"/>
    <col min="2713" max="2713" width="11.7109375" style="9" customWidth="1"/>
    <col min="2714" max="2714" width="10.7109375" customWidth="1"/>
    <col min="2715" max="2715" width="11.7109375" style="9" customWidth="1"/>
    <col min="2716" max="2716" width="10.7109375" customWidth="1"/>
    <col min="2717" max="2717" width="11.7109375" style="9" customWidth="1"/>
    <col min="2718" max="2718" width="10.7109375" customWidth="1"/>
    <col min="2719" max="2719" width="11.7109375" style="9" customWidth="1"/>
    <col min="2720" max="2720" width="10.7109375" customWidth="1"/>
    <col min="2721" max="2721" width="11.7109375" style="9" customWidth="1"/>
    <col min="2722" max="2722" width="10.7109375" customWidth="1"/>
    <col min="2723" max="2723" width="11.7109375" style="9" customWidth="1"/>
    <col min="2724" max="2724" width="10.7109375" customWidth="1"/>
    <col min="2725" max="2725" width="11.7109375" style="9" customWidth="1"/>
    <col min="2726" max="2726" width="10.7109375" customWidth="1"/>
    <col min="2727" max="2727" width="11.7109375" style="9" customWidth="1"/>
    <col min="2728" max="2728" width="10.7109375" customWidth="1"/>
    <col min="2729" max="2729" width="11.7109375" style="9" customWidth="1"/>
    <col min="2730" max="2730" width="10.7109375" customWidth="1"/>
    <col min="2731" max="2731" width="11.7109375" style="9" customWidth="1"/>
    <col min="2732" max="2732" width="10.7109375" customWidth="1"/>
    <col min="2733" max="2733" width="11.7109375" style="9" customWidth="1"/>
    <col min="2734" max="2734" width="10.7109375" customWidth="1"/>
    <col min="2735" max="2735" width="11.7109375" style="9" customWidth="1"/>
    <col min="2736" max="2736" width="10.7109375" customWidth="1"/>
    <col min="2737" max="2737" width="11.7109375" style="9" customWidth="1"/>
    <col min="2738" max="2738" width="10.7109375" customWidth="1"/>
    <col min="2739" max="2739" width="11.7109375" style="9" customWidth="1"/>
    <col min="2740" max="2740" width="10.7109375" customWidth="1"/>
    <col min="2741" max="2741" width="11.7109375" style="9" customWidth="1"/>
    <col min="2742" max="2742" width="10.7109375" customWidth="1"/>
    <col min="2743" max="2743" width="11.7109375" style="9" customWidth="1"/>
    <col min="2744" max="2744" width="10.7109375" customWidth="1"/>
    <col min="2745" max="2745" width="11.7109375" style="9" customWidth="1"/>
    <col min="2746" max="2746" width="10.7109375" customWidth="1"/>
    <col min="2747" max="2747" width="11.7109375" style="9" customWidth="1"/>
    <col min="2748" max="2748" width="10.7109375" customWidth="1"/>
    <col min="2749" max="2749" width="11.7109375" style="9" customWidth="1"/>
    <col min="2750" max="2750" width="10.7109375" customWidth="1"/>
    <col min="2751" max="2751" width="11.7109375" style="9" customWidth="1"/>
    <col min="2752" max="2752" width="10.7109375" customWidth="1"/>
    <col min="2753" max="2753" width="11.7109375" style="9" customWidth="1"/>
    <col min="2754" max="2754" width="10.7109375" customWidth="1"/>
    <col min="2755" max="2755" width="11.7109375" style="9" customWidth="1"/>
    <col min="2756" max="2756" width="10.7109375" customWidth="1"/>
    <col min="2757" max="2757" width="11.7109375" style="9" customWidth="1"/>
    <col min="2758" max="2758" width="10.7109375" customWidth="1"/>
    <col min="2759" max="2759" width="11.7109375" style="9" customWidth="1"/>
    <col min="2760" max="2760" width="10.7109375" customWidth="1"/>
    <col min="2761" max="2761" width="11.7109375" style="9" customWidth="1"/>
    <col min="2762" max="2762" width="10.7109375" customWidth="1"/>
    <col min="2763" max="2763" width="11.7109375" style="9" customWidth="1"/>
    <col min="2764" max="2764" width="10.7109375" customWidth="1"/>
    <col min="2765" max="2765" width="11.7109375" style="9" customWidth="1"/>
    <col min="2766" max="2766" width="10.7109375" customWidth="1"/>
    <col min="2767" max="2767" width="11.7109375" style="9" customWidth="1"/>
    <col min="2768" max="2768" width="10.7109375" customWidth="1"/>
    <col min="2769" max="2769" width="11.7109375" style="9" customWidth="1"/>
    <col min="2770" max="2770" width="10.7109375" customWidth="1"/>
    <col min="2771" max="2771" width="11.7109375" style="9" customWidth="1"/>
    <col min="2772" max="2772" width="10.7109375" customWidth="1"/>
    <col min="2773" max="2773" width="11.7109375" style="9" customWidth="1"/>
    <col min="2774" max="2774" width="10.7109375" customWidth="1"/>
    <col min="2775" max="2775" width="11.7109375" style="9" customWidth="1"/>
    <col min="2776" max="2776" width="10.7109375" customWidth="1"/>
    <col min="2777" max="2777" width="11.7109375" style="9" customWidth="1"/>
    <col min="2778" max="2778" width="10.7109375" customWidth="1"/>
    <col min="2779" max="2779" width="11.7109375" style="9" customWidth="1"/>
    <col min="2780" max="2780" width="10.7109375" customWidth="1"/>
    <col min="2781" max="2781" width="11.7109375" style="9" customWidth="1"/>
    <col min="2782" max="2782" width="10.7109375" customWidth="1"/>
    <col min="2783" max="2783" width="11.7109375" style="9" customWidth="1"/>
    <col min="2784" max="2784" width="10.7109375" customWidth="1"/>
    <col min="2785" max="2785" width="11.7109375" style="9" customWidth="1"/>
    <col min="2786" max="2786" width="10.7109375" customWidth="1"/>
    <col min="2787" max="2787" width="11.7109375" style="9" customWidth="1"/>
    <col min="2788" max="2788" width="10.7109375" customWidth="1"/>
    <col min="2789" max="2789" width="11.7109375" style="9" customWidth="1"/>
    <col min="2790" max="2790" width="10.7109375" customWidth="1"/>
    <col min="2791" max="2791" width="11.7109375" style="9" customWidth="1"/>
    <col min="2792" max="2792" width="10.7109375" customWidth="1"/>
    <col min="2793" max="2793" width="11.7109375" style="9" customWidth="1"/>
    <col min="2794" max="2794" width="10.7109375" customWidth="1"/>
    <col min="2795" max="2795" width="11.7109375" style="9" customWidth="1"/>
    <col min="2796" max="2796" width="10.7109375" customWidth="1"/>
    <col min="2797" max="2797" width="11.7109375" style="9" customWidth="1"/>
    <col min="2798" max="2798" width="10.7109375" customWidth="1"/>
    <col min="2799" max="2799" width="11.7109375" style="9" customWidth="1"/>
    <col min="2800" max="2800" width="10.7109375" customWidth="1"/>
    <col min="2801" max="2801" width="11.7109375" style="9" customWidth="1"/>
    <col min="2802" max="2802" width="10.7109375" customWidth="1"/>
    <col min="2803" max="2803" width="11.7109375" style="9" customWidth="1"/>
    <col min="2804" max="2804" width="10.7109375" customWidth="1"/>
    <col min="2805" max="2805" width="11.7109375" style="9" customWidth="1"/>
    <col min="2806" max="2806" width="10.7109375" customWidth="1"/>
    <col min="2807" max="2807" width="11.7109375" style="9" customWidth="1"/>
    <col min="2808" max="2808" width="10.7109375" customWidth="1"/>
    <col min="2809" max="2809" width="11.7109375" style="9" customWidth="1"/>
    <col min="2810" max="2810" width="10.7109375" customWidth="1"/>
    <col min="2811" max="2811" width="11.7109375" style="9" customWidth="1"/>
    <col min="2812" max="2812" width="10.7109375" customWidth="1"/>
    <col min="2813" max="2813" width="11.7109375" style="9" customWidth="1"/>
    <col min="2814" max="2814" width="10.7109375" customWidth="1"/>
    <col min="2815" max="2815" width="11.7109375" style="9" customWidth="1"/>
    <col min="2816" max="2816" width="10.7109375" customWidth="1"/>
    <col min="2817" max="2817" width="11.7109375" style="9" customWidth="1"/>
    <col min="2818" max="2818" width="10.7109375" customWidth="1"/>
    <col min="2819" max="2819" width="11.7109375" style="9" customWidth="1"/>
    <col min="2820" max="2820" width="10.7109375" customWidth="1"/>
    <col min="2821" max="2821" width="11.7109375" style="9" customWidth="1"/>
    <col min="2822" max="2822" width="10.7109375" customWidth="1"/>
    <col min="2823" max="2823" width="11.7109375" style="9" customWidth="1"/>
    <col min="2824" max="2824" width="10.7109375" customWidth="1"/>
    <col min="2825" max="2825" width="11.7109375" style="9" customWidth="1"/>
    <col min="2826" max="2826" width="10.7109375" customWidth="1"/>
    <col min="2827" max="2827" width="11.7109375" style="9" customWidth="1"/>
    <col min="2828" max="2828" width="10.7109375" customWidth="1"/>
    <col min="2829" max="2829" width="11.7109375" style="9" customWidth="1"/>
    <col min="2830" max="2830" width="10.7109375" customWidth="1"/>
    <col min="2831" max="2831" width="11.7109375" style="9" customWidth="1"/>
    <col min="2832" max="2832" width="10.7109375" customWidth="1"/>
    <col min="2833" max="2833" width="11.7109375" style="9" customWidth="1"/>
    <col min="2834" max="2834" width="10.7109375" customWidth="1"/>
    <col min="2835" max="2835" width="11.7109375" style="9" customWidth="1"/>
    <col min="2836" max="2836" width="10.7109375" customWidth="1"/>
    <col min="2837" max="2837" width="11.7109375" style="9" customWidth="1"/>
    <col min="2838" max="2838" width="10.7109375" customWidth="1"/>
    <col min="2839" max="2839" width="11.7109375" style="9" customWidth="1"/>
    <col min="2840" max="2840" width="10.7109375" customWidth="1"/>
    <col min="2841" max="2841" width="11.7109375" style="9" customWidth="1"/>
    <col min="2842" max="2842" width="10.7109375" customWidth="1"/>
    <col min="2843" max="2843" width="11.7109375" style="9" customWidth="1"/>
    <col min="2844" max="2844" width="10.7109375" customWidth="1"/>
    <col min="2845" max="2845" width="11.7109375" style="9" customWidth="1"/>
    <col min="2846" max="2846" width="10.7109375" customWidth="1"/>
    <col min="2847" max="2847" width="11.7109375" style="9" customWidth="1"/>
    <col min="2848" max="2848" width="10.7109375" customWidth="1"/>
    <col min="2849" max="2849" width="11.7109375" style="9" customWidth="1"/>
    <col min="2850" max="2850" width="10.7109375" customWidth="1"/>
    <col min="2851" max="2851" width="11.7109375" style="9" customWidth="1"/>
    <col min="2852" max="2852" width="10.7109375" customWidth="1"/>
    <col min="2853" max="2853" width="11.7109375" style="9" customWidth="1"/>
    <col min="2854" max="2854" width="10.7109375" customWidth="1"/>
    <col min="2855" max="2855" width="11.7109375" style="9" customWidth="1"/>
    <col min="2856" max="2856" width="10.7109375" customWidth="1"/>
    <col min="2857" max="2857" width="11.7109375" style="9" customWidth="1"/>
    <col min="2858" max="2858" width="10.7109375" customWidth="1"/>
    <col min="2859" max="2859" width="11.7109375" style="9" customWidth="1"/>
    <col min="2860" max="2860" width="10.7109375" customWidth="1"/>
    <col min="2861" max="2861" width="11.7109375" style="9" customWidth="1"/>
    <col min="2862" max="2862" width="10.7109375" customWidth="1"/>
    <col min="2863" max="2863" width="11.7109375" style="9" customWidth="1"/>
    <col min="2864" max="2864" width="10.7109375" customWidth="1"/>
    <col min="2865" max="2865" width="11.7109375" style="9" customWidth="1"/>
    <col min="2866" max="2866" width="10.7109375" customWidth="1"/>
    <col min="2867" max="2867" width="11.7109375" style="9" customWidth="1"/>
    <col min="2868" max="2868" width="10.7109375" customWidth="1"/>
    <col min="2869" max="2869" width="11.7109375" style="9" customWidth="1"/>
    <col min="2870" max="2870" width="10.7109375" customWidth="1"/>
    <col min="2871" max="2871" width="11.7109375" style="9" customWidth="1"/>
    <col min="2872" max="2872" width="10.7109375" customWidth="1"/>
    <col min="2873" max="2873" width="11.7109375" style="9" customWidth="1"/>
    <col min="2874" max="2874" width="10.7109375" customWidth="1"/>
    <col min="2875" max="2875" width="11.7109375" style="9" customWidth="1"/>
    <col min="2876" max="2876" width="10.7109375" customWidth="1"/>
    <col min="2877" max="2877" width="11.7109375" style="9" customWidth="1"/>
    <col min="2878" max="2878" width="10.7109375" customWidth="1"/>
    <col min="2879" max="2879" width="11.7109375" style="9" customWidth="1"/>
    <col min="2880" max="2880" width="10.7109375" customWidth="1"/>
    <col min="2881" max="2881" width="11.7109375" style="9" customWidth="1"/>
    <col min="2882" max="2882" width="10.7109375" customWidth="1"/>
    <col min="2883" max="2883" width="11.7109375" style="9" customWidth="1"/>
    <col min="2884" max="2884" width="10.7109375" customWidth="1"/>
    <col min="2885" max="2885" width="11.7109375" style="9" customWidth="1"/>
    <col min="2886" max="2886" width="10.7109375" customWidth="1"/>
    <col min="2887" max="2887" width="11.7109375" style="9" customWidth="1"/>
    <col min="2888" max="2888" width="10.7109375" customWidth="1"/>
    <col min="2889" max="2889" width="11.7109375" style="9" customWidth="1"/>
    <col min="2890" max="2890" width="10.7109375" customWidth="1"/>
    <col min="2891" max="2891" width="11.7109375" style="9" customWidth="1"/>
    <col min="2892" max="2892" width="10.7109375" customWidth="1"/>
    <col min="2893" max="2893" width="11.7109375" style="9" customWidth="1"/>
    <col min="2894" max="2894" width="10.7109375" customWidth="1"/>
    <col min="2895" max="2895" width="11.7109375" style="9" customWidth="1"/>
    <col min="2896" max="2896" width="10.7109375" customWidth="1"/>
    <col min="2897" max="2897" width="11.7109375" style="9" customWidth="1"/>
    <col min="2898" max="2898" width="10.7109375" customWidth="1"/>
    <col min="2899" max="2899" width="11.7109375" style="9" customWidth="1"/>
    <col min="2900" max="2900" width="10.7109375" customWidth="1"/>
    <col min="2901" max="2901" width="11.7109375" style="9" customWidth="1"/>
    <col min="2902" max="2902" width="10.7109375" customWidth="1"/>
    <col min="2903" max="2903" width="11.7109375" style="9" customWidth="1"/>
    <col min="2904" max="2904" width="10.7109375" customWidth="1"/>
    <col min="2905" max="2905" width="11.7109375" style="9" customWidth="1"/>
    <col min="2906" max="2906" width="10.7109375" customWidth="1"/>
    <col min="2907" max="2907" width="11.7109375" style="9" customWidth="1"/>
    <col min="2908" max="2908" width="10.7109375" customWidth="1"/>
    <col min="2909" max="2909" width="11.7109375" style="9" customWidth="1"/>
    <col min="2910" max="2910" width="10.7109375" customWidth="1"/>
    <col min="2911" max="2911" width="11.7109375" style="9" customWidth="1"/>
    <col min="2912" max="2912" width="10.7109375" customWidth="1"/>
    <col min="2913" max="2913" width="11.7109375" style="9" customWidth="1"/>
    <col min="2914" max="2914" width="10.7109375" customWidth="1"/>
    <col min="2915" max="2915" width="11.7109375" style="9" customWidth="1"/>
    <col min="2916" max="2916" width="10.7109375" customWidth="1"/>
    <col min="2917" max="2917" width="11.7109375" style="9" customWidth="1"/>
    <col min="2918" max="2918" width="10.7109375" customWidth="1"/>
    <col min="2919" max="2919" width="11.7109375" style="9" customWidth="1"/>
    <col min="2920" max="2920" width="10.7109375" customWidth="1"/>
    <col min="2921" max="2921" width="11.7109375" style="9" customWidth="1"/>
    <col min="2922" max="2922" width="10.7109375" customWidth="1"/>
    <col min="2923" max="2923" width="11.7109375" style="9" customWidth="1"/>
    <col min="2924" max="2924" width="10.7109375" customWidth="1"/>
    <col min="2925" max="2925" width="11.7109375" style="9" customWidth="1"/>
    <col min="2926" max="2926" width="10.7109375" customWidth="1"/>
    <col min="2927" max="2927" width="11.7109375" style="9" customWidth="1"/>
    <col min="2928" max="2928" width="10.7109375" customWidth="1"/>
    <col min="2929" max="2929" width="11.7109375" style="9" customWidth="1"/>
    <col min="2930" max="2930" width="10.7109375" customWidth="1"/>
    <col min="2931" max="2931" width="11.7109375" style="9" customWidth="1"/>
    <col min="2932" max="2932" width="10.7109375" customWidth="1"/>
    <col min="2933" max="2933" width="11.7109375" style="9" customWidth="1"/>
    <col min="2934" max="2934" width="10.7109375" customWidth="1"/>
    <col min="2935" max="2935" width="11.7109375" style="9" customWidth="1"/>
    <col min="2936" max="2936" width="10.7109375" customWidth="1"/>
    <col min="2937" max="2937" width="11.7109375" style="9" customWidth="1"/>
    <col min="2938" max="2938" width="10.7109375" customWidth="1"/>
    <col min="2939" max="2939" width="11.7109375" style="9" customWidth="1"/>
    <col min="2940" max="2940" width="10.7109375" customWidth="1"/>
    <col min="2941" max="2941" width="11.7109375" style="9" customWidth="1"/>
    <col min="2942" max="2942" width="10.7109375" customWidth="1"/>
    <col min="2943" max="2943" width="11.7109375" style="9" customWidth="1"/>
    <col min="2944" max="2944" width="10.7109375" customWidth="1"/>
    <col min="2945" max="2945" width="11.7109375" style="9" customWidth="1"/>
    <col min="2946" max="2946" width="10.7109375" customWidth="1"/>
    <col min="2947" max="2947" width="11.7109375" style="9" customWidth="1"/>
    <col min="2948" max="2948" width="10.7109375" customWidth="1"/>
    <col min="2949" max="2949" width="11.7109375" style="9" customWidth="1"/>
    <col min="2950" max="2950" width="10.7109375" customWidth="1"/>
    <col min="2951" max="2951" width="11.7109375" style="9" customWidth="1"/>
    <col min="2952" max="2952" width="10.7109375" customWidth="1"/>
    <col min="2953" max="2953" width="11.7109375" style="9" customWidth="1"/>
    <col min="2954" max="2954" width="10.7109375" customWidth="1"/>
    <col min="2955" max="2955" width="11.7109375" style="9" customWidth="1"/>
    <col min="2956" max="2956" width="10.7109375" customWidth="1"/>
    <col min="2957" max="2957" width="11.7109375" style="9" customWidth="1"/>
    <col min="2958" max="2958" width="10.7109375" customWidth="1"/>
    <col min="2959" max="2959" width="11.7109375" style="9" customWidth="1"/>
    <col min="2960" max="2960" width="10.7109375" customWidth="1"/>
    <col min="2961" max="2961" width="11.7109375" style="9" customWidth="1"/>
    <col min="2962" max="2962" width="10.7109375" customWidth="1"/>
    <col min="2963" max="2963" width="11.7109375" style="9" customWidth="1"/>
    <col min="2964" max="2964" width="10.7109375" customWidth="1"/>
    <col min="2965" max="2965" width="11.7109375" style="9" customWidth="1"/>
    <col min="2966" max="2966" width="10.7109375" customWidth="1"/>
    <col min="2967" max="2967" width="11.7109375" style="9" customWidth="1"/>
    <col min="2968" max="2968" width="10.7109375" customWidth="1"/>
    <col min="2969" max="2969" width="11.7109375" style="9" customWidth="1"/>
    <col min="2970" max="2970" width="10.7109375" customWidth="1"/>
    <col min="2971" max="2971" width="11.7109375" style="9" customWidth="1"/>
    <col min="2972" max="2972" width="10.7109375" customWidth="1"/>
    <col min="2973" max="2973" width="11.7109375" style="9" customWidth="1"/>
    <col min="2974" max="2974" width="10.7109375" customWidth="1"/>
    <col min="2975" max="2975" width="11.7109375" style="9" customWidth="1"/>
    <col min="2976" max="2976" width="10.7109375" customWidth="1"/>
    <col min="2977" max="2977" width="11.7109375" style="9" customWidth="1"/>
    <col min="2978" max="2978" width="10.7109375" customWidth="1"/>
    <col min="2979" max="2979" width="11.7109375" style="9" customWidth="1"/>
    <col min="2980" max="2980" width="10.7109375" customWidth="1"/>
    <col min="2981" max="2981" width="11.7109375" style="9" customWidth="1"/>
    <col min="2982" max="2982" width="10.7109375" customWidth="1"/>
    <col min="2983" max="2983" width="11.7109375" style="9" customWidth="1"/>
    <col min="2984" max="2984" width="10.7109375" customWidth="1"/>
    <col min="2985" max="2985" width="11.7109375" style="9" customWidth="1"/>
    <col min="2986" max="2986" width="10.7109375" customWidth="1"/>
    <col min="2987" max="2987" width="11.7109375" style="9" customWidth="1"/>
    <col min="2988" max="2988" width="10.7109375" customWidth="1"/>
    <col min="2989" max="2989" width="11.7109375" style="9" customWidth="1"/>
    <col min="2990" max="2990" width="10.7109375" customWidth="1"/>
    <col min="2991" max="2991" width="11.7109375" style="9" customWidth="1"/>
    <col min="2992" max="2992" width="10.7109375" customWidth="1"/>
    <col min="2993" max="2993" width="11.7109375" style="9" customWidth="1"/>
    <col min="2994" max="2994" width="10.7109375" customWidth="1"/>
    <col min="2995" max="2995" width="11.7109375" style="9" customWidth="1"/>
    <col min="2996" max="2996" width="10.7109375" customWidth="1"/>
    <col min="2997" max="2997" width="11.7109375" style="9" customWidth="1"/>
    <col min="2998" max="2998" width="10.7109375" customWidth="1"/>
    <col min="2999" max="2999" width="11.7109375" style="9" customWidth="1"/>
    <col min="3000" max="3000" width="10.7109375" customWidth="1"/>
    <col min="3001" max="3001" width="11.7109375" style="9" customWidth="1"/>
    <col min="3002" max="3002" width="10.7109375" customWidth="1"/>
    <col min="3003" max="3003" width="11.7109375" style="9" customWidth="1"/>
    <col min="3004" max="3004" width="10.7109375" customWidth="1"/>
    <col min="3005" max="3005" width="11.7109375" style="9" customWidth="1"/>
    <col min="3006" max="3006" width="10.7109375" customWidth="1"/>
    <col min="3007" max="3007" width="11.7109375" style="9" customWidth="1"/>
    <col min="3008" max="3008" width="10.7109375" customWidth="1"/>
    <col min="3009" max="3009" width="11.7109375" style="9" customWidth="1"/>
    <col min="3010" max="3010" width="10.7109375" customWidth="1"/>
    <col min="3011" max="3011" width="11.7109375" style="9" customWidth="1"/>
    <col min="3012" max="3012" width="10.7109375" customWidth="1"/>
    <col min="3013" max="3013" width="11.7109375" style="9" customWidth="1"/>
    <col min="3014" max="3014" width="10.7109375" customWidth="1"/>
    <col min="3015" max="3015" width="11.7109375" style="9" customWidth="1"/>
    <col min="3016" max="3016" width="10.7109375" customWidth="1"/>
    <col min="3017" max="3017" width="11.7109375" style="9" customWidth="1"/>
    <col min="3018" max="3018" width="10.7109375" customWidth="1"/>
    <col min="3019" max="3019" width="11.7109375" style="9" customWidth="1"/>
    <col min="3020" max="3020" width="10.7109375" customWidth="1"/>
    <col min="3021" max="3021" width="11.7109375" style="9" customWidth="1"/>
    <col min="3022" max="3022" width="10.7109375" customWidth="1"/>
    <col min="3023" max="3023" width="11.7109375" style="9" customWidth="1"/>
    <col min="3024" max="3024" width="10.7109375" customWidth="1"/>
    <col min="3025" max="3025" width="11.7109375" style="9" customWidth="1"/>
    <col min="3026" max="3026" width="10.7109375" customWidth="1"/>
    <col min="3027" max="3027" width="11.7109375" style="9" customWidth="1"/>
    <col min="3028" max="3028" width="10.7109375" customWidth="1"/>
    <col min="3029" max="3029" width="11.7109375" style="9" customWidth="1"/>
    <col min="3030" max="3030" width="10.7109375" customWidth="1"/>
    <col min="3031" max="3031" width="11.7109375" style="9" customWidth="1"/>
    <col min="3032" max="3032" width="10.7109375" customWidth="1"/>
    <col min="3033" max="3033" width="11.7109375" style="9" customWidth="1"/>
    <col min="3034" max="3034" width="10.7109375" customWidth="1"/>
    <col min="3035" max="3035" width="11.7109375" style="9" customWidth="1"/>
    <col min="3036" max="3036" width="10.7109375" customWidth="1"/>
    <col min="3037" max="3037" width="11.7109375" style="9" customWidth="1"/>
    <col min="3038" max="3038" width="10.7109375" customWidth="1"/>
    <col min="3039" max="3039" width="11.7109375" style="9" customWidth="1"/>
    <col min="3040" max="3040" width="10.7109375" customWidth="1"/>
    <col min="3041" max="3041" width="11.7109375" style="9" customWidth="1"/>
    <col min="3042" max="3042" width="10.7109375" customWidth="1"/>
    <col min="3043" max="3043" width="11.7109375" style="9" customWidth="1"/>
    <col min="3044" max="3044" width="10.7109375" customWidth="1"/>
    <col min="3045" max="3045" width="11.7109375" style="9" customWidth="1"/>
    <col min="3046" max="3046" width="10.7109375" customWidth="1"/>
    <col min="3047" max="3047" width="11.7109375" style="9" customWidth="1"/>
    <col min="3048" max="3048" width="10.7109375" customWidth="1"/>
    <col min="3049" max="3049" width="11.7109375" style="9" customWidth="1"/>
    <col min="3050" max="3050" width="10.7109375" customWidth="1"/>
    <col min="3051" max="3051" width="11.7109375" style="9" customWidth="1"/>
    <col min="3052" max="3052" width="10.7109375" customWidth="1"/>
    <col min="3053" max="3053" width="11.7109375" style="9" customWidth="1"/>
    <col min="3054" max="3054" width="10.7109375" customWidth="1"/>
    <col min="3055" max="3055" width="11.7109375" style="9" customWidth="1"/>
    <col min="3056" max="3056" width="10.7109375" customWidth="1"/>
    <col min="3057" max="3057" width="11.7109375" style="9" customWidth="1"/>
    <col min="3058" max="3058" width="10.7109375" customWidth="1"/>
    <col min="3059" max="3059" width="11.7109375" style="9" customWidth="1"/>
    <col min="3060" max="3060" width="10.7109375" customWidth="1"/>
    <col min="3061" max="3061" width="11.7109375" style="9" customWidth="1"/>
    <col min="3062" max="3062" width="10.7109375" customWidth="1"/>
    <col min="3063" max="3063" width="11.7109375" style="9" customWidth="1"/>
    <col min="3064" max="3064" width="10.7109375" customWidth="1"/>
    <col min="3065" max="3065" width="11.7109375" style="9" customWidth="1"/>
    <col min="3066" max="3066" width="10.7109375" customWidth="1"/>
    <col min="3067" max="3067" width="11.7109375" style="9" customWidth="1"/>
    <col min="3068" max="3068" width="10.7109375" customWidth="1"/>
    <col min="3069" max="3069" width="11.7109375" style="9" customWidth="1"/>
    <col min="3070" max="3070" width="10.7109375" customWidth="1"/>
    <col min="3071" max="3071" width="11.7109375" style="9" customWidth="1"/>
    <col min="3072" max="3072" width="10.7109375" customWidth="1"/>
    <col min="3073" max="3073" width="11.7109375" style="9" customWidth="1"/>
    <col min="3074" max="3074" width="10.7109375" customWidth="1"/>
    <col min="3075" max="3075" width="11.7109375" style="9" customWidth="1"/>
    <col min="3076" max="3076" width="10.7109375" customWidth="1"/>
    <col min="3077" max="3077" width="11.7109375" style="9" customWidth="1"/>
    <col min="3078" max="3078" width="10.7109375" customWidth="1"/>
    <col min="3079" max="3079" width="11.7109375" style="9" customWidth="1"/>
    <col min="3080" max="3080" width="10.7109375" customWidth="1"/>
    <col min="3081" max="3081" width="11.7109375" style="9" customWidth="1"/>
    <col min="3082" max="3082" width="10.7109375" customWidth="1"/>
    <col min="3083" max="3083" width="11.7109375" style="9" customWidth="1"/>
    <col min="3084" max="3084" width="10.7109375" customWidth="1"/>
    <col min="3085" max="3085" width="11.7109375" style="9" customWidth="1"/>
    <col min="3086" max="3086" width="10.7109375" customWidth="1"/>
    <col min="3087" max="3087" width="11.7109375" style="9" customWidth="1"/>
    <col min="3088" max="3088" width="10.7109375" customWidth="1"/>
    <col min="3089" max="3089" width="11.7109375" style="9" customWidth="1"/>
    <col min="3090" max="3090" width="10.7109375" customWidth="1"/>
    <col min="3091" max="3091" width="11.7109375" style="9" customWidth="1"/>
    <col min="3092" max="3092" width="10.7109375" customWidth="1"/>
    <col min="3093" max="3093" width="11.7109375" style="9" customWidth="1"/>
    <col min="3094" max="3094" width="10.7109375" customWidth="1"/>
    <col min="3095" max="3095" width="11.7109375" style="9" customWidth="1"/>
    <col min="3096" max="3096" width="10.7109375" customWidth="1"/>
    <col min="3097" max="3097" width="11.7109375" style="9" customWidth="1"/>
    <col min="3098" max="3098" width="10.7109375" customWidth="1"/>
    <col min="3099" max="3099" width="11.7109375" style="9" customWidth="1"/>
    <col min="3100" max="3100" width="10.7109375" customWidth="1"/>
    <col min="3101" max="3101" width="11.7109375" style="9" customWidth="1"/>
    <col min="3102" max="3102" width="10.7109375" customWidth="1"/>
    <col min="3103" max="3103" width="11.7109375" style="9" customWidth="1"/>
    <col min="3104" max="3104" width="10.7109375" customWidth="1"/>
    <col min="3105" max="3105" width="11.7109375" style="9" customWidth="1"/>
    <col min="3106" max="3106" width="10.7109375" customWidth="1"/>
    <col min="3107" max="3107" width="11.7109375" style="9" customWidth="1"/>
    <col min="3108" max="3108" width="10.7109375" customWidth="1"/>
    <col min="3109" max="3109" width="11.7109375" style="9" customWidth="1"/>
    <col min="3110" max="3110" width="10.7109375" customWidth="1"/>
    <col min="3111" max="3111" width="11.7109375" style="9" customWidth="1"/>
    <col min="3112" max="3112" width="10.7109375" customWidth="1"/>
    <col min="3113" max="3113" width="11.7109375" style="9" customWidth="1"/>
    <col min="3114" max="3114" width="10.7109375" customWidth="1"/>
    <col min="3115" max="3115" width="11.7109375" style="9" customWidth="1"/>
    <col min="3116" max="3116" width="10.7109375" customWidth="1"/>
    <col min="3117" max="3117" width="11.7109375" style="9" customWidth="1"/>
    <col min="3118" max="3118" width="10.7109375" customWidth="1"/>
    <col min="3119" max="3119" width="11.7109375" style="9" customWidth="1"/>
    <col min="3120" max="3120" width="10.7109375" customWidth="1"/>
    <col min="3121" max="3121" width="11.7109375" style="9" customWidth="1"/>
    <col min="3122" max="3122" width="10.7109375" customWidth="1"/>
    <col min="3123" max="3123" width="11.7109375" style="9" customWidth="1"/>
    <col min="3124" max="3124" width="10.7109375" customWidth="1"/>
    <col min="3125" max="3125" width="11.7109375" style="9" customWidth="1"/>
    <col min="3126" max="3126" width="10.7109375" customWidth="1"/>
    <col min="3127" max="3127" width="11.7109375" style="9" customWidth="1"/>
    <col min="3128" max="3128" width="10.7109375" customWidth="1"/>
    <col min="3129" max="3129" width="11.7109375" style="9" customWidth="1"/>
    <col min="3130" max="3130" width="10.7109375" customWidth="1"/>
    <col min="3131" max="3131" width="11.7109375" style="9" customWidth="1"/>
    <col min="3132" max="3132" width="10.7109375" customWidth="1"/>
    <col min="3133" max="3133" width="11.7109375" style="9" customWidth="1"/>
    <col min="3134" max="3134" width="10.7109375" customWidth="1"/>
    <col min="3135" max="3135" width="11.7109375" style="9" customWidth="1"/>
    <col min="3136" max="3136" width="10.7109375" customWidth="1"/>
    <col min="3137" max="3137" width="11.7109375" style="9" customWidth="1"/>
    <col min="3138" max="3138" width="10.7109375" customWidth="1"/>
    <col min="3139" max="3139" width="11.7109375" style="9" customWidth="1"/>
    <col min="3140" max="3140" width="10.7109375" customWidth="1"/>
    <col min="3141" max="3141" width="11.7109375" style="9" customWidth="1"/>
    <col min="3142" max="3142" width="10.7109375" customWidth="1"/>
    <col min="3143" max="3143" width="11.7109375" style="9" customWidth="1"/>
    <col min="3144" max="3144" width="10.7109375" customWidth="1"/>
    <col min="3145" max="3145" width="11.7109375" style="9" customWidth="1"/>
    <col min="3146" max="3146" width="10.7109375" customWidth="1"/>
    <col min="3147" max="3147" width="11.7109375" style="9" customWidth="1"/>
    <col min="3148" max="3148" width="10.7109375" customWidth="1"/>
    <col min="3149" max="3149" width="11.7109375" style="9" customWidth="1"/>
    <col min="3150" max="3150" width="10.7109375" customWidth="1"/>
    <col min="3151" max="3151" width="11.7109375" style="9" customWidth="1"/>
    <col min="3152" max="3152" width="10.7109375" customWidth="1"/>
    <col min="3153" max="3153" width="11.7109375" style="9" customWidth="1"/>
    <col min="3154" max="3154" width="10.7109375" customWidth="1"/>
    <col min="3155" max="3155" width="11.7109375" style="9" customWidth="1"/>
    <col min="3156" max="3156" width="10.7109375" customWidth="1"/>
    <col min="3157" max="3157" width="11.7109375" style="9" customWidth="1"/>
    <col min="3158" max="3158" width="10.7109375" customWidth="1"/>
    <col min="3159" max="3159" width="11.7109375" style="9" customWidth="1"/>
    <col min="3160" max="3160" width="10.7109375" customWidth="1"/>
    <col min="3161" max="3161" width="11.7109375" style="9" customWidth="1"/>
    <col min="3162" max="3162" width="10.7109375" customWidth="1"/>
    <col min="3163" max="3163" width="11.7109375" style="9" customWidth="1"/>
    <col min="3164" max="3164" width="10.7109375" customWidth="1"/>
    <col min="3165" max="3165" width="11.7109375" style="9" customWidth="1"/>
    <col min="3166" max="3166" width="10.7109375" customWidth="1"/>
    <col min="3167" max="3167" width="11.7109375" style="9" customWidth="1"/>
    <col min="3168" max="3168" width="10.7109375" customWidth="1"/>
    <col min="3169" max="3169" width="11.7109375" style="9" customWidth="1"/>
    <col min="3170" max="3170" width="10.7109375" customWidth="1"/>
    <col min="3171" max="3171" width="11.7109375" style="9" customWidth="1"/>
    <col min="3172" max="3172" width="10.7109375" customWidth="1"/>
    <col min="3173" max="3173" width="11.7109375" style="9" customWidth="1"/>
    <col min="3174" max="3174" width="10.7109375" customWidth="1"/>
    <col min="3175" max="3175" width="11.7109375" style="9" customWidth="1"/>
    <col min="3176" max="3176" width="10.7109375" customWidth="1"/>
    <col min="3177" max="3177" width="11.7109375" style="9" customWidth="1"/>
    <col min="3178" max="3178" width="10.7109375" customWidth="1"/>
    <col min="3179" max="3179" width="11.7109375" style="9" customWidth="1"/>
    <col min="3180" max="3180" width="10.7109375" customWidth="1"/>
    <col min="3181" max="3181" width="11.7109375" style="9" customWidth="1"/>
    <col min="3182" max="3182" width="10.7109375" customWidth="1"/>
    <col min="3183" max="3183" width="11.7109375" style="9" customWidth="1"/>
    <col min="3184" max="3184" width="10.7109375" customWidth="1"/>
    <col min="3185" max="3185" width="11.7109375" style="9" customWidth="1"/>
    <col min="3186" max="3186" width="10.7109375" customWidth="1"/>
    <col min="3187" max="3187" width="11.7109375" style="9" customWidth="1"/>
    <col min="3188" max="3188" width="10.7109375" customWidth="1"/>
    <col min="3189" max="3189" width="11.7109375" style="9" customWidth="1"/>
    <col min="3190" max="3190" width="10.7109375" customWidth="1"/>
    <col min="3191" max="3191" width="11.7109375" style="9" customWidth="1"/>
    <col min="3192" max="3192" width="10.7109375" customWidth="1"/>
    <col min="3193" max="3193" width="11.7109375" style="9" customWidth="1"/>
    <col min="3194" max="3194" width="10.7109375" customWidth="1"/>
    <col min="3195" max="3195" width="11.7109375" style="9" customWidth="1"/>
    <col min="3196" max="3196" width="10.7109375" customWidth="1"/>
    <col min="3197" max="3197" width="11.7109375" style="9" customWidth="1"/>
    <col min="3198" max="3198" width="10.7109375" customWidth="1"/>
    <col min="3199" max="3199" width="11.7109375" style="9" customWidth="1"/>
    <col min="3200" max="3200" width="10.7109375" customWidth="1"/>
    <col min="3201" max="3201" width="11.7109375" style="9" customWidth="1"/>
    <col min="3202" max="3202" width="10.7109375" customWidth="1"/>
    <col min="3203" max="3203" width="11.7109375" style="9" customWidth="1"/>
    <col min="3204" max="3204" width="10.7109375" customWidth="1"/>
    <col min="3205" max="3205" width="11.7109375" style="9" customWidth="1"/>
    <col min="3206" max="3206" width="10.7109375" customWidth="1"/>
    <col min="3207" max="3207" width="11.7109375" style="9" customWidth="1"/>
    <col min="3208" max="3208" width="10.7109375" customWidth="1"/>
    <col min="3209" max="3209" width="11.7109375" style="9" customWidth="1"/>
    <col min="3210" max="3210" width="10.7109375" customWidth="1"/>
    <col min="3211" max="3211" width="11.7109375" style="9" customWidth="1"/>
    <col min="3212" max="3212" width="10.7109375" customWidth="1"/>
    <col min="3213" max="3213" width="11.7109375" style="9" customWidth="1"/>
    <col min="3214" max="3214" width="10.7109375" customWidth="1"/>
    <col min="3215" max="3215" width="11.7109375" style="9" customWidth="1"/>
    <col min="3216" max="3216" width="10.7109375" customWidth="1"/>
    <col min="3217" max="3217" width="11.7109375" style="9" customWidth="1"/>
    <col min="3218" max="3218" width="10.7109375" customWidth="1"/>
    <col min="3219" max="3219" width="11.7109375" style="9" customWidth="1"/>
    <col min="3220" max="3220" width="10.7109375" customWidth="1"/>
    <col min="3221" max="3221" width="11.7109375" style="9" customWidth="1"/>
    <col min="3222" max="3222" width="10.7109375" customWidth="1"/>
    <col min="3223" max="3223" width="11.7109375" style="9" customWidth="1"/>
    <col min="3224" max="3224" width="10.7109375" customWidth="1"/>
    <col min="3225" max="3225" width="11.7109375" style="9" customWidth="1"/>
    <col min="3226" max="3226" width="10.7109375" customWidth="1"/>
    <col min="3227" max="3227" width="11.7109375" style="9" customWidth="1"/>
    <col min="3228" max="3228" width="10.7109375" customWidth="1"/>
    <col min="3229" max="3229" width="11.7109375" style="9" customWidth="1"/>
    <col min="3230" max="3230" width="10.7109375" customWidth="1"/>
    <col min="3231" max="3231" width="11.7109375" style="9" customWidth="1"/>
    <col min="3232" max="3232" width="10.7109375" customWidth="1"/>
    <col min="3233" max="3233" width="11.7109375" style="9" customWidth="1"/>
    <col min="3234" max="3234" width="10.7109375" customWidth="1"/>
    <col min="3235" max="3235" width="11.7109375" style="9" customWidth="1"/>
    <col min="3236" max="3236" width="10.7109375" customWidth="1"/>
    <col min="3237" max="3237" width="11.7109375" style="9" customWidth="1"/>
    <col min="3238" max="3238" width="10.7109375" customWidth="1"/>
    <col min="3239" max="3239" width="11.7109375" style="9" customWidth="1"/>
    <col min="3240" max="3240" width="10.7109375" customWidth="1"/>
    <col min="3241" max="3241" width="11.7109375" style="9" customWidth="1"/>
    <col min="3242" max="3242" width="10.7109375" customWidth="1"/>
    <col min="3243" max="3243" width="11.7109375" style="9" customWidth="1"/>
    <col min="3244" max="3244" width="10.7109375" customWidth="1"/>
    <col min="3245" max="3245" width="11.7109375" style="9" customWidth="1"/>
    <col min="3246" max="3246" width="10.7109375" customWidth="1"/>
    <col min="3247" max="3247" width="11.7109375" style="9" customWidth="1"/>
    <col min="3248" max="3248" width="10.7109375" customWidth="1"/>
    <col min="3249" max="3249" width="11.7109375" style="9" customWidth="1"/>
    <col min="3250" max="3250" width="10.7109375" customWidth="1"/>
    <col min="3251" max="3251" width="11.7109375" style="9" customWidth="1"/>
    <col min="3252" max="3252" width="10.7109375" customWidth="1"/>
    <col min="3253" max="3253" width="11.7109375" style="9" customWidth="1"/>
    <col min="3254" max="3254" width="10.7109375" customWidth="1"/>
    <col min="3255" max="3255" width="11.7109375" style="9" customWidth="1"/>
    <col min="3256" max="3256" width="10.7109375" customWidth="1"/>
    <col min="3257" max="3257" width="11.7109375" style="9" customWidth="1"/>
    <col min="3258" max="3258" width="10.7109375" customWidth="1"/>
    <col min="3259" max="3259" width="11.7109375" style="9" customWidth="1"/>
    <col min="3260" max="3260" width="10.7109375" customWidth="1"/>
    <col min="3261" max="3261" width="11.7109375" style="9" customWidth="1"/>
    <col min="3262" max="3262" width="10.7109375" customWidth="1"/>
    <col min="3263" max="3263" width="11.7109375" style="9" customWidth="1"/>
    <col min="3264" max="3264" width="10.7109375" customWidth="1"/>
    <col min="3265" max="3265" width="11.7109375" style="9" customWidth="1"/>
    <col min="3266" max="3266" width="10.7109375" customWidth="1"/>
    <col min="3267" max="3267" width="11.7109375" style="9" customWidth="1"/>
    <col min="3268" max="3268" width="10.7109375" customWidth="1"/>
    <col min="3269" max="3269" width="11.7109375" style="9" customWidth="1"/>
    <col min="3270" max="3270" width="10.7109375" customWidth="1"/>
    <col min="3271" max="3271" width="11.7109375" style="9" customWidth="1"/>
    <col min="3272" max="3272" width="10.7109375" customWidth="1"/>
    <col min="3273" max="3273" width="11.7109375" style="9" customWidth="1"/>
    <col min="3274" max="3274" width="10.7109375" customWidth="1"/>
    <col min="3275" max="3275" width="11.7109375" style="9" customWidth="1"/>
    <col min="3276" max="3276" width="10.7109375" customWidth="1"/>
    <col min="3277" max="3277" width="11.7109375" style="9" customWidth="1"/>
    <col min="3278" max="3278" width="10.7109375" customWidth="1"/>
    <col min="3279" max="3279" width="11.7109375" style="9" customWidth="1"/>
    <col min="3280" max="3280" width="10.7109375" customWidth="1"/>
    <col min="3281" max="3281" width="11.7109375" style="9" customWidth="1"/>
    <col min="3282" max="3282" width="10.7109375" customWidth="1"/>
    <col min="3283" max="3283" width="11.7109375" style="9" customWidth="1"/>
    <col min="3284" max="3284" width="10.7109375" customWidth="1"/>
    <col min="3285" max="3285" width="11.7109375" style="9" customWidth="1"/>
    <col min="3286" max="3286" width="10.7109375" customWidth="1"/>
    <col min="3287" max="3287" width="11.7109375" style="9" customWidth="1"/>
    <col min="3288" max="3288" width="10.7109375" customWidth="1"/>
    <col min="3289" max="3289" width="11.7109375" style="9" customWidth="1"/>
    <col min="3290" max="3290" width="10.7109375" customWidth="1"/>
    <col min="3291" max="3291" width="11.7109375" style="9" customWidth="1"/>
    <col min="3292" max="3292" width="10.7109375" customWidth="1"/>
    <col min="3293" max="3293" width="11.7109375" style="9" customWidth="1"/>
    <col min="3294" max="3294" width="10.7109375" customWidth="1"/>
    <col min="3295" max="3295" width="11.7109375" style="9" customWidth="1"/>
    <col min="3296" max="3296" width="10.7109375" customWidth="1"/>
    <col min="3297" max="3297" width="11.7109375" style="9" customWidth="1"/>
    <col min="3298" max="3298" width="10.7109375" customWidth="1"/>
    <col min="3299" max="3299" width="11.7109375" style="9" customWidth="1"/>
    <col min="3300" max="3300" width="10.7109375" customWidth="1"/>
    <col min="3301" max="3301" width="11.7109375" style="9" customWidth="1"/>
    <col min="3302" max="3302" width="10.7109375" customWidth="1"/>
    <col min="3303" max="3303" width="11.7109375" style="9" customWidth="1"/>
    <col min="3304" max="3304" width="10.7109375" customWidth="1"/>
    <col min="3305" max="3305" width="11.7109375" style="9" customWidth="1"/>
    <col min="3306" max="3306" width="10.7109375" customWidth="1"/>
    <col min="3307" max="3307" width="11.7109375" style="9" customWidth="1"/>
    <col min="3308" max="3308" width="10.7109375" customWidth="1"/>
    <col min="3309" max="3309" width="11.7109375" style="9" customWidth="1"/>
    <col min="3310" max="3310" width="10.7109375" customWidth="1"/>
    <col min="3311" max="3311" width="11.7109375" style="9" customWidth="1"/>
    <col min="3312" max="3312" width="10.7109375" customWidth="1"/>
    <col min="3313" max="3313" width="11.7109375" style="9" customWidth="1"/>
    <col min="3314" max="3314" width="10.7109375" customWidth="1"/>
    <col min="3315" max="3315" width="11.7109375" style="9" customWidth="1"/>
    <col min="3316" max="3316" width="10.7109375" customWidth="1"/>
    <col min="3317" max="3317" width="11.7109375" style="9" customWidth="1"/>
    <col min="3318" max="3318" width="10.7109375" customWidth="1"/>
    <col min="3319" max="3319" width="11.7109375" style="9" customWidth="1"/>
    <col min="3320" max="3320" width="10.7109375" customWidth="1"/>
    <col min="3321" max="3321" width="11.7109375" style="9" customWidth="1"/>
    <col min="3322" max="3322" width="10.7109375" customWidth="1"/>
    <col min="3323" max="3323" width="11.7109375" style="9" customWidth="1"/>
    <col min="3324" max="3324" width="10.7109375" customWidth="1"/>
    <col min="3325" max="3325" width="11.7109375" style="9" customWidth="1"/>
    <col min="3326" max="3326" width="10.7109375" customWidth="1"/>
    <col min="3327" max="3327" width="11.7109375" style="9" customWidth="1"/>
    <col min="3328" max="3328" width="10.7109375" customWidth="1"/>
    <col min="3329" max="3329" width="11.7109375" style="9" customWidth="1"/>
    <col min="3330" max="3330" width="10.7109375" customWidth="1"/>
    <col min="3331" max="3331" width="11.7109375" style="9" customWidth="1"/>
    <col min="3332" max="3332" width="10.7109375" customWidth="1"/>
    <col min="3333" max="3333" width="11.7109375" style="9" customWidth="1"/>
    <col min="3334" max="3334" width="10.7109375" customWidth="1"/>
    <col min="3335" max="3335" width="11.7109375" style="9" customWidth="1"/>
    <col min="3336" max="3336" width="10.7109375" customWidth="1"/>
    <col min="3337" max="3337" width="11.7109375" style="9" customWidth="1"/>
    <col min="3338" max="3338" width="10.7109375" customWidth="1"/>
    <col min="3339" max="3339" width="11.7109375" style="9" customWidth="1"/>
    <col min="3340" max="3340" width="10.7109375" customWidth="1"/>
    <col min="3341" max="3341" width="11.7109375" style="9" customWidth="1"/>
    <col min="3342" max="3342" width="10.7109375" customWidth="1"/>
    <col min="3343" max="3343" width="11.7109375" style="9" customWidth="1"/>
    <col min="3344" max="3344" width="10.7109375" customWidth="1"/>
    <col min="3345" max="3345" width="11.7109375" style="9" customWidth="1"/>
    <col min="3346" max="3346" width="10.7109375" customWidth="1"/>
    <col min="3347" max="3347" width="11.7109375" style="9" customWidth="1"/>
    <col min="3348" max="3348" width="10.7109375" customWidth="1"/>
    <col min="3349" max="3349" width="11.7109375" style="9" customWidth="1"/>
    <col min="3350" max="3350" width="10.7109375" customWidth="1"/>
    <col min="3351" max="3351" width="11.7109375" style="9" customWidth="1"/>
    <col min="3352" max="3352" width="10.7109375" customWidth="1"/>
    <col min="3353" max="3353" width="11.7109375" style="9" customWidth="1"/>
    <col min="3354" max="3354" width="10.7109375" customWidth="1"/>
    <col min="3355" max="3355" width="11.7109375" style="9" customWidth="1"/>
    <col min="3356" max="3356" width="10.7109375" customWidth="1"/>
    <col min="3357" max="3357" width="11.7109375" style="9" customWidth="1"/>
    <col min="3358" max="3358" width="10.7109375" customWidth="1"/>
    <col min="3359" max="3359" width="11.7109375" style="9" customWidth="1"/>
    <col min="3360" max="3360" width="10.7109375" customWidth="1"/>
    <col min="3361" max="3361" width="11.7109375" style="9" customWidth="1"/>
    <col min="3362" max="3362" width="10.7109375" customWidth="1"/>
    <col min="3363" max="3363" width="11.7109375" style="9" customWidth="1"/>
    <col min="3364" max="3364" width="10.7109375" customWidth="1"/>
    <col min="3365" max="3365" width="11.7109375" style="9" customWidth="1"/>
    <col min="3366" max="3366" width="10.7109375" customWidth="1"/>
    <col min="3367" max="3367" width="11.7109375" style="9" customWidth="1"/>
    <col min="3368" max="3368" width="10.7109375" customWidth="1"/>
    <col min="3369" max="3369" width="11.7109375" style="9" customWidth="1"/>
    <col min="3370" max="3370" width="10.7109375" customWidth="1"/>
    <col min="3371" max="3371" width="11.7109375" style="9" customWidth="1"/>
    <col min="3372" max="3372" width="10.7109375" customWidth="1"/>
    <col min="3373" max="3373" width="11.7109375" style="9" customWidth="1"/>
    <col min="3374" max="3374" width="10.7109375" customWidth="1"/>
    <col min="3375" max="3375" width="11.7109375" style="9" customWidth="1"/>
    <col min="3376" max="3376" width="10.7109375" customWidth="1"/>
    <col min="3377" max="3377" width="11.7109375" style="9" customWidth="1"/>
    <col min="3378" max="3378" width="10.7109375" customWidth="1"/>
    <col min="3379" max="3379" width="11.7109375" style="9" customWidth="1"/>
    <col min="3380" max="3380" width="10.7109375" customWidth="1"/>
    <col min="3381" max="3381" width="11.7109375" style="9" customWidth="1"/>
    <col min="3382" max="3382" width="10.7109375" customWidth="1"/>
    <col min="3383" max="3383" width="11.7109375" style="9" customWidth="1"/>
    <col min="3384" max="3384" width="10.7109375" customWidth="1"/>
    <col min="3385" max="3385" width="11.7109375" style="9" customWidth="1"/>
    <col min="3386" max="3386" width="10.7109375" customWidth="1"/>
    <col min="3387" max="3387" width="11.7109375" style="9" customWidth="1"/>
    <col min="3388" max="3388" width="10.7109375" customWidth="1"/>
    <col min="3389" max="3389" width="11.7109375" style="9" customWidth="1"/>
    <col min="3390" max="3390" width="10.7109375" customWidth="1"/>
    <col min="3391" max="3391" width="11.7109375" style="9" customWidth="1"/>
    <col min="3392" max="3392" width="10.7109375" customWidth="1"/>
    <col min="3393" max="3393" width="11.7109375" style="9" customWidth="1"/>
    <col min="3394" max="3394" width="10.7109375" customWidth="1"/>
    <col min="3395" max="3395" width="11.7109375" style="9" customWidth="1"/>
    <col min="3396" max="3396" width="10.7109375" customWidth="1"/>
    <col min="3397" max="3397" width="11.7109375" style="9" customWidth="1"/>
    <col min="3398" max="3398" width="10.7109375" customWidth="1"/>
    <col min="3399" max="3399" width="11.7109375" style="9" customWidth="1"/>
    <col min="3400" max="3400" width="10.7109375" customWidth="1"/>
    <col min="3401" max="3401" width="11.7109375" style="9" customWidth="1"/>
    <col min="3402" max="3402" width="10.7109375" customWidth="1"/>
    <col min="3403" max="3403" width="11.7109375" style="9" customWidth="1"/>
    <col min="3404" max="3404" width="10.7109375" customWidth="1"/>
    <col min="3405" max="3405" width="11.7109375" style="9" customWidth="1"/>
    <col min="3406" max="3406" width="10.7109375" customWidth="1"/>
    <col min="3407" max="3407" width="11.7109375" style="9" customWidth="1"/>
    <col min="3408" max="3408" width="10.7109375" customWidth="1"/>
    <col min="3409" max="3409" width="11.7109375" style="9" customWidth="1"/>
    <col min="3410" max="3410" width="10.7109375" customWidth="1"/>
    <col min="3411" max="3411" width="11.7109375" style="9" customWidth="1"/>
    <col min="3412" max="3412" width="10.7109375" customWidth="1"/>
    <col min="3413" max="3413" width="11.7109375" style="9" customWidth="1"/>
    <col min="3414" max="3414" width="10.7109375" customWidth="1"/>
    <col min="3415" max="3415" width="11.7109375" style="9" customWidth="1"/>
    <col min="3416" max="3416" width="10.7109375" customWidth="1"/>
    <col min="3417" max="3417" width="11.7109375" style="9" customWidth="1"/>
    <col min="3418" max="3418" width="10.7109375" customWidth="1"/>
    <col min="3419" max="3419" width="11.7109375" style="9" customWidth="1"/>
    <col min="3420" max="3420" width="10.7109375" customWidth="1"/>
    <col min="3421" max="3421" width="11.7109375" style="9" customWidth="1"/>
    <col min="3422" max="3422" width="10.7109375" customWidth="1"/>
    <col min="3423" max="3423" width="11.7109375" style="9" customWidth="1"/>
    <col min="3424" max="3424" width="10.7109375" customWidth="1"/>
    <col min="3425" max="3425" width="11.7109375" style="9" customWidth="1"/>
    <col min="3426" max="3426" width="10.7109375" customWidth="1"/>
    <col min="3427" max="3427" width="11.7109375" style="9" customWidth="1"/>
    <col min="3428" max="3428" width="10.7109375" customWidth="1"/>
    <col min="3429" max="3429" width="11.7109375" style="9" customWidth="1"/>
    <col min="3430" max="3430" width="10.7109375" customWidth="1"/>
    <col min="3431" max="3431" width="11.7109375" style="9" customWidth="1"/>
    <col min="3432" max="3432" width="10.7109375" customWidth="1"/>
    <col min="3433" max="3433" width="11.7109375" style="9" customWidth="1"/>
    <col min="3434" max="3434" width="10.7109375" customWidth="1"/>
    <col min="3435" max="3435" width="11.7109375" style="9" customWidth="1"/>
    <col min="3436" max="3436" width="10.7109375" customWidth="1"/>
    <col min="3437" max="3437" width="11.7109375" style="9" customWidth="1"/>
    <col min="3438" max="3438" width="10.7109375" customWidth="1"/>
    <col min="3439" max="3439" width="11.7109375" style="9" customWidth="1"/>
    <col min="3440" max="3440" width="10.7109375" customWidth="1"/>
    <col min="3441" max="3441" width="11.7109375" style="9" customWidth="1"/>
    <col min="3442" max="3442" width="10.7109375" customWidth="1"/>
    <col min="3443" max="3443" width="11.7109375" style="9" customWidth="1"/>
    <col min="3444" max="3444" width="10.7109375" customWidth="1"/>
    <col min="3445" max="3445" width="11.7109375" style="9" customWidth="1"/>
    <col min="3446" max="3446" width="10.7109375" customWidth="1"/>
    <col min="3447" max="3447" width="11.7109375" style="9" customWidth="1"/>
    <col min="3448" max="3448" width="10.7109375" customWidth="1"/>
    <col min="3449" max="3449" width="11.7109375" style="9" customWidth="1"/>
    <col min="3450" max="3450" width="10.7109375" customWidth="1"/>
    <col min="3451" max="3451" width="11.7109375" style="9" customWidth="1"/>
    <col min="3452" max="3452" width="10.7109375" customWidth="1"/>
    <col min="3453" max="3453" width="11.7109375" style="9" customWidth="1"/>
    <col min="3454" max="3454" width="10.7109375" customWidth="1"/>
    <col min="3455" max="3455" width="11.7109375" style="9" customWidth="1"/>
    <col min="3456" max="3456" width="10.7109375" customWidth="1"/>
    <col min="3457" max="3457" width="11.7109375" style="9" customWidth="1"/>
    <col min="3458" max="3458" width="10.7109375" customWidth="1"/>
    <col min="3459" max="3459" width="11.7109375" style="9" customWidth="1"/>
    <col min="3460" max="3460" width="10.7109375" customWidth="1"/>
    <col min="3461" max="3461" width="11.7109375" style="9" customWidth="1"/>
    <col min="3462" max="3462" width="10.7109375" customWidth="1"/>
    <col min="3463" max="3463" width="11.7109375" style="9" customWidth="1"/>
    <col min="3464" max="3464" width="10.7109375" customWidth="1"/>
    <col min="3465" max="3465" width="11.7109375" style="9" customWidth="1"/>
    <col min="3466" max="3466" width="10.7109375" customWidth="1"/>
    <col min="3467" max="3467" width="11.7109375" style="9" customWidth="1"/>
    <col min="3468" max="3468" width="10.7109375" customWidth="1"/>
    <col min="3469" max="3469" width="11.7109375" style="9" customWidth="1"/>
    <col min="3470" max="3470" width="10.7109375" customWidth="1"/>
    <col min="3471" max="3471" width="11.7109375" style="9" customWidth="1"/>
    <col min="3472" max="3472" width="10.7109375" customWidth="1"/>
    <col min="3473" max="3473" width="11.7109375" style="9" customWidth="1"/>
    <col min="3474" max="3474" width="10.7109375" customWidth="1"/>
    <col min="3475" max="3475" width="11.7109375" style="9" customWidth="1"/>
    <col min="3476" max="3476" width="10.7109375" customWidth="1"/>
    <col min="3477" max="3477" width="11.7109375" style="9" customWidth="1"/>
    <col min="3478" max="3478" width="10.7109375" customWidth="1"/>
    <col min="3479" max="3479" width="11.7109375" style="9" customWidth="1"/>
    <col min="3480" max="3480" width="10.7109375" customWidth="1"/>
    <col min="3481" max="3481" width="11.7109375" style="9" customWidth="1"/>
    <col min="3482" max="3482" width="10.7109375" customWidth="1"/>
    <col min="3483" max="3483" width="11.7109375" style="9" customWidth="1"/>
    <col min="3484" max="3484" width="10.7109375" customWidth="1"/>
    <col min="3485" max="3485" width="11.7109375" style="9" customWidth="1"/>
    <col min="3486" max="3486" width="10.7109375" customWidth="1"/>
    <col min="3487" max="3487" width="11.7109375" style="9" customWidth="1"/>
    <col min="3488" max="3488" width="10.7109375" customWidth="1"/>
    <col min="3489" max="3489" width="11.7109375" style="9" customWidth="1"/>
    <col min="3490" max="3490" width="10.7109375" customWidth="1"/>
    <col min="3491" max="3491" width="11.7109375" style="9" customWidth="1"/>
    <col min="3492" max="3492" width="10.7109375" customWidth="1"/>
    <col min="3493" max="3493" width="11.7109375" style="9" customWidth="1"/>
    <col min="3494" max="3494" width="10.7109375" customWidth="1"/>
    <col min="3495" max="3495" width="11.7109375" style="9" customWidth="1"/>
    <col min="3496" max="3496" width="10.7109375" customWidth="1"/>
    <col min="3497" max="3497" width="11.7109375" style="9" customWidth="1"/>
    <col min="3498" max="3498" width="10.7109375" customWidth="1"/>
    <col min="3499" max="3499" width="11.7109375" style="9" customWidth="1"/>
    <col min="3500" max="3500" width="10.7109375" customWidth="1"/>
    <col min="3501" max="3501" width="11.7109375" style="9" customWidth="1"/>
    <col min="3502" max="3502" width="10.7109375" customWidth="1"/>
    <col min="3503" max="3503" width="11.7109375" style="9" customWidth="1"/>
    <col min="3504" max="3504" width="10.7109375" customWidth="1"/>
    <col min="3505" max="3505" width="11.7109375" style="9" customWidth="1"/>
    <col min="3506" max="3506" width="10.7109375" customWidth="1"/>
    <col min="3507" max="3507" width="11.7109375" style="9" customWidth="1"/>
    <col min="3508" max="3508" width="10.7109375" customWidth="1"/>
    <col min="3509" max="3509" width="11.7109375" style="9" customWidth="1"/>
    <col min="3510" max="3510" width="10.7109375" customWidth="1"/>
    <col min="3511" max="3511" width="11.7109375" style="9" customWidth="1"/>
    <col min="3512" max="3512" width="10.7109375" customWidth="1"/>
    <col min="3513" max="3513" width="11.7109375" style="9" customWidth="1"/>
    <col min="3514" max="3514" width="10.7109375" customWidth="1"/>
    <col min="3515" max="3515" width="11.7109375" style="9" customWidth="1"/>
    <col min="3516" max="3516" width="10.7109375" customWidth="1"/>
    <col min="3517" max="3517" width="11.7109375" style="9" customWidth="1"/>
    <col min="3518" max="3518" width="10.7109375" customWidth="1"/>
    <col min="3519" max="3519" width="11.7109375" style="9" customWidth="1"/>
    <col min="3520" max="3520" width="10.7109375" customWidth="1"/>
    <col min="3521" max="3521" width="11.7109375" style="9" customWidth="1"/>
    <col min="3522" max="3522" width="10.7109375" customWidth="1"/>
    <col min="3523" max="3523" width="11.7109375" style="9" customWidth="1"/>
    <col min="3524" max="3524" width="10.7109375" customWidth="1"/>
    <col min="3525" max="3525" width="11.7109375" style="9" customWidth="1"/>
    <col min="3526" max="3526" width="10.7109375" customWidth="1"/>
    <col min="3527" max="3527" width="11.7109375" style="9" customWidth="1"/>
    <col min="3528" max="3528" width="10.7109375" customWidth="1"/>
    <col min="3529" max="3529" width="11.7109375" style="9" customWidth="1"/>
    <col min="3530" max="3530" width="10.7109375" customWidth="1"/>
    <col min="3531" max="3531" width="11.7109375" style="9" customWidth="1"/>
    <col min="3532" max="3532" width="10.7109375" customWidth="1"/>
    <col min="3533" max="3533" width="11.7109375" style="9" customWidth="1"/>
    <col min="3534" max="3534" width="10.7109375" customWidth="1"/>
    <col min="3535" max="3535" width="11.7109375" style="9" customWidth="1"/>
    <col min="3536" max="3536" width="10.7109375" customWidth="1"/>
    <col min="3537" max="3537" width="11.7109375" style="9" customWidth="1"/>
    <col min="3538" max="3538" width="10.7109375" customWidth="1"/>
    <col min="3539" max="3539" width="11.7109375" style="9" customWidth="1"/>
    <col min="3540" max="3540" width="10.7109375" customWidth="1"/>
    <col min="3541" max="3541" width="11.7109375" style="9" customWidth="1"/>
    <col min="3542" max="3542" width="10.7109375" customWidth="1"/>
    <col min="3543" max="3543" width="11.7109375" style="9" customWidth="1"/>
    <col min="3544" max="3544" width="10.7109375" customWidth="1"/>
    <col min="3545" max="3545" width="11.7109375" style="9" customWidth="1"/>
    <col min="3546" max="3546" width="10.7109375" customWidth="1"/>
    <col min="3547" max="3547" width="11.7109375" style="9" customWidth="1"/>
    <col min="3548" max="3548" width="10.7109375" customWidth="1"/>
    <col min="3549" max="3549" width="11.7109375" style="9" customWidth="1"/>
    <col min="3550" max="3550" width="10.7109375" customWidth="1"/>
    <col min="3551" max="3551" width="11.7109375" style="9" customWidth="1"/>
    <col min="3552" max="3552" width="10.7109375" customWidth="1"/>
    <col min="3553" max="3553" width="11.7109375" style="9" customWidth="1"/>
    <col min="3554" max="3554" width="10.7109375" customWidth="1"/>
    <col min="3555" max="3555" width="11.7109375" style="9" customWidth="1"/>
    <col min="3556" max="3556" width="10.7109375" customWidth="1"/>
    <col min="3557" max="3557" width="11.7109375" style="9" customWidth="1"/>
    <col min="3558" max="3558" width="10.7109375" customWidth="1"/>
    <col min="3559" max="3559" width="11.7109375" style="9" customWidth="1"/>
    <col min="3560" max="3560" width="10.7109375" customWidth="1"/>
    <col min="3561" max="3561" width="11.7109375" style="9" customWidth="1"/>
    <col min="3562" max="3562" width="10.7109375" customWidth="1"/>
    <col min="3563" max="3563" width="11.7109375" style="9" customWidth="1"/>
    <col min="3564" max="3564" width="10.7109375" customWidth="1"/>
    <col min="3565" max="3565" width="11.7109375" style="9" customWidth="1"/>
    <col min="3566" max="3566" width="10.7109375" customWidth="1"/>
    <col min="3567" max="3567" width="11.7109375" style="9" customWidth="1"/>
    <col min="3568" max="3568" width="10.7109375" customWidth="1"/>
    <col min="3569" max="3569" width="11.7109375" style="9" customWidth="1"/>
    <col min="3570" max="3570" width="10.7109375" customWidth="1"/>
    <col min="3571" max="3571" width="11.7109375" style="9" customWidth="1"/>
    <col min="3572" max="3572" width="10.7109375" customWidth="1"/>
    <col min="3573" max="3573" width="11.7109375" style="9" customWidth="1"/>
    <col min="3574" max="3574" width="10.7109375" customWidth="1"/>
    <col min="3575" max="3575" width="11.7109375" style="9" customWidth="1"/>
    <col min="3576" max="3576" width="10.7109375" customWidth="1"/>
    <col min="3577" max="3577" width="11.7109375" style="9" customWidth="1"/>
    <col min="3578" max="3578" width="10.7109375" customWidth="1"/>
    <col min="3579" max="3579" width="11.7109375" style="9" customWidth="1"/>
    <col min="3580" max="3580" width="10.7109375" customWidth="1"/>
    <col min="3581" max="3581" width="11.7109375" style="9" customWidth="1"/>
    <col min="3582" max="3582" width="10.7109375" customWidth="1"/>
    <col min="3583" max="3583" width="11.7109375" style="9" customWidth="1"/>
    <col min="3584" max="3584" width="10.7109375" customWidth="1"/>
    <col min="3585" max="3585" width="11.7109375" style="9" customWidth="1"/>
    <col min="3586" max="3586" width="10.7109375" customWidth="1"/>
    <col min="3587" max="3587" width="11.7109375" style="9" customWidth="1"/>
    <col min="3588" max="3588" width="10.7109375" customWidth="1"/>
    <col min="3589" max="3589" width="11.7109375" style="9" customWidth="1"/>
    <col min="3590" max="3590" width="10.7109375" customWidth="1"/>
    <col min="3591" max="3591" width="11.7109375" style="9" customWidth="1"/>
    <col min="3592" max="3592" width="10.7109375" customWidth="1"/>
    <col min="3593" max="3593" width="11.7109375" style="9" customWidth="1"/>
    <col min="3594" max="3594" width="10.7109375" customWidth="1"/>
    <col min="3595" max="3595" width="11.7109375" style="9" customWidth="1"/>
    <col min="3596" max="3596" width="10.7109375" customWidth="1"/>
    <col min="3597" max="3597" width="11.7109375" style="9" customWidth="1"/>
    <col min="3598" max="3598" width="10.7109375" customWidth="1"/>
    <col min="3599" max="3599" width="11.7109375" style="9" customWidth="1"/>
    <col min="3600" max="3600" width="10.7109375" customWidth="1"/>
    <col min="3601" max="3601" width="11.7109375" style="9" customWidth="1"/>
    <col min="3602" max="3602" width="10.7109375" customWidth="1"/>
    <col min="3603" max="3603" width="11.7109375" style="9" customWidth="1"/>
    <col min="3604" max="3604" width="10.7109375" customWidth="1"/>
    <col min="3605" max="3605" width="11.7109375" style="9" customWidth="1"/>
    <col min="3606" max="3606" width="10.7109375" customWidth="1"/>
    <col min="3607" max="3607" width="11.7109375" style="9" customWidth="1"/>
    <col min="3608" max="3608" width="10.7109375" customWidth="1"/>
    <col min="3609" max="3609" width="11.7109375" style="9" customWidth="1"/>
    <col min="3610" max="3610" width="10.7109375" customWidth="1"/>
    <col min="3611" max="3611" width="11.7109375" style="9" customWidth="1"/>
    <col min="3612" max="3612" width="10.7109375" customWidth="1"/>
    <col min="3613" max="3613" width="11.7109375" style="9" customWidth="1"/>
    <col min="3614" max="3614" width="10.7109375" customWidth="1"/>
    <col min="3615" max="3615" width="11.7109375" style="9" customWidth="1"/>
    <col min="3616" max="3616" width="10.7109375" customWidth="1"/>
    <col min="3617" max="3617" width="11.7109375" style="9" customWidth="1"/>
    <col min="3618" max="3618" width="10.7109375" customWidth="1"/>
    <col min="3619" max="3619" width="11.7109375" style="9" customWidth="1"/>
    <col min="3620" max="3620" width="10.7109375" customWidth="1"/>
    <col min="3621" max="3621" width="11.7109375" style="9" customWidth="1"/>
    <col min="3622" max="3622" width="10.7109375" customWidth="1"/>
    <col min="3623" max="3623" width="11.7109375" style="9" customWidth="1"/>
    <col min="3624" max="3624" width="10.7109375" customWidth="1"/>
    <col min="3625" max="3625" width="11.7109375" style="9" customWidth="1"/>
    <col min="3626" max="3626" width="10.7109375" customWidth="1"/>
    <col min="3627" max="3627" width="11.7109375" style="9" customWidth="1"/>
    <col min="3628" max="3628" width="10.7109375" customWidth="1"/>
    <col min="3629" max="3629" width="11.7109375" style="9" customWidth="1"/>
    <col min="3630" max="3630" width="10.7109375" customWidth="1"/>
    <col min="3631" max="3631" width="11.7109375" style="9" customWidth="1"/>
    <col min="3632" max="3632" width="10.7109375" customWidth="1"/>
    <col min="3633" max="3633" width="11.7109375" style="9" customWidth="1"/>
    <col min="3634" max="3634" width="10.7109375" customWidth="1"/>
    <col min="3635" max="3635" width="11.7109375" style="9" customWidth="1"/>
    <col min="3636" max="3636" width="10.7109375" customWidth="1"/>
    <col min="3637" max="3637" width="11.7109375" style="9" customWidth="1"/>
    <col min="3638" max="3638" width="10.7109375" customWidth="1"/>
    <col min="3639" max="3639" width="11.7109375" style="9" customWidth="1"/>
    <col min="3640" max="3640" width="10.7109375" customWidth="1"/>
    <col min="3641" max="3641" width="11.7109375" style="9" customWidth="1"/>
    <col min="3642" max="3642" width="10.7109375" customWidth="1"/>
    <col min="3643" max="3643" width="11.7109375" style="9" customWidth="1"/>
    <col min="3644" max="3644" width="10.7109375" customWidth="1"/>
    <col min="3645" max="3645" width="11.7109375" style="9" customWidth="1"/>
    <col min="3646" max="3646" width="10.7109375" customWidth="1"/>
    <col min="3647" max="3647" width="11.7109375" style="9" customWidth="1"/>
    <col min="3648" max="3648" width="10.7109375" customWidth="1"/>
    <col min="3649" max="3649" width="11.7109375" style="9" customWidth="1"/>
    <col min="3650" max="3650" width="10.7109375" customWidth="1"/>
    <col min="3651" max="3651" width="11.7109375" style="9" customWidth="1"/>
    <col min="3652" max="3652" width="10.7109375" customWidth="1"/>
    <col min="3653" max="3653" width="11.7109375" style="9" customWidth="1"/>
    <col min="3654" max="3654" width="10.7109375" customWidth="1"/>
    <col min="3655" max="3655" width="11.7109375" style="9" customWidth="1"/>
    <col min="3656" max="3656" width="10.7109375" customWidth="1"/>
    <col min="3657" max="3657" width="11.7109375" style="9" customWidth="1"/>
    <col min="3658" max="3658" width="10.7109375" customWidth="1"/>
    <col min="3659" max="3659" width="11.7109375" style="9" customWidth="1"/>
    <col min="3660" max="3660" width="10.7109375" customWidth="1"/>
    <col min="3661" max="3661" width="11.7109375" style="9" customWidth="1"/>
    <col min="3662" max="3662" width="10.7109375" customWidth="1"/>
    <col min="3663" max="3663" width="11.7109375" style="9" customWidth="1"/>
    <col min="3664" max="3664" width="10.7109375" customWidth="1"/>
    <col min="3665" max="3665" width="11.7109375" style="9" customWidth="1"/>
    <col min="3666" max="3666" width="10.7109375" customWidth="1"/>
    <col min="3667" max="3667" width="11.7109375" style="9" customWidth="1"/>
    <col min="3668" max="3668" width="10.7109375" customWidth="1"/>
    <col min="3669" max="3669" width="11.7109375" style="9" customWidth="1"/>
    <col min="3670" max="3670" width="10.7109375" customWidth="1"/>
    <col min="3671" max="3671" width="11.7109375" style="9" customWidth="1"/>
    <col min="3672" max="3672" width="10.7109375" customWidth="1"/>
    <col min="3673" max="3673" width="11.7109375" style="9" customWidth="1"/>
    <col min="3674" max="3674" width="10.7109375" customWidth="1"/>
    <col min="3675" max="3675" width="11.7109375" style="9" customWidth="1"/>
    <col min="3676" max="3676" width="10.7109375" customWidth="1"/>
    <col min="3677" max="3677" width="11.7109375" style="9" customWidth="1"/>
    <col min="3678" max="3678" width="10.7109375" customWidth="1"/>
    <col min="3679" max="3679" width="11.7109375" style="9" customWidth="1"/>
    <col min="3680" max="3680" width="10.7109375" customWidth="1"/>
    <col min="3681" max="3681" width="11.7109375" style="9" customWidth="1"/>
    <col min="3682" max="3682" width="10.7109375" customWidth="1"/>
    <col min="3683" max="3683" width="11.7109375" style="9" customWidth="1"/>
    <col min="3684" max="3684" width="10.7109375" customWidth="1"/>
    <col min="3685" max="3685" width="11.7109375" style="9" customWidth="1"/>
    <col min="3686" max="3686" width="10.7109375" customWidth="1"/>
    <col min="3687" max="3687" width="11.7109375" style="9" customWidth="1"/>
    <col min="3688" max="3688" width="10.7109375" customWidth="1"/>
    <col min="3689" max="3689" width="11.7109375" style="9" customWidth="1"/>
    <col min="3690" max="3690" width="10.7109375" customWidth="1"/>
    <col min="3691" max="3691" width="11.7109375" style="9" customWidth="1"/>
    <col min="3692" max="3692" width="10.7109375" customWidth="1"/>
    <col min="3693" max="3693" width="11.7109375" style="9" customWidth="1"/>
    <col min="3694" max="3694" width="10.7109375" customWidth="1"/>
    <col min="3695" max="3695" width="11.7109375" style="9" customWidth="1"/>
    <col min="3696" max="3696" width="10.7109375" customWidth="1"/>
    <col min="3697" max="3697" width="11.7109375" style="9" customWidth="1"/>
    <col min="3698" max="3698" width="10.7109375" customWidth="1"/>
    <col min="3699" max="3699" width="11.7109375" style="9" customWidth="1"/>
    <col min="3700" max="3700" width="10.7109375" customWidth="1"/>
    <col min="3701" max="3701" width="11.7109375" style="9" customWidth="1"/>
    <col min="3702" max="3702" width="10.7109375" customWidth="1"/>
    <col min="3703" max="3703" width="11.7109375" style="9" customWidth="1"/>
    <col min="3704" max="3704" width="10.7109375" customWidth="1"/>
    <col min="3705" max="3705" width="11.7109375" style="9" customWidth="1"/>
    <col min="3706" max="3706" width="10.7109375" customWidth="1"/>
    <col min="3707" max="3707" width="11.7109375" style="9" customWidth="1"/>
    <col min="3708" max="3708" width="10.7109375" customWidth="1"/>
    <col min="3709" max="3709" width="11.7109375" style="9" customWidth="1"/>
    <col min="3710" max="3710" width="10.7109375" customWidth="1"/>
    <col min="3711" max="3711" width="11.7109375" style="9" customWidth="1"/>
    <col min="3712" max="3712" width="10.7109375" customWidth="1"/>
    <col min="3713" max="3713" width="11.7109375" style="9" customWidth="1"/>
    <col min="3714" max="3714" width="10.7109375" customWidth="1"/>
    <col min="3715" max="3715" width="11.7109375" style="9" customWidth="1"/>
    <col min="3716" max="3716" width="10.7109375" customWidth="1"/>
    <col min="3717" max="3717" width="11.7109375" style="9" customWidth="1"/>
    <col min="3718" max="3718" width="10.7109375" customWidth="1"/>
    <col min="3719" max="3719" width="11.7109375" style="9" customWidth="1"/>
    <col min="3720" max="3720" width="10.7109375" customWidth="1"/>
    <col min="3721" max="3721" width="11.7109375" style="9" customWidth="1"/>
    <col min="3722" max="3722" width="10.7109375" customWidth="1"/>
    <col min="3723" max="3723" width="11.7109375" style="9" customWidth="1"/>
    <col min="3724" max="3724" width="10.7109375" customWidth="1"/>
    <col min="3725" max="3725" width="11.7109375" style="9" customWidth="1"/>
    <col min="3726" max="3726" width="10.7109375" customWidth="1"/>
    <col min="3727" max="3727" width="11.7109375" style="9" customWidth="1"/>
    <col min="3728" max="3728" width="10.7109375" customWidth="1"/>
    <col min="3729" max="3729" width="11.7109375" style="9" customWidth="1"/>
    <col min="3730" max="3730" width="10.7109375" customWidth="1"/>
    <col min="3731" max="3731" width="11.7109375" style="9" customWidth="1"/>
    <col min="3732" max="3732" width="10.7109375" customWidth="1"/>
    <col min="3733" max="3733" width="11.7109375" style="9" customWidth="1"/>
    <col min="3734" max="3734" width="10.7109375" customWidth="1"/>
    <col min="3735" max="3735" width="11.7109375" style="9" customWidth="1"/>
    <col min="3736" max="3736" width="10.7109375" customWidth="1"/>
    <col min="3737" max="3737" width="11.7109375" style="9" customWidth="1"/>
    <col min="3738" max="3738" width="10.7109375" customWidth="1"/>
    <col min="3739" max="3739" width="11.7109375" style="9" customWidth="1"/>
    <col min="3740" max="3740" width="10.7109375" customWidth="1"/>
    <col min="3741" max="3741" width="11.7109375" style="9" customWidth="1"/>
    <col min="3742" max="3742" width="10.7109375" customWidth="1"/>
    <col min="3743" max="3743" width="11.7109375" style="9" customWidth="1"/>
    <col min="3744" max="3744" width="10.7109375" customWidth="1"/>
    <col min="3745" max="3745" width="11.7109375" style="9" customWidth="1"/>
    <col min="3746" max="3746" width="10.7109375" customWidth="1"/>
    <col min="3747" max="3747" width="11.7109375" style="9" customWidth="1"/>
    <col min="3748" max="3748" width="10.7109375" customWidth="1"/>
    <col min="3749" max="3749" width="11.7109375" style="9" customWidth="1"/>
    <col min="3750" max="3750" width="10.7109375" customWidth="1"/>
    <col min="3751" max="3751" width="11.7109375" style="9" customWidth="1"/>
    <col min="3752" max="3752" width="10.7109375" customWidth="1"/>
    <col min="3753" max="3753" width="11.7109375" style="9" customWidth="1"/>
    <col min="3754" max="3754" width="10.7109375" customWidth="1"/>
    <col min="3755" max="3755" width="11.7109375" style="9" customWidth="1"/>
    <col min="3756" max="3756" width="10.7109375" customWidth="1"/>
    <col min="3757" max="3757" width="11.7109375" style="9" customWidth="1"/>
    <col min="3758" max="3758" width="10.7109375" customWidth="1"/>
    <col min="3759" max="3759" width="11.7109375" style="9" customWidth="1"/>
    <col min="3760" max="3760" width="10.7109375" customWidth="1"/>
    <col min="3761" max="3761" width="11.7109375" style="9" customWidth="1"/>
    <col min="3762" max="3762" width="10.7109375" customWidth="1"/>
    <col min="3763" max="3763" width="11.7109375" style="9" customWidth="1"/>
    <col min="3764" max="3764" width="10.7109375" customWidth="1"/>
    <col min="3765" max="3765" width="11.7109375" style="9" customWidth="1"/>
    <col min="3766" max="3766" width="10.7109375" customWidth="1"/>
    <col min="3767" max="3767" width="11.7109375" style="9" customWidth="1"/>
    <col min="3768" max="3768" width="10.7109375" customWidth="1"/>
    <col min="3769" max="3769" width="11.7109375" style="9" customWidth="1"/>
    <col min="3770" max="3770" width="10.7109375" customWidth="1"/>
    <col min="3771" max="3771" width="11.7109375" style="9" customWidth="1"/>
    <col min="3772" max="3772" width="10.7109375" customWidth="1"/>
    <col min="3773" max="3773" width="11.7109375" style="9" customWidth="1"/>
    <col min="3774" max="3774" width="10.7109375" customWidth="1"/>
    <col min="3775" max="3775" width="11.7109375" style="9" customWidth="1"/>
    <col min="3776" max="3776" width="10.7109375" customWidth="1"/>
    <col min="3777" max="3777" width="11.7109375" style="9" customWidth="1"/>
    <col min="3778" max="3778" width="10.7109375" customWidth="1"/>
    <col min="3779" max="3779" width="11.7109375" style="9" customWidth="1"/>
    <col min="3780" max="3780" width="10.7109375" customWidth="1"/>
    <col min="3781" max="3781" width="11.7109375" style="9" customWidth="1"/>
    <col min="3782" max="3782" width="10.7109375" customWidth="1"/>
    <col min="3783" max="3783" width="11.7109375" style="9" customWidth="1"/>
    <col min="3784" max="3784" width="10.7109375" customWidth="1"/>
    <col min="3785" max="3785" width="11.7109375" style="9" customWidth="1"/>
    <col min="3786" max="3786" width="10.7109375" customWidth="1"/>
    <col min="3787" max="3787" width="11.7109375" style="9" customWidth="1"/>
    <col min="3788" max="3788" width="10.7109375" customWidth="1"/>
    <col min="3789" max="3789" width="11.7109375" style="9" customWidth="1"/>
    <col min="3790" max="3790" width="10.7109375" customWidth="1"/>
    <col min="3791" max="3791" width="11.7109375" style="9" customWidth="1"/>
    <col min="3792" max="3792" width="10.7109375" customWidth="1"/>
    <col min="3793" max="3793" width="11.7109375" style="9" customWidth="1"/>
    <col min="3794" max="3794" width="10.7109375" customWidth="1"/>
    <col min="3795" max="3795" width="11.7109375" style="9" customWidth="1"/>
    <col min="3796" max="3796" width="10.7109375" customWidth="1"/>
    <col min="3797" max="3797" width="11.7109375" style="9" customWidth="1"/>
    <col min="3798" max="3798" width="10.7109375" customWidth="1"/>
    <col min="3799" max="3799" width="11.7109375" style="9" customWidth="1"/>
    <col min="3800" max="3800" width="10.7109375" customWidth="1"/>
    <col min="3801" max="3801" width="11.7109375" style="9" customWidth="1"/>
    <col min="3802" max="3802" width="10.7109375" customWidth="1"/>
    <col min="3803" max="3803" width="11.7109375" style="9" customWidth="1"/>
    <col min="3804" max="3804" width="10.7109375" customWidth="1"/>
    <col min="3805" max="3805" width="11.7109375" style="9" customWidth="1"/>
    <col min="3806" max="3806" width="10.7109375" customWidth="1"/>
    <col min="3807" max="3807" width="11.7109375" style="9" customWidth="1"/>
    <col min="3808" max="3808" width="10.7109375" customWidth="1"/>
    <col min="3809" max="3809" width="11.7109375" style="9" customWidth="1"/>
    <col min="3810" max="3810" width="10.7109375" customWidth="1"/>
    <col min="3811" max="3811" width="11.7109375" style="9" customWidth="1"/>
    <col min="3812" max="3812" width="10.7109375" customWidth="1"/>
    <col min="3813" max="3813" width="11.7109375" style="9" customWidth="1"/>
    <col min="3814" max="3814" width="10.7109375" customWidth="1"/>
    <col min="3815" max="3815" width="11.7109375" style="9" customWidth="1"/>
    <col min="3816" max="3816" width="10.7109375" customWidth="1"/>
    <col min="3817" max="3817" width="11.7109375" style="9" customWidth="1"/>
    <col min="3818" max="3818" width="10.7109375" customWidth="1"/>
    <col min="3819" max="3819" width="11.7109375" style="9" customWidth="1"/>
    <col min="3820" max="3820" width="10.7109375" customWidth="1"/>
    <col min="3821" max="3821" width="11.7109375" style="9" customWidth="1"/>
    <col min="3822" max="3822" width="10.7109375" customWidth="1"/>
    <col min="3823" max="3823" width="11.7109375" style="9" customWidth="1"/>
    <col min="3824" max="3824" width="10.7109375" customWidth="1"/>
    <col min="3825" max="3825" width="11.7109375" style="9" customWidth="1"/>
    <col min="3826" max="3826" width="10.7109375" customWidth="1"/>
    <col min="3827" max="3827" width="11.7109375" style="9" customWidth="1"/>
    <col min="3828" max="3828" width="10.7109375" customWidth="1"/>
    <col min="3829" max="3829" width="11.7109375" style="9" customWidth="1"/>
    <col min="3830" max="3830" width="10.7109375" customWidth="1"/>
    <col min="3831" max="3831" width="11.7109375" style="9" customWidth="1"/>
    <col min="3832" max="3832" width="10.7109375" customWidth="1"/>
    <col min="3833" max="3833" width="11.7109375" style="9" customWidth="1"/>
    <col min="3834" max="3834" width="10.7109375" customWidth="1"/>
    <col min="3835" max="3835" width="11.7109375" style="9" customWidth="1"/>
    <col min="3836" max="3836" width="10.7109375" customWidth="1"/>
    <col min="3837" max="3837" width="11.7109375" style="9" customWidth="1"/>
    <col min="3838" max="3838" width="10.7109375" customWidth="1"/>
    <col min="3839" max="3839" width="11.7109375" style="9" customWidth="1"/>
    <col min="3840" max="3840" width="10.7109375" customWidth="1"/>
    <col min="3841" max="3841" width="11.7109375" style="9" customWidth="1"/>
    <col min="3842" max="3842" width="10.7109375" customWidth="1"/>
    <col min="3843" max="3843" width="11.7109375" style="9" customWidth="1"/>
    <col min="3844" max="3844" width="10.7109375" customWidth="1"/>
    <col min="3845" max="3845" width="11.7109375" style="9" customWidth="1"/>
    <col min="3846" max="3846" width="10.7109375" customWidth="1"/>
    <col min="3847" max="3847" width="11.7109375" style="9" customWidth="1"/>
    <col min="3848" max="3848" width="10.7109375" customWidth="1"/>
    <col min="3849" max="3849" width="11.7109375" style="9" customWidth="1"/>
    <col min="3850" max="3850" width="10.7109375" customWidth="1"/>
    <col min="3851" max="3851" width="11.7109375" style="9" customWidth="1"/>
    <col min="3852" max="3852" width="10.7109375" customWidth="1"/>
    <col min="3853" max="3853" width="11.7109375" style="9" customWidth="1"/>
    <col min="3854" max="3854" width="10.7109375" customWidth="1"/>
    <col min="3855" max="3855" width="11.7109375" style="9" customWidth="1"/>
    <col min="3856" max="3856" width="10.7109375" customWidth="1"/>
    <col min="3857" max="3857" width="11.7109375" style="9" customWidth="1"/>
    <col min="3858" max="3858" width="10.7109375" customWidth="1"/>
    <col min="3859" max="3859" width="11.7109375" style="9" customWidth="1"/>
    <col min="3860" max="3860" width="10.7109375" customWidth="1"/>
    <col min="3861" max="3861" width="11.7109375" style="9" customWidth="1"/>
    <col min="3862" max="3862" width="10.7109375" customWidth="1"/>
    <col min="3863" max="3863" width="11.7109375" style="9" customWidth="1"/>
    <col min="3864" max="3864" width="10.7109375" customWidth="1"/>
    <col min="3865" max="3865" width="11.7109375" style="9" customWidth="1"/>
    <col min="3866" max="3866" width="10.7109375" customWidth="1"/>
    <col min="3867" max="3867" width="11.7109375" style="9" customWidth="1"/>
    <col min="3868" max="3868" width="10.7109375" customWidth="1"/>
    <col min="3869" max="3869" width="11.7109375" style="9" customWidth="1"/>
    <col min="3870" max="3870" width="10.7109375" customWidth="1"/>
    <col min="3871" max="3871" width="11.7109375" style="9" customWidth="1"/>
    <col min="3872" max="3872" width="10.7109375" customWidth="1"/>
    <col min="3873" max="3873" width="11.7109375" style="9" customWidth="1"/>
    <col min="3874" max="3874" width="10.7109375" customWidth="1"/>
    <col min="3875" max="3875" width="11.7109375" style="9" customWidth="1"/>
    <col min="3876" max="3876" width="10.7109375" customWidth="1"/>
    <col min="3877" max="3877" width="11.7109375" style="9" customWidth="1"/>
    <col min="3878" max="3878" width="10.7109375" customWidth="1"/>
    <col min="3879" max="3879" width="11.7109375" style="9" customWidth="1"/>
    <col min="3880" max="3880" width="10.7109375" customWidth="1"/>
    <col min="3881" max="3881" width="11.7109375" style="9" customWidth="1"/>
    <col min="3882" max="3882" width="10.7109375" customWidth="1"/>
    <col min="3883" max="3883" width="11.7109375" style="9" customWidth="1"/>
    <col min="3884" max="3884" width="10.7109375" customWidth="1"/>
    <col min="3885" max="3885" width="11.7109375" style="9" customWidth="1"/>
    <col min="3886" max="3886" width="10.7109375" customWidth="1"/>
    <col min="3887" max="3887" width="11.7109375" style="9" customWidth="1"/>
    <col min="3888" max="3888" width="10.7109375" customWidth="1"/>
    <col min="3889" max="3889" width="11.7109375" style="9" customWidth="1"/>
    <col min="3890" max="3890" width="10.7109375" customWidth="1"/>
    <col min="3891" max="3891" width="11.7109375" style="9" customWidth="1"/>
    <col min="3892" max="3892" width="10.7109375" customWidth="1"/>
    <col min="3893" max="3893" width="11.7109375" style="9" customWidth="1"/>
    <col min="3894" max="3894" width="10.7109375" customWidth="1"/>
    <col min="3895" max="3895" width="11.7109375" style="9" customWidth="1"/>
    <col min="3896" max="3896" width="10.7109375" customWidth="1"/>
    <col min="3897" max="3897" width="11.7109375" style="9" customWidth="1"/>
    <col min="3898" max="3898" width="10.7109375" customWidth="1"/>
    <col min="3899" max="3899" width="11.7109375" style="9" customWidth="1"/>
    <col min="3900" max="3900" width="10.7109375" customWidth="1"/>
    <col min="3901" max="3901" width="11.7109375" style="9" customWidth="1"/>
    <col min="3902" max="3902" width="10.7109375" customWidth="1"/>
    <col min="3903" max="3903" width="11.7109375" style="9" customWidth="1"/>
    <col min="3904" max="3904" width="10.7109375" customWidth="1"/>
    <col min="3905" max="3905" width="11.7109375" style="9" customWidth="1"/>
    <col min="3906" max="3906" width="10.7109375" customWidth="1"/>
    <col min="3907" max="3907" width="11.7109375" style="9" customWidth="1"/>
    <col min="3908" max="3908" width="10.7109375" customWidth="1"/>
    <col min="3909" max="3909" width="11.7109375" style="9" customWidth="1"/>
    <col min="3910" max="3910" width="10.7109375" customWidth="1"/>
    <col min="3911" max="3911" width="11.7109375" style="9" customWidth="1"/>
    <col min="3912" max="3912" width="10.7109375" customWidth="1"/>
    <col min="3913" max="3913" width="11.7109375" style="9" customWidth="1"/>
    <col min="3914" max="3914" width="10.7109375" customWidth="1"/>
    <col min="3915" max="3915" width="11.7109375" style="9" customWidth="1"/>
    <col min="3916" max="3916" width="10.7109375" customWidth="1"/>
    <col min="3917" max="3917" width="11.7109375" style="9" customWidth="1"/>
    <col min="3918" max="3918" width="10.7109375" customWidth="1"/>
    <col min="3919" max="3919" width="11.7109375" style="9" customWidth="1"/>
    <col min="3920" max="3920" width="10.7109375" customWidth="1"/>
    <col min="3921" max="3921" width="11.7109375" style="9" customWidth="1"/>
    <col min="3922" max="3922" width="10.7109375" customWidth="1"/>
    <col min="3923" max="3923" width="11.7109375" style="9" customWidth="1"/>
    <col min="3924" max="3924" width="10.7109375" customWidth="1"/>
    <col min="3925" max="3925" width="11.7109375" style="9" customWidth="1"/>
    <col min="3926" max="3926" width="10.7109375" customWidth="1"/>
    <col min="3927" max="3927" width="11.7109375" style="9" customWidth="1"/>
    <col min="3928" max="3928" width="10.7109375" customWidth="1"/>
    <col min="3929" max="3929" width="11.7109375" style="9" customWidth="1"/>
    <col min="3930" max="3930" width="10.7109375" customWidth="1"/>
    <col min="3931" max="3931" width="11.7109375" style="9" customWidth="1"/>
    <col min="3932" max="3932" width="10.7109375" customWidth="1"/>
    <col min="3933" max="3933" width="11.7109375" style="9" customWidth="1"/>
    <col min="3934" max="3934" width="10.7109375" customWidth="1"/>
    <col min="3935" max="3935" width="11.7109375" style="9" customWidth="1"/>
    <col min="3936" max="3936" width="10.7109375" customWidth="1"/>
    <col min="3937" max="3937" width="11.7109375" style="9" customWidth="1"/>
    <col min="3938" max="3938" width="10.7109375" customWidth="1"/>
    <col min="3939" max="3939" width="11.7109375" style="9" customWidth="1"/>
    <col min="3940" max="3940" width="10.7109375" customWidth="1"/>
    <col min="3941" max="3941" width="11.7109375" style="9" customWidth="1"/>
    <col min="3942" max="3942" width="10.7109375" customWidth="1"/>
    <col min="3943" max="3943" width="11.7109375" style="9" customWidth="1"/>
    <col min="3944" max="3944" width="10.7109375" customWidth="1"/>
    <col min="3945" max="3945" width="11.7109375" style="9" customWidth="1"/>
    <col min="3946" max="3946" width="10.7109375" customWidth="1"/>
    <col min="3947" max="3947" width="11.7109375" style="9" customWidth="1"/>
    <col min="3948" max="3948" width="10.7109375" customWidth="1"/>
    <col min="3949" max="3949" width="11.7109375" style="9" customWidth="1"/>
    <col min="3950" max="3950" width="10.7109375" customWidth="1"/>
    <col min="3951" max="3951" width="11.7109375" style="9" customWidth="1"/>
    <col min="3952" max="3952" width="10.7109375" customWidth="1"/>
    <col min="3953" max="3953" width="11.7109375" style="9" customWidth="1"/>
    <col min="3954" max="3954" width="10.7109375" customWidth="1"/>
    <col min="3955" max="3955" width="11.7109375" style="9" customWidth="1"/>
    <col min="3956" max="3956" width="10.7109375" customWidth="1"/>
    <col min="3957" max="3957" width="11.7109375" style="9" customWidth="1"/>
    <col min="3958" max="3958" width="10.7109375" customWidth="1"/>
    <col min="3959" max="3959" width="11.7109375" style="9" customWidth="1"/>
    <col min="3960" max="3960" width="10.7109375" customWidth="1"/>
    <col min="3961" max="3961" width="11.7109375" style="9" customWidth="1"/>
    <col min="3962" max="3962" width="10.7109375" customWidth="1"/>
    <col min="3963" max="3963" width="11.7109375" style="9" customWidth="1"/>
    <col min="3964" max="3964" width="10.7109375" customWidth="1"/>
    <col min="3965" max="3965" width="11.7109375" style="9" customWidth="1"/>
    <col min="3966" max="3966" width="10.7109375" customWidth="1"/>
    <col min="3967" max="3967" width="11.7109375" style="9" customWidth="1"/>
    <col min="3968" max="3968" width="10.7109375" customWidth="1"/>
    <col min="3969" max="3969" width="11.7109375" style="9" customWidth="1"/>
    <col min="3970" max="3970" width="10.7109375" customWidth="1"/>
    <col min="3971" max="3971" width="11.7109375" style="9" customWidth="1"/>
    <col min="3972" max="3972" width="10.7109375" customWidth="1"/>
    <col min="3973" max="3973" width="11.7109375" style="9" customWidth="1"/>
    <col min="3974" max="3974" width="10.7109375" customWidth="1"/>
    <col min="3975" max="3975" width="11.7109375" style="9" customWidth="1"/>
    <col min="3976" max="3976" width="10.7109375" customWidth="1"/>
    <col min="3977" max="3977" width="11.7109375" style="9" customWidth="1"/>
    <col min="3978" max="3978" width="10.7109375" customWidth="1"/>
    <col min="3979" max="3979" width="11.7109375" style="9" customWidth="1"/>
    <col min="3980" max="3980" width="10.7109375" customWidth="1"/>
    <col min="3981" max="3981" width="11.7109375" style="9" customWidth="1"/>
    <col min="3982" max="3982" width="10.7109375" customWidth="1"/>
    <col min="3983" max="3983" width="11.7109375" style="9" customWidth="1"/>
    <col min="3984" max="3984" width="10.7109375" customWidth="1"/>
    <col min="3985" max="3985" width="11.7109375" style="9" customWidth="1"/>
    <col min="3986" max="3986" width="10.7109375" customWidth="1"/>
    <col min="3987" max="3987" width="11.7109375" style="9" customWidth="1"/>
    <col min="3988" max="3988" width="10.7109375" customWidth="1"/>
    <col min="3989" max="3989" width="11.7109375" style="9" customWidth="1"/>
    <col min="3990" max="3990" width="10.7109375" customWidth="1"/>
    <col min="3991" max="3991" width="11.7109375" style="9" customWidth="1"/>
    <col min="3992" max="3992" width="10.7109375" customWidth="1"/>
    <col min="3993" max="3993" width="11.7109375" style="9" customWidth="1"/>
    <col min="3994" max="3994" width="10.7109375" customWidth="1"/>
    <col min="3995" max="3995" width="11.7109375" style="9" customWidth="1"/>
    <col min="3996" max="3996" width="10.7109375" customWidth="1"/>
    <col min="3997" max="3997" width="11.7109375" style="9" customWidth="1"/>
    <col min="3998" max="3998" width="10.7109375" customWidth="1"/>
    <col min="3999" max="3999" width="11.7109375" style="9" customWidth="1"/>
    <col min="4000" max="4000" width="10.7109375" customWidth="1"/>
  </cols>
  <sheetData>
    <row r="1" spans="1:4000">
      <c r="A1" s="11">
        <f>IF(OR(SwitchPB&lt;&gt;"ON",Universe!$B$2=""),"",Universe!$B$2)</f>
        <v/>
      </c>
      <c r="C1" s="11">
        <f>IF(OR(SwitchPB&lt;&gt;"ON",Universe!$B$3=""),"",Universe!$B$3)</f>
        <v/>
      </c>
      <c r="E1" s="11">
        <f>IF(OR(SwitchPB&lt;&gt;"ON",Universe!$B$4=""),"",Universe!$B$4)</f>
        <v/>
      </c>
      <c r="G1" s="11">
        <f>IF(OR(SwitchPB&lt;&gt;"ON",Universe!$B$5=""),"",Universe!$B$5)</f>
        <v/>
      </c>
      <c r="I1" s="11">
        <f>IF(OR(SwitchPB&lt;&gt;"ON",Universe!$B$6=""),"",Universe!$B$6)</f>
        <v/>
      </c>
      <c r="K1" s="11">
        <f>IF(OR(SwitchPB&lt;&gt;"ON",Universe!$B$7=""),"",Universe!$B$7)</f>
        <v/>
      </c>
      <c r="M1" s="11">
        <f>IF(OR(SwitchPB&lt;&gt;"ON",Universe!$B$8=""),"",Universe!$B$8)</f>
        <v/>
      </c>
      <c r="O1" s="11">
        <f>IF(OR(SwitchPB&lt;&gt;"ON",Universe!$B$9=""),"",Universe!$B$9)</f>
        <v/>
      </c>
      <c r="Q1" s="11">
        <f>IF(OR(SwitchPB&lt;&gt;"ON",Universe!$B$10=""),"",Universe!$B$10)</f>
        <v/>
      </c>
      <c r="S1" s="11">
        <f>IF(OR(SwitchPB&lt;&gt;"ON",Universe!$B$11=""),"",Universe!$B$11)</f>
        <v/>
      </c>
      <c r="U1" s="11">
        <f>IF(OR(SwitchPB&lt;&gt;"ON",Universe!$B$12=""),"",Universe!$B$12)</f>
        <v/>
      </c>
      <c r="W1" s="11">
        <f>IF(OR(SwitchPB&lt;&gt;"ON",Universe!$B$13=""),"",Universe!$B$13)</f>
        <v/>
      </c>
      <c r="Y1" s="11">
        <f>IF(OR(SwitchPB&lt;&gt;"ON",Universe!$B$14=""),"",Universe!$B$14)</f>
        <v/>
      </c>
      <c r="AA1" s="11">
        <f>IF(OR(SwitchPB&lt;&gt;"ON",Universe!$B$15=""),"",Universe!$B$15)</f>
        <v/>
      </c>
      <c r="AC1" s="11">
        <f>IF(OR(SwitchPB&lt;&gt;"ON",Universe!$B$16=""),"",Universe!$B$16)</f>
        <v/>
      </c>
      <c r="AE1" s="11">
        <f>IF(OR(SwitchPB&lt;&gt;"ON",Universe!$B$17=""),"",Universe!$B$17)</f>
        <v/>
      </c>
      <c r="AG1" s="11">
        <f>IF(OR(SwitchPB&lt;&gt;"ON",Universe!$B$18=""),"",Universe!$B$18)</f>
        <v/>
      </c>
      <c r="AI1" s="11">
        <f>IF(OR(SwitchPB&lt;&gt;"ON",Universe!$B$19=""),"",Universe!$B$19)</f>
        <v/>
      </c>
      <c r="AK1" s="11">
        <f>IF(OR(SwitchPB&lt;&gt;"ON",Universe!$B$20=""),"",Universe!$B$20)</f>
        <v/>
      </c>
      <c r="AM1" s="11">
        <f>IF(OR(SwitchPB&lt;&gt;"ON",Universe!$B$21=""),"",Universe!$B$21)</f>
        <v/>
      </c>
      <c r="AO1" s="11">
        <f>IF(OR(SwitchPB&lt;&gt;"ON",Universe!$B$22=""),"",Universe!$B$22)</f>
        <v/>
      </c>
      <c r="AQ1" s="11">
        <f>IF(OR(SwitchPB&lt;&gt;"ON",Universe!$B$23=""),"",Universe!$B$23)</f>
        <v/>
      </c>
      <c r="AS1" s="11">
        <f>IF(OR(SwitchPB&lt;&gt;"ON",Universe!$B$24=""),"",Universe!$B$24)</f>
        <v/>
      </c>
      <c r="AU1" s="11">
        <f>IF(OR(SwitchPB&lt;&gt;"ON",Universe!$B$25=""),"",Universe!$B$25)</f>
        <v/>
      </c>
      <c r="AW1" s="11">
        <f>IF(OR(SwitchPB&lt;&gt;"ON",Universe!$B$26=""),"",Universe!$B$26)</f>
        <v/>
      </c>
      <c r="AY1" s="11">
        <f>IF(OR(SwitchPB&lt;&gt;"ON",Universe!$B$27=""),"",Universe!$B$27)</f>
        <v/>
      </c>
      <c r="BA1" s="11">
        <f>IF(OR(SwitchPB&lt;&gt;"ON",Universe!$B$28=""),"",Universe!$B$28)</f>
        <v/>
      </c>
      <c r="BC1" s="11">
        <f>IF(OR(SwitchPB&lt;&gt;"ON",Universe!$B$29=""),"",Universe!$B$29)</f>
        <v/>
      </c>
      <c r="BE1" s="11">
        <f>IF(OR(SwitchPB&lt;&gt;"ON",Universe!$B$30=""),"",Universe!$B$30)</f>
        <v/>
      </c>
      <c r="BG1" s="11">
        <f>IF(OR(SwitchPB&lt;&gt;"ON",Universe!$B$31=""),"",Universe!$B$31)</f>
        <v/>
      </c>
      <c r="BI1" s="11">
        <f>IF(OR(SwitchPB&lt;&gt;"ON",Universe!$B$32=""),"",Universe!$B$32)</f>
        <v/>
      </c>
      <c r="BK1" s="11">
        <f>IF(OR(SwitchPB&lt;&gt;"ON",Universe!$B$33=""),"",Universe!$B$33)</f>
        <v/>
      </c>
      <c r="BM1" s="11">
        <f>IF(OR(SwitchPB&lt;&gt;"ON",Universe!$B$34=""),"",Universe!$B$34)</f>
        <v/>
      </c>
      <c r="BO1" s="11">
        <f>IF(OR(SwitchPB&lt;&gt;"ON",Universe!$B$35=""),"",Universe!$B$35)</f>
        <v/>
      </c>
      <c r="BQ1" s="11">
        <f>IF(OR(SwitchPB&lt;&gt;"ON",Universe!$B$36=""),"",Universe!$B$36)</f>
        <v/>
      </c>
      <c r="BS1" s="11">
        <f>IF(OR(SwitchPB&lt;&gt;"ON",Universe!$B$37=""),"",Universe!$B$37)</f>
        <v/>
      </c>
      <c r="BU1" s="11">
        <f>IF(OR(SwitchPB&lt;&gt;"ON",Universe!$B$38=""),"",Universe!$B$38)</f>
        <v/>
      </c>
      <c r="BW1" s="11">
        <f>IF(OR(SwitchPB&lt;&gt;"ON",Universe!$B$39=""),"",Universe!$B$39)</f>
        <v/>
      </c>
      <c r="BY1" s="11">
        <f>IF(OR(SwitchPB&lt;&gt;"ON",Universe!$B$40=""),"",Universe!$B$40)</f>
        <v/>
      </c>
      <c r="CA1" s="11">
        <f>IF(OR(SwitchPB&lt;&gt;"ON",Universe!$B$41=""),"",Universe!$B$41)</f>
        <v/>
      </c>
      <c r="CC1" s="11">
        <f>IF(OR(SwitchPB&lt;&gt;"ON",Universe!$B$42=""),"",Universe!$B$42)</f>
        <v/>
      </c>
      <c r="CE1" s="11">
        <f>IF(OR(SwitchPB&lt;&gt;"ON",Universe!$B$43=""),"",Universe!$B$43)</f>
        <v/>
      </c>
      <c r="CG1" s="11">
        <f>IF(OR(SwitchPB&lt;&gt;"ON",Universe!$B$44=""),"",Universe!$B$44)</f>
        <v/>
      </c>
      <c r="CI1" s="11">
        <f>IF(OR(SwitchPB&lt;&gt;"ON",Universe!$B$45=""),"",Universe!$B$45)</f>
        <v/>
      </c>
      <c r="CK1" s="11">
        <f>IF(OR(SwitchPB&lt;&gt;"ON",Universe!$B$46=""),"",Universe!$B$46)</f>
        <v/>
      </c>
      <c r="CM1" s="11">
        <f>IF(OR(SwitchPB&lt;&gt;"ON",Universe!$B$47=""),"",Universe!$B$47)</f>
        <v/>
      </c>
      <c r="CO1" s="11">
        <f>IF(OR(SwitchPB&lt;&gt;"ON",Universe!$B$48=""),"",Universe!$B$48)</f>
        <v/>
      </c>
      <c r="CQ1" s="11">
        <f>IF(OR(SwitchPB&lt;&gt;"ON",Universe!$B$49=""),"",Universe!$B$49)</f>
        <v/>
      </c>
      <c r="CS1" s="11">
        <f>IF(OR(SwitchPB&lt;&gt;"ON",Universe!$B$50=""),"",Universe!$B$50)</f>
        <v/>
      </c>
      <c r="CU1" s="11">
        <f>IF(OR(SwitchPB&lt;&gt;"ON",Universe!$B$51=""),"",Universe!$B$51)</f>
        <v/>
      </c>
      <c r="CW1" s="11">
        <f>IF(OR(SwitchPB&lt;&gt;"ON",Universe!$B$52=""),"",Universe!$B$52)</f>
        <v/>
      </c>
      <c r="CY1" s="11">
        <f>IF(OR(SwitchPB&lt;&gt;"ON",Universe!$B$53=""),"",Universe!$B$53)</f>
        <v/>
      </c>
      <c r="DA1" s="11">
        <f>IF(OR(SwitchPB&lt;&gt;"ON",Universe!$B$54=""),"",Universe!$B$54)</f>
        <v/>
      </c>
      <c r="DC1" s="11">
        <f>IF(OR(SwitchPB&lt;&gt;"ON",Universe!$B$55=""),"",Universe!$B$55)</f>
        <v/>
      </c>
      <c r="DE1" s="11">
        <f>IF(OR(SwitchPB&lt;&gt;"ON",Universe!$B$56=""),"",Universe!$B$56)</f>
        <v/>
      </c>
      <c r="DG1" s="11">
        <f>IF(OR(SwitchPB&lt;&gt;"ON",Universe!$B$57=""),"",Universe!$B$57)</f>
        <v/>
      </c>
      <c r="DI1" s="11">
        <f>IF(OR(SwitchPB&lt;&gt;"ON",Universe!$B$58=""),"",Universe!$B$58)</f>
        <v/>
      </c>
      <c r="DK1" s="11">
        <f>IF(OR(SwitchPB&lt;&gt;"ON",Universe!$B$59=""),"",Universe!$B$59)</f>
        <v/>
      </c>
      <c r="DM1" s="11">
        <f>IF(OR(SwitchPB&lt;&gt;"ON",Universe!$B$60=""),"",Universe!$B$60)</f>
        <v/>
      </c>
      <c r="DO1" s="11">
        <f>IF(OR(SwitchPB&lt;&gt;"ON",Universe!$B$61=""),"",Universe!$B$61)</f>
        <v/>
      </c>
      <c r="DQ1" s="11">
        <f>IF(OR(SwitchPB&lt;&gt;"ON",Universe!$B$62=""),"",Universe!$B$62)</f>
        <v/>
      </c>
      <c r="DS1" s="11">
        <f>IF(OR(SwitchPB&lt;&gt;"ON",Universe!$B$63=""),"",Universe!$B$63)</f>
        <v/>
      </c>
      <c r="DU1" s="11">
        <f>IF(OR(SwitchPB&lt;&gt;"ON",Universe!$B$64=""),"",Universe!$B$64)</f>
        <v/>
      </c>
      <c r="DW1" s="11">
        <f>IF(OR(SwitchPB&lt;&gt;"ON",Universe!$B$65=""),"",Universe!$B$65)</f>
        <v/>
      </c>
      <c r="DY1" s="11">
        <f>IF(OR(SwitchPB&lt;&gt;"ON",Universe!$B$66=""),"",Universe!$B$66)</f>
        <v/>
      </c>
      <c r="EA1" s="11">
        <f>IF(OR(SwitchPB&lt;&gt;"ON",Universe!$B$67=""),"",Universe!$B$67)</f>
        <v/>
      </c>
      <c r="EC1" s="11">
        <f>IF(OR(SwitchPB&lt;&gt;"ON",Universe!$B$68=""),"",Universe!$B$68)</f>
        <v/>
      </c>
      <c r="EE1" s="11">
        <f>IF(OR(SwitchPB&lt;&gt;"ON",Universe!$B$69=""),"",Universe!$B$69)</f>
        <v/>
      </c>
      <c r="EG1" s="11">
        <f>IF(OR(SwitchPB&lt;&gt;"ON",Universe!$B$70=""),"",Universe!$B$70)</f>
        <v/>
      </c>
      <c r="EI1" s="11">
        <f>IF(OR(SwitchPB&lt;&gt;"ON",Universe!$B$71=""),"",Universe!$B$71)</f>
        <v/>
      </c>
      <c r="EK1" s="11">
        <f>IF(OR(SwitchPB&lt;&gt;"ON",Universe!$B$72=""),"",Universe!$B$72)</f>
        <v/>
      </c>
      <c r="EM1" s="11">
        <f>IF(OR(SwitchPB&lt;&gt;"ON",Universe!$B$73=""),"",Universe!$B$73)</f>
        <v/>
      </c>
      <c r="EO1" s="11">
        <f>IF(OR(SwitchPB&lt;&gt;"ON",Universe!$B$74=""),"",Universe!$B$74)</f>
        <v/>
      </c>
      <c r="EQ1" s="11">
        <f>IF(OR(SwitchPB&lt;&gt;"ON",Universe!$B$75=""),"",Universe!$B$75)</f>
        <v/>
      </c>
      <c r="ES1" s="11">
        <f>IF(OR(SwitchPB&lt;&gt;"ON",Universe!$B$76=""),"",Universe!$B$76)</f>
        <v/>
      </c>
      <c r="EU1" s="11">
        <f>IF(OR(SwitchPB&lt;&gt;"ON",Universe!$B$77=""),"",Universe!$B$77)</f>
        <v/>
      </c>
      <c r="EW1" s="11">
        <f>IF(OR(SwitchPB&lt;&gt;"ON",Universe!$B$78=""),"",Universe!$B$78)</f>
        <v/>
      </c>
      <c r="EY1" s="11">
        <f>IF(OR(SwitchPB&lt;&gt;"ON",Universe!$B$79=""),"",Universe!$B$79)</f>
        <v/>
      </c>
      <c r="FA1" s="11">
        <f>IF(OR(SwitchPB&lt;&gt;"ON",Universe!$B$80=""),"",Universe!$B$80)</f>
        <v/>
      </c>
      <c r="FC1" s="11">
        <f>IF(OR(SwitchPB&lt;&gt;"ON",Universe!$B$81=""),"",Universe!$B$81)</f>
        <v/>
      </c>
      <c r="FE1" s="11">
        <f>IF(OR(SwitchPB&lt;&gt;"ON",Universe!$B$82=""),"",Universe!$B$82)</f>
        <v/>
      </c>
      <c r="FG1" s="11">
        <f>IF(OR(SwitchPB&lt;&gt;"ON",Universe!$B$83=""),"",Universe!$B$83)</f>
        <v/>
      </c>
      <c r="FI1" s="11">
        <f>IF(OR(SwitchPB&lt;&gt;"ON",Universe!$B$84=""),"",Universe!$B$84)</f>
        <v/>
      </c>
      <c r="FK1" s="11">
        <f>IF(OR(SwitchPB&lt;&gt;"ON",Universe!$B$85=""),"",Universe!$B$85)</f>
        <v/>
      </c>
      <c r="FM1" s="11">
        <f>IF(OR(SwitchPB&lt;&gt;"ON",Universe!$B$86=""),"",Universe!$B$86)</f>
        <v/>
      </c>
      <c r="FO1" s="11">
        <f>IF(OR(SwitchPB&lt;&gt;"ON",Universe!$B$87=""),"",Universe!$B$87)</f>
        <v/>
      </c>
      <c r="FQ1" s="11">
        <f>IF(OR(SwitchPB&lt;&gt;"ON",Universe!$B$88=""),"",Universe!$B$88)</f>
        <v/>
      </c>
      <c r="FS1" s="11">
        <f>IF(OR(SwitchPB&lt;&gt;"ON",Universe!$B$89=""),"",Universe!$B$89)</f>
        <v/>
      </c>
      <c r="FU1" s="11">
        <f>IF(OR(SwitchPB&lt;&gt;"ON",Universe!$B$90=""),"",Universe!$B$90)</f>
        <v/>
      </c>
      <c r="FW1" s="11">
        <f>IF(OR(SwitchPB&lt;&gt;"ON",Universe!$B$91=""),"",Universe!$B$91)</f>
        <v/>
      </c>
      <c r="FY1" s="11">
        <f>IF(OR(SwitchPB&lt;&gt;"ON",Universe!$B$92=""),"",Universe!$B$92)</f>
        <v/>
      </c>
      <c r="GA1" s="11">
        <f>IF(OR(SwitchPB&lt;&gt;"ON",Universe!$B$93=""),"",Universe!$B$93)</f>
        <v/>
      </c>
      <c r="GC1" s="11">
        <f>IF(OR(SwitchPB&lt;&gt;"ON",Universe!$B$94=""),"",Universe!$B$94)</f>
        <v/>
      </c>
      <c r="GE1" s="11">
        <f>IF(OR(SwitchPB&lt;&gt;"ON",Universe!$B$95=""),"",Universe!$B$95)</f>
        <v/>
      </c>
      <c r="GG1" s="11">
        <f>IF(OR(SwitchPB&lt;&gt;"ON",Universe!$B$96=""),"",Universe!$B$96)</f>
        <v/>
      </c>
      <c r="GI1" s="11">
        <f>IF(OR(SwitchPB&lt;&gt;"ON",Universe!$B$97=""),"",Universe!$B$97)</f>
        <v/>
      </c>
      <c r="GK1" s="11">
        <f>IF(OR(SwitchPB&lt;&gt;"ON",Universe!$B$98=""),"",Universe!$B$98)</f>
        <v/>
      </c>
      <c r="GM1" s="11">
        <f>IF(OR(SwitchPB&lt;&gt;"ON",Universe!$B$99=""),"",Universe!$B$99)</f>
        <v/>
      </c>
      <c r="GO1" s="11">
        <f>IF(OR(SwitchPB&lt;&gt;"ON",Universe!$B$100=""),"",Universe!$B$100)</f>
        <v/>
      </c>
      <c r="GQ1" s="11">
        <f>IF(OR(SwitchPB&lt;&gt;"ON",Universe!$B$101=""),"",Universe!$B$101)</f>
        <v/>
      </c>
      <c r="GS1" s="11">
        <f>IF(OR(SwitchPB&lt;&gt;"ON",Universe!$B$102=""),"",Universe!$B$102)</f>
        <v/>
      </c>
      <c r="GU1" s="11">
        <f>IF(OR(SwitchPB&lt;&gt;"ON",Universe!$B$103=""),"",Universe!$B$103)</f>
        <v/>
      </c>
      <c r="GW1" s="11">
        <f>IF(OR(SwitchPB&lt;&gt;"ON",Universe!$B$104=""),"",Universe!$B$104)</f>
        <v/>
      </c>
      <c r="GY1" s="11">
        <f>IF(OR(SwitchPB&lt;&gt;"ON",Universe!$B$105=""),"",Universe!$B$105)</f>
        <v/>
      </c>
      <c r="HA1" s="11">
        <f>IF(OR(SwitchPB&lt;&gt;"ON",Universe!$B$106=""),"",Universe!$B$106)</f>
        <v/>
      </c>
      <c r="HC1" s="11">
        <f>IF(OR(SwitchPB&lt;&gt;"ON",Universe!$B$107=""),"",Universe!$B$107)</f>
        <v/>
      </c>
      <c r="HE1" s="11">
        <f>IF(OR(SwitchPB&lt;&gt;"ON",Universe!$B$108=""),"",Universe!$B$108)</f>
        <v/>
      </c>
      <c r="HG1" s="11">
        <f>IF(OR(SwitchPB&lt;&gt;"ON",Universe!$B$109=""),"",Universe!$B$109)</f>
        <v/>
      </c>
      <c r="HI1" s="11">
        <f>IF(OR(SwitchPB&lt;&gt;"ON",Universe!$B$110=""),"",Universe!$B$110)</f>
        <v/>
      </c>
      <c r="HK1" s="11">
        <f>IF(OR(SwitchPB&lt;&gt;"ON",Universe!$B$111=""),"",Universe!$B$111)</f>
        <v/>
      </c>
      <c r="HM1" s="11">
        <f>IF(OR(SwitchPB&lt;&gt;"ON",Universe!$B$112=""),"",Universe!$B$112)</f>
        <v/>
      </c>
      <c r="HO1" s="11">
        <f>IF(OR(SwitchPB&lt;&gt;"ON",Universe!$B$113=""),"",Universe!$B$113)</f>
        <v/>
      </c>
      <c r="HQ1" s="11">
        <f>IF(OR(SwitchPB&lt;&gt;"ON",Universe!$B$114=""),"",Universe!$B$114)</f>
        <v/>
      </c>
      <c r="HS1" s="11">
        <f>IF(OR(SwitchPB&lt;&gt;"ON",Universe!$B$115=""),"",Universe!$B$115)</f>
        <v/>
      </c>
      <c r="HU1" s="11">
        <f>IF(OR(SwitchPB&lt;&gt;"ON",Universe!$B$116=""),"",Universe!$B$116)</f>
        <v/>
      </c>
      <c r="HW1" s="11">
        <f>IF(OR(SwitchPB&lt;&gt;"ON",Universe!$B$117=""),"",Universe!$B$117)</f>
        <v/>
      </c>
      <c r="HY1" s="11">
        <f>IF(OR(SwitchPB&lt;&gt;"ON",Universe!$B$118=""),"",Universe!$B$118)</f>
        <v/>
      </c>
      <c r="IA1" s="11">
        <f>IF(OR(SwitchPB&lt;&gt;"ON",Universe!$B$119=""),"",Universe!$B$119)</f>
        <v/>
      </c>
      <c r="IC1" s="11">
        <f>IF(OR(SwitchPB&lt;&gt;"ON",Universe!$B$120=""),"",Universe!$B$120)</f>
        <v/>
      </c>
      <c r="IE1" s="11">
        <f>IF(OR(SwitchPB&lt;&gt;"ON",Universe!$B$121=""),"",Universe!$B$121)</f>
        <v/>
      </c>
      <c r="IG1" s="11">
        <f>IF(OR(SwitchPB&lt;&gt;"ON",Universe!$B$122=""),"",Universe!$B$122)</f>
        <v/>
      </c>
      <c r="II1" s="11">
        <f>IF(OR(SwitchPB&lt;&gt;"ON",Universe!$B$123=""),"",Universe!$B$123)</f>
        <v/>
      </c>
      <c r="IK1" s="11">
        <f>IF(OR(SwitchPB&lt;&gt;"ON",Universe!$B$124=""),"",Universe!$B$124)</f>
        <v/>
      </c>
      <c r="IM1" s="11">
        <f>IF(OR(SwitchPB&lt;&gt;"ON",Universe!$B$125=""),"",Universe!$B$125)</f>
        <v/>
      </c>
      <c r="IO1" s="11">
        <f>IF(OR(SwitchPB&lt;&gt;"ON",Universe!$B$126=""),"",Universe!$B$126)</f>
        <v/>
      </c>
      <c r="IQ1" s="11">
        <f>IF(OR(SwitchPB&lt;&gt;"ON",Universe!$B$127=""),"",Universe!$B$127)</f>
        <v/>
      </c>
      <c r="IS1" s="11">
        <f>IF(OR(SwitchPB&lt;&gt;"ON",Universe!$B$128=""),"",Universe!$B$128)</f>
        <v/>
      </c>
      <c r="IU1" s="11">
        <f>IF(OR(SwitchPB&lt;&gt;"ON",Universe!$B$129=""),"",Universe!$B$129)</f>
        <v/>
      </c>
      <c r="IW1" s="11">
        <f>IF(OR(SwitchPB&lt;&gt;"ON",Universe!$B$130=""),"",Universe!$B$130)</f>
        <v/>
      </c>
      <c r="IY1" s="11">
        <f>IF(OR(SwitchPB&lt;&gt;"ON",Universe!$B$131=""),"",Universe!$B$131)</f>
        <v/>
      </c>
      <c r="JA1" s="11">
        <f>IF(OR(SwitchPB&lt;&gt;"ON",Universe!$B$132=""),"",Universe!$B$132)</f>
        <v/>
      </c>
      <c r="JC1" s="11">
        <f>IF(OR(SwitchPB&lt;&gt;"ON",Universe!$B$133=""),"",Universe!$B$133)</f>
        <v/>
      </c>
      <c r="JE1" s="11">
        <f>IF(OR(SwitchPB&lt;&gt;"ON",Universe!$B$134=""),"",Universe!$B$134)</f>
        <v/>
      </c>
      <c r="JG1" s="11">
        <f>IF(OR(SwitchPB&lt;&gt;"ON",Universe!$B$135=""),"",Universe!$B$135)</f>
        <v/>
      </c>
      <c r="JI1" s="11">
        <f>IF(OR(SwitchPB&lt;&gt;"ON",Universe!$B$136=""),"",Universe!$B$136)</f>
        <v/>
      </c>
      <c r="JK1" s="11">
        <f>IF(OR(SwitchPB&lt;&gt;"ON",Universe!$B$137=""),"",Universe!$B$137)</f>
        <v/>
      </c>
      <c r="JM1" s="11">
        <f>IF(OR(SwitchPB&lt;&gt;"ON",Universe!$B$138=""),"",Universe!$B$138)</f>
        <v/>
      </c>
      <c r="JO1" s="11">
        <f>IF(OR(SwitchPB&lt;&gt;"ON",Universe!$B$139=""),"",Universe!$B$139)</f>
        <v/>
      </c>
      <c r="JQ1" s="11">
        <f>IF(OR(SwitchPB&lt;&gt;"ON",Universe!$B$140=""),"",Universe!$B$140)</f>
        <v/>
      </c>
      <c r="JS1" s="11">
        <f>IF(OR(SwitchPB&lt;&gt;"ON",Universe!$B$141=""),"",Universe!$B$141)</f>
        <v/>
      </c>
      <c r="JU1" s="11">
        <f>IF(OR(SwitchPB&lt;&gt;"ON",Universe!$B$142=""),"",Universe!$B$142)</f>
        <v/>
      </c>
      <c r="JW1" s="11">
        <f>IF(OR(SwitchPB&lt;&gt;"ON",Universe!$B$143=""),"",Universe!$B$143)</f>
        <v/>
      </c>
      <c r="JY1" s="11">
        <f>IF(OR(SwitchPB&lt;&gt;"ON",Universe!$B$144=""),"",Universe!$B$144)</f>
        <v/>
      </c>
      <c r="KA1" s="11">
        <f>IF(OR(SwitchPB&lt;&gt;"ON",Universe!$B$145=""),"",Universe!$B$145)</f>
        <v/>
      </c>
      <c r="KC1" s="11">
        <f>IF(OR(SwitchPB&lt;&gt;"ON",Universe!$B$146=""),"",Universe!$B$146)</f>
        <v/>
      </c>
      <c r="KE1" s="11">
        <f>IF(OR(SwitchPB&lt;&gt;"ON",Universe!$B$147=""),"",Universe!$B$147)</f>
        <v/>
      </c>
      <c r="KG1" s="11">
        <f>IF(OR(SwitchPB&lt;&gt;"ON",Universe!$B$148=""),"",Universe!$B$148)</f>
        <v/>
      </c>
      <c r="KI1" s="11">
        <f>IF(OR(SwitchPB&lt;&gt;"ON",Universe!$B$149=""),"",Universe!$B$149)</f>
        <v/>
      </c>
      <c r="KK1" s="11">
        <f>IF(OR(SwitchPB&lt;&gt;"ON",Universe!$B$150=""),"",Universe!$B$150)</f>
        <v/>
      </c>
      <c r="KM1" s="11">
        <f>IF(OR(SwitchPB&lt;&gt;"ON",Universe!$B$151=""),"",Universe!$B$151)</f>
        <v/>
      </c>
      <c r="KO1" s="11">
        <f>IF(OR(SwitchPB&lt;&gt;"ON",Universe!$B$152=""),"",Universe!$B$152)</f>
        <v/>
      </c>
      <c r="KQ1" s="11">
        <f>IF(OR(SwitchPB&lt;&gt;"ON",Universe!$B$153=""),"",Universe!$B$153)</f>
        <v/>
      </c>
      <c r="KS1" s="11">
        <f>IF(OR(SwitchPB&lt;&gt;"ON",Universe!$B$154=""),"",Universe!$B$154)</f>
        <v/>
      </c>
      <c r="KU1" s="11">
        <f>IF(OR(SwitchPB&lt;&gt;"ON",Universe!$B$155=""),"",Universe!$B$155)</f>
        <v/>
      </c>
      <c r="KW1" s="11">
        <f>IF(OR(SwitchPB&lt;&gt;"ON",Universe!$B$156=""),"",Universe!$B$156)</f>
        <v/>
      </c>
      <c r="KY1" s="11">
        <f>IF(OR(SwitchPB&lt;&gt;"ON",Universe!$B$157=""),"",Universe!$B$157)</f>
        <v/>
      </c>
      <c r="LA1" s="11">
        <f>IF(OR(SwitchPB&lt;&gt;"ON",Universe!$B$158=""),"",Universe!$B$158)</f>
        <v/>
      </c>
      <c r="LC1" s="11">
        <f>IF(OR(SwitchPB&lt;&gt;"ON",Universe!$B$159=""),"",Universe!$B$159)</f>
        <v/>
      </c>
      <c r="LE1" s="11">
        <f>IF(OR(SwitchPB&lt;&gt;"ON",Universe!$B$160=""),"",Universe!$B$160)</f>
        <v/>
      </c>
      <c r="LG1" s="11">
        <f>IF(OR(SwitchPB&lt;&gt;"ON",Universe!$B$161=""),"",Universe!$B$161)</f>
        <v/>
      </c>
      <c r="LI1" s="11">
        <f>IF(OR(SwitchPB&lt;&gt;"ON",Universe!$B$162=""),"",Universe!$B$162)</f>
        <v/>
      </c>
      <c r="LK1" s="11">
        <f>IF(OR(SwitchPB&lt;&gt;"ON",Universe!$B$163=""),"",Universe!$B$163)</f>
        <v/>
      </c>
      <c r="LM1" s="11">
        <f>IF(OR(SwitchPB&lt;&gt;"ON",Universe!$B$164=""),"",Universe!$B$164)</f>
        <v/>
      </c>
      <c r="LO1" s="11">
        <f>IF(OR(SwitchPB&lt;&gt;"ON",Universe!$B$165=""),"",Universe!$B$165)</f>
        <v/>
      </c>
      <c r="LQ1" s="11">
        <f>IF(OR(SwitchPB&lt;&gt;"ON",Universe!$B$166=""),"",Universe!$B$166)</f>
        <v/>
      </c>
      <c r="LS1" s="11">
        <f>IF(OR(SwitchPB&lt;&gt;"ON",Universe!$B$167=""),"",Universe!$B$167)</f>
        <v/>
      </c>
      <c r="LU1" s="11">
        <f>IF(OR(SwitchPB&lt;&gt;"ON",Universe!$B$168=""),"",Universe!$B$168)</f>
        <v/>
      </c>
      <c r="LW1" s="11">
        <f>IF(OR(SwitchPB&lt;&gt;"ON",Universe!$B$169=""),"",Universe!$B$169)</f>
        <v/>
      </c>
      <c r="LY1" s="11">
        <f>IF(OR(SwitchPB&lt;&gt;"ON",Universe!$B$170=""),"",Universe!$B$170)</f>
        <v/>
      </c>
      <c r="MA1" s="11">
        <f>IF(OR(SwitchPB&lt;&gt;"ON",Universe!$B$171=""),"",Universe!$B$171)</f>
        <v/>
      </c>
      <c r="MC1" s="11">
        <f>IF(OR(SwitchPB&lt;&gt;"ON",Universe!$B$172=""),"",Universe!$B$172)</f>
        <v/>
      </c>
      <c r="ME1" s="11">
        <f>IF(OR(SwitchPB&lt;&gt;"ON",Universe!$B$173=""),"",Universe!$B$173)</f>
        <v/>
      </c>
      <c r="MG1" s="11">
        <f>IF(OR(SwitchPB&lt;&gt;"ON",Universe!$B$174=""),"",Universe!$B$174)</f>
        <v/>
      </c>
      <c r="MI1" s="11">
        <f>IF(OR(SwitchPB&lt;&gt;"ON",Universe!$B$175=""),"",Universe!$B$175)</f>
        <v/>
      </c>
      <c r="MK1" s="11">
        <f>IF(OR(SwitchPB&lt;&gt;"ON",Universe!$B$176=""),"",Universe!$B$176)</f>
        <v/>
      </c>
      <c r="MM1" s="11">
        <f>IF(OR(SwitchPB&lt;&gt;"ON",Universe!$B$177=""),"",Universe!$B$177)</f>
        <v/>
      </c>
      <c r="MO1" s="11">
        <f>IF(OR(SwitchPB&lt;&gt;"ON",Universe!$B$178=""),"",Universe!$B$178)</f>
        <v/>
      </c>
      <c r="MQ1" s="11">
        <f>IF(OR(SwitchPB&lt;&gt;"ON",Universe!$B$179=""),"",Universe!$B$179)</f>
        <v/>
      </c>
      <c r="MS1" s="11">
        <f>IF(OR(SwitchPB&lt;&gt;"ON",Universe!$B$180=""),"",Universe!$B$180)</f>
        <v/>
      </c>
      <c r="MU1" s="11">
        <f>IF(OR(SwitchPB&lt;&gt;"ON",Universe!$B$181=""),"",Universe!$B$181)</f>
        <v/>
      </c>
      <c r="MW1" s="11">
        <f>IF(OR(SwitchPB&lt;&gt;"ON",Universe!$B$182=""),"",Universe!$B$182)</f>
        <v/>
      </c>
      <c r="MY1" s="11">
        <f>IF(OR(SwitchPB&lt;&gt;"ON",Universe!$B$183=""),"",Universe!$B$183)</f>
        <v/>
      </c>
      <c r="NA1" s="11">
        <f>IF(OR(SwitchPB&lt;&gt;"ON",Universe!$B$184=""),"",Universe!$B$184)</f>
        <v/>
      </c>
      <c r="NC1" s="11">
        <f>IF(OR(SwitchPB&lt;&gt;"ON",Universe!$B$185=""),"",Universe!$B$185)</f>
        <v/>
      </c>
      <c r="NE1" s="11">
        <f>IF(OR(SwitchPB&lt;&gt;"ON",Universe!$B$186=""),"",Universe!$B$186)</f>
        <v/>
      </c>
      <c r="NG1" s="11">
        <f>IF(OR(SwitchPB&lt;&gt;"ON",Universe!$B$187=""),"",Universe!$B$187)</f>
        <v/>
      </c>
      <c r="NI1" s="11">
        <f>IF(OR(SwitchPB&lt;&gt;"ON",Universe!$B$188=""),"",Universe!$B$188)</f>
        <v/>
      </c>
      <c r="NK1" s="11">
        <f>IF(OR(SwitchPB&lt;&gt;"ON",Universe!$B$189=""),"",Universe!$B$189)</f>
        <v/>
      </c>
      <c r="NM1" s="11">
        <f>IF(OR(SwitchPB&lt;&gt;"ON",Universe!$B$190=""),"",Universe!$B$190)</f>
        <v/>
      </c>
      <c r="NO1" s="11">
        <f>IF(OR(SwitchPB&lt;&gt;"ON",Universe!$B$191=""),"",Universe!$B$191)</f>
        <v/>
      </c>
      <c r="NQ1" s="11">
        <f>IF(OR(SwitchPB&lt;&gt;"ON",Universe!$B$192=""),"",Universe!$B$192)</f>
        <v/>
      </c>
      <c r="NS1" s="11">
        <f>IF(OR(SwitchPB&lt;&gt;"ON",Universe!$B$193=""),"",Universe!$B$193)</f>
        <v/>
      </c>
      <c r="NU1" s="11">
        <f>IF(OR(SwitchPB&lt;&gt;"ON",Universe!$B$194=""),"",Universe!$B$194)</f>
        <v/>
      </c>
      <c r="NW1" s="11">
        <f>IF(OR(SwitchPB&lt;&gt;"ON",Universe!$B$195=""),"",Universe!$B$195)</f>
        <v/>
      </c>
      <c r="NY1" s="11">
        <f>IF(OR(SwitchPB&lt;&gt;"ON",Universe!$B$196=""),"",Universe!$B$196)</f>
        <v/>
      </c>
      <c r="OA1" s="11">
        <f>IF(OR(SwitchPB&lt;&gt;"ON",Universe!$B$197=""),"",Universe!$B$197)</f>
        <v/>
      </c>
      <c r="OC1" s="11">
        <f>IF(OR(SwitchPB&lt;&gt;"ON",Universe!$B$198=""),"",Universe!$B$198)</f>
        <v/>
      </c>
      <c r="OE1" s="11">
        <f>IF(OR(SwitchPB&lt;&gt;"ON",Universe!$B$199=""),"",Universe!$B$199)</f>
        <v/>
      </c>
      <c r="OG1" s="11">
        <f>IF(OR(SwitchPB&lt;&gt;"ON",Universe!$B$200=""),"",Universe!$B$200)</f>
        <v/>
      </c>
      <c r="OI1" s="11">
        <f>IF(OR(SwitchPB&lt;&gt;"ON",Universe!$B$201=""),"",Universe!$B$201)</f>
        <v/>
      </c>
      <c r="OK1" s="11">
        <f>IF(OR(SwitchPB&lt;&gt;"ON",Universe!$B$202=""),"",Universe!$B$202)</f>
        <v/>
      </c>
      <c r="OM1" s="11">
        <f>IF(OR(SwitchPB&lt;&gt;"ON",Universe!$B$203=""),"",Universe!$B$203)</f>
        <v/>
      </c>
      <c r="OO1" s="11">
        <f>IF(OR(SwitchPB&lt;&gt;"ON",Universe!$B$204=""),"",Universe!$B$204)</f>
        <v/>
      </c>
      <c r="OQ1" s="11">
        <f>IF(OR(SwitchPB&lt;&gt;"ON",Universe!$B$205=""),"",Universe!$B$205)</f>
        <v/>
      </c>
      <c r="OS1" s="11">
        <f>IF(OR(SwitchPB&lt;&gt;"ON",Universe!$B$206=""),"",Universe!$B$206)</f>
        <v/>
      </c>
      <c r="OU1" s="11">
        <f>IF(OR(SwitchPB&lt;&gt;"ON",Universe!$B$207=""),"",Universe!$B$207)</f>
        <v/>
      </c>
      <c r="OW1" s="11">
        <f>IF(OR(SwitchPB&lt;&gt;"ON",Universe!$B$208=""),"",Universe!$B$208)</f>
        <v/>
      </c>
      <c r="OY1" s="11">
        <f>IF(OR(SwitchPB&lt;&gt;"ON",Universe!$B$209=""),"",Universe!$B$209)</f>
        <v/>
      </c>
      <c r="PA1" s="11">
        <f>IF(OR(SwitchPB&lt;&gt;"ON",Universe!$B$210=""),"",Universe!$B$210)</f>
        <v/>
      </c>
      <c r="PC1" s="11">
        <f>IF(OR(SwitchPB&lt;&gt;"ON",Universe!$B$211=""),"",Universe!$B$211)</f>
        <v/>
      </c>
      <c r="PE1" s="11">
        <f>IF(OR(SwitchPB&lt;&gt;"ON",Universe!$B$212=""),"",Universe!$B$212)</f>
        <v/>
      </c>
      <c r="PG1" s="11">
        <f>IF(OR(SwitchPB&lt;&gt;"ON",Universe!$B$213=""),"",Universe!$B$213)</f>
        <v/>
      </c>
      <c r="PI1" s="11">
        <f>IF(OR(SwitchPB&lt;&gt;"ON",Universe!$B$214=""),"",Universe!$B$214)</f>
        <v/>
      </c>
      <c r="PK1" s="11">
        <f>IF(OR(SwitchPB&lt;&gt;"ON",Universe!$B$215=""),"",Universe!$B$215)</f>
        <v/>
      </c>
      <c r="PM1" s="11">
        <f>IF(OR(SwitchPB&lt;&gt;"ON",Universe!$B$216=""),"",Universe!$B$216)</f>
        <v/>
      </c>
      <c r="PO1" s="11">
        <f>IF(OR(SwitchPB&lt;&gt;"ON",Universe!$B$217=""),"",Universe!$B$217)</f>
        <v/>
      </c>
      <c r="PQ1" s="11">
        <f>IF(OR(SwitchPB&lt;&gt;"ON",Universe!$B$218=""),"",Universe!$B$218)</f>
        <v/>
      </c>
      <c r="PS1" s="11">
        <f>IF(OR(SwitchPB&lt;&gt;"ON",Universe!$B$219=""),"",Universe!$B$219)</f>
        <v/>
      </c>
      <c r="PU1" s="11">
        <f>IF(OR(SwitchPB&lt;&gt;"ON",Universe!$B$220=""),"",Universe!$B$220)</f>
        <v/>
      </c>
      <c r="PW1" s="11">
        <f>IF(OR(SwitchPB&lt;&gt;"ON",Universe!$B$221=""),"",Universe!$B$221)</f>
        <v/>
      </c>
      <c r="PY1" s="11">
        <f>IF(OR(SwitchPB&lt;&gt;"ON",Universe!$B$222=""),"",Universe!$B$222)</f>
        <v/>
      </c>
      <c r="QA1" s="11">
        <f>IF(OR(SwitchPB&lt;&gt;"ON",Universe!$B$223=""),"",Universe!$B$223)</f>
        <v/>
      </c>
      <c r="QC1" s="11">
        <f>IF(OR(SwitchPB&lt;&gt;"ON",Universe!$B$224=""),"",Universe!$B$224)</f>
        <v/>
      </c>
      <c r="QE1" s="11">
        <f>IF(OR(SwitchPB&lt;&gt;"ON",Universe!$B$225=""),"",Universe!$B$225)</f>
        <v/>
      </c>
      <c r="QG1" s="11">
        <f>IF(OR(SwitchPB&lt;&gt;"ON",Universe!$B$226=""),"",Universe!$B$226)</f>
        <v/>
      </c>
      <c r="QI1" s="11">
        <f>IF(OR(SwitchPB&lt;&gt;"ON",Universe!$B$227=""),"",Universe!$B$227)</f>
        <v/>
      </c>
      <c r="QK1" s="11">
        <f>IF(OR(SwitchPB&lt;&gt;"ON",Universe!$B$228=""),"",Universe!$B$228)</f>
        <v/>
      </c>
      <c r="QM1" s="11">
        <f>IF(OR(SwitchPB&lt;&gt;"ON",Universe!$B$229=""),"",Universe!$B$229)</f>
        <v/>
      </c>
      <c r="QO1" s="11">
        <f>IF(OR(SwitchPB&lt;&gt;"ON",Universe!$B$230=""),"",Universe!$B$230)</f>
        <v/>
      </c>
      <c r="QQ1" s="11">
        <f>IF(OR(SwitchPB&lt;&gt;"ON",Universe!$B$231=""),"",Universe!$B$231)</f>
        <v/>
      </c>
      <c r="QS1" s="11">
        <f>IF(OR(SwitchPB&lt;&gt;"ON",Universe!$B$232=""),"",Universe!$B$232)</f>
        <v/>
      </c>
      <c r="QU1" s="11">
        <f>IF(OR(SwitchPB&lt;&gt;"ON",Universe!$B$233=""),"",Universe!$B$233)</f>
        <v/>
      </c>
      <c r="QW1" s="11">
        <f>IF(OR(SwitchPB&lt;&gt;"ON",Universe!$B$234=""),"",Universe!$B$234)</f>
        <v/>
      </c>
      <c r="QY1" s="11">
        <f>IF(OR(SwitchPB&lt;&gt;"ON",Universe!$B$235=""),"",Universe!$B$235)</f>
        <v/>
      </c>
      <c r="RA1" s="11">
        <f>IF(OR(SwitchPB&lt;&gt;"ON",Universe!$B$236=""),"",Universe!$B$236)</f>
        <v/>
      </c>
      <c r="RC1" s="11">
        <f>IF(OR(SwitchPB&lt;&gt;"ON",Universe!$B$237=""),"",Universe!$B$237)</f>
        <v/>
      </c>
      <c r="RE1" s="11">
        <f>IF(OR(SwitchPB&lt;&gt;"ON",Universe!$B$238=""),"",Universe!$B$238)</f>
        <v/>
      </c>
      <c r="RG1" s="11">
        <f>IF(OR(SwitchPB&lt;&gt;"ON",Universe!$B$239=""),"",Universe!$B$239)</f>
        <v/>
      </c>
      <c r="RI1" s="11">
        <f>IF(OR(SwitchPB&lt;&gt;"ON",Universe!$B$240=""),"",Universe!$B$240)</f>
        <v/>
      </c>
      <c r="RK1" s="11">
        <f>IF(OR(SwitchPB&lt;&gt;"ON",Universe!$B$241=""),"",Universe!$B$241)</f>
        <v/>
      </c>
      <c r="RM1" s="11">
        <f>IF(OR(SwitchPB&lt;&gt;"ON",Universe!$B$242=""),"",Universe!$B$242)</f>
        <v/>
      </c>
      <c r="RO1" s="11">
        <f>IF(OR(SwitchPB&lt;&gt;"ON",Universe!$B$243=""),"",Universe!$B$243)</f>
        <v/>
      </c>
      <c r="RQ1" s="11">
        <f>IF(OR(SwitchPB&lt;&gt;"ON",Universe!$B$244=""),"",Universe!$B$244)</f>
        <v/>
      </c>
      <c r="RS1" s="11">
        <f>IF(OR(SwitchPB&lt;&gt;"ON",Universe!$B$245=""),"",Universe!$B$245)</f>
        <v/>
      </c>
      <c r="RU1" s="11">
        <f>IF(OR(SwitchPB&lt;&gt;"ON",Universe!$B$246=""),"",Universe!$B$246)</f>
        <v/>
      </c>
      <c r="RW1" s="11">
        <f>IF(OR(SwitchPB&lt;&gt;"ON",Universe!$B$247=""),"",Universe!$B$247)</f>
        <v/>
      </c>
      <c r="RY1" s="11">
        <f>IF(OR(SwitchPB&lt;&gt;"ON",Universe!$B$248=""),"",Universe!$B$248)</f>
        <v/>
      </c>
      <c r="SA1" s="11">
        <f>IF(OR(SwitchPB&lt;&gt;"ON",Universe!$B$249=""),"",Universe!$B$249)</f>
        <v/>
      </c>
      <c r="SC1" s="11">
        <f>IF(OR(SwitchPB&lt;&gt;"ON",Universe!$B$250=""),"",Universe!$B$250)</f>
        <v/>
      </c>
      <c r="SE1" s="11">
        <f>IF(OR(SwitchPB&lt;&gt;"ON",Universe!$B$251=""),"",Universe!$B$251)</f>
        <v/>
      </c>
      <c r="SG1" s="11">
        <f>IF(OR(SwitchPB&lt;&gt;"ON",Universe!$B$252=""),"",Universe!$B$252)</f>
        <v/>
      </c>
      <c r="SI1" s="11">
        <f>IF(OR(SwitchPB&lt;&gt;"ON",Universe!$B$253=""),"",Universe!$B$253)</f>
        <v/>
      </c>
      <c r="SK1" s="11">
        <f>IF(OR(SwitchPB&lt;&gt;"ON",Universe!$B$254=""),"",Universe!$B$254)</f>
        <v/>
      </c>
      <c r="SM1" s="11">
        <f>IF(OR(SwitchPB&lt;&gt;"ON",Universe!$B$255=""),"",Universe!$B$255)</f>
        <v/>
      </c>
      <c r="SO1" s="11">
        <f>IF(OR(SwitchPB&lt;&gt;"ON",Universe!$B$256=""),"",Universe!$B$256)</f>
        <v/>
      </c>
      <c r="SQ1" s="11">
        <f>IF(OR(SwitchPB&lt;&gt;"ON",Universe!$B$257=""),"",Universe!$B$257)</f>
        <v/>
      </c>
      <c r="SS1" s="11">
        <f>IF(OR(SwitchPB&lt;&gt;"ON",Universe!$B$258=""),"",Universe!$B$258)</f>
        <v/>
      </c>
      <c r="SU1" s="11">
        <f>IF(OR(SwitchPB&lt;&gt;"ON",Universe!$B$259=""),"",Universe!$B$259)</f>
        <v/>
      </c>
      <c r="SW1" s="11">
        <f>IF(OR(SwitchPB&lt;&gt;"ON",Universe!$B$260=""),"",Universe!$B$260)</f>
        <v/>
      </c>
      <c r="SY1" s="11">
        <f>IF(OR(SwitchPB&lt;&gt;"ON",Universe!$B$261=""),"",Universe!$B$261)</f>
        <v/>
      </c>
      <c r="TA1" s="11">
        <f>IF(OR(SwitchPB&lt;&gt;"ON",Universe!$B$262=""),"",Universe!$B$262)</f>
        <v/>
      </c>
      <c r="TC1" s="11">
        <f>IF(OR(SwitchPB&lt;&gt;"ON",Universe!$B$263=""),"",Universe!$B$263)</f>
        <v/>
      </c>
      <c r="TE1" s="11">
        <f>IF(OR(SwitchPB&lt;&gt;"ON",Universe!$B$264=""),"",Universe!$B$264)</f>
        <v/>
      </c>
      <c r="TG1" s="11">
        <f>IF(OR(SwitchPB&lt;&gt;"ON",Universe!$B$265=""),"",Universe!$B$265)</f>
        <v/>
      </c>
      <c r="TI1" s="11">
        <f>IF(OR(SwitchPB&lt;&gt;"ON",Universe!$B$266=""),"",Universe!$B$266)</f>
        <v/>
      </c>
      <c r="TK1" s="11">
        <f>IF(OR(SwitchPB&lt;&gt;"ON",Universe!$B$267=""),"",Universe!$B$267)</f>
        <v/>
      </c>
      <c r="TM1" s="11">
        <f>IF(OR(SwitchPB&lt;&gt;"ON",Universe!$B$268=""),"",Universe!$B$268)</f>
        <v/>
      </c>
      <c r="TO1" s="11">
        <f>IF(OR(SwitchPB&lt;&gt;"ON",Universe!$B$269=""),"",Universe!$B$269)</f>
        <v/>
      </c>
      <c r="TQ1" s="11">
        <f>IF(OR(SwitchPB&lt;&gt;"ON",Universe!$B$270=""),"",Universe!$B$270)</f>
        <v/>
      </c>
      <c r="TS1" s="11">
        <f>IF(OR(SwitchPB&lt;&gt;"ON",Universe!$B$271=""),"",Universe!$B$271)</f>
        <v/>
      </c>
      <c r="TU1" s="11">
        <f>IF(OR(SwitchPB&lt;&gt;"ON",Universe!$B$272=""),"",Universe!$B$272)</f>
        <v/>
      </c>
      <c r="TW1" s="11">
        <f>IF(OR(SwitchPB&lt;&gt;"ON",Universe!$B$273=""),"",Universe!$B$273)</f>
        <v/>
      </c>
      <c r="TY1" s="11">
        <f>IF(OR(SwitchPB&lt;&gt;"ON",Universe!$B$274=""),"",Universe!$B$274)</f>
        <v/>
      </c>
      <c r="UA1" s="11">
        <f>IF(OR(SwitchPB&lt;&gt;"ON",Universe!$B$275=""),"",Universe!$B$275)</f>
        <v/>
      </c>
      <c r="UC1" s="11">
        <f>IF(OR(SwitchPB&lt;&gt;"ON",Universe!$B$276=""),"",Universe!$B$276)</f>
        <v/>
      </c>
      <c r="UE1" s="11">
        <f>IF(OR(SwitchPB&lt;&gt;"ON",Universe!$B$277=""),"",Universe!$B$277)</f>
        <v/>
      </c>
      <c r="UG1" s="11">
        <f>IF(OR(SwitchPB&lt;&gt;"ON",Universe!$B$278=""),"",Universe!$B$278)</f>
        <v/>
      </c>
      <c r="UI1" s="11">
        <f>IF(OR(SwitchPB&lt;&gt;"ON",Universe!$B$279=""),"",Universe!$B$279)</f>
        <v/>
      </c>
      <c r="UK1" s="11">
        <f>IF(OR(SwitchPB&lt;&gt;"ON",Universe!$B$280=""),"",Universe!$B$280)</f>
        <v/>
      </c>
      <c r="UM1" s="11">
        <f>IF(OR(SwitchPB&lt;&gt;"ON",Universe!$B$281=""),"",Universe!$B$281)</f>
        <v/>
      </c>
      <c r="UO1" s="11">
        <f>IF(OR(SwitchPB&lt;&gt;"ON",Universe!$B$282=""),"",Universe!$B$282)</f>
        <v/>
      </c>
      <c r="UQ1" s="11">
        <f>IF(OR(SwitchPB&lt;&gt;"ON",Universe!$B$283=""),"",Universe!$B$283)</f>
        <v/>
      </c>
      <c r="US1" s="11">
        <f>IF(OR(SwitchPB&lt;&gt;"ON",Universe!$B$284=""),"",Universe!$B$284)</f>
        <v/>
      </c>
      <c r="UU1" s="11">
        <f>IF(OR(SwitchPB&lt;&gt;"ON",Universe!$B$285=""),"",Universe!$B$285)</f>
        <v/>
      </c>
      <c r="UW1" s="11">
        <f>IF(OR(SwitchPB&lt;&gt;"ON",Universe!$B$286=""),"",Universe!$B$286)</f>
        <v/>
      </c>
      <c r="UY1" s="11">
        <f>IF(OR(SwitchPB&lt;&gt;"ON",Universe!$B$287=""),"",Universe!$B$287)</f>
        <v/>
      </c>
      <c r="VA1" s="11">
        <f>IF(OR(SwitchPB&lt;&gt;"ON",Universe!$B$288=""),"",Universe!$B$288)</f>
        <v/>
      </c>
      <c r="VC1" s="11">
        <f>IF(OR(SwitchPB&lt;&gt;"ON",Universe!$B$289=""),"",Universe!$B$289)</f>
        <v/>
      </c>
      <c r="VE1" s="11">
        <f>IF(OR(SwitchPB&lt;&gt;"ON",Universe!$B$290=""),"",Universe!$B$290)</f>
        <v/>
      </c>
      <c r="VG1" s="11">
        <f>IF(OR(SwitchPB&lt;&gt;"ON",Universe!$B$291=""),"",Universe!$B$291)</f>
        <v/>
      </c>
      <c r="VI1" s="11">
        <f>IF(OR(SwitchPB&lt;&gt;"ON",Universe!$B$292=""),"",Universe!$B$292)</f>
        <v/>
      </c>
      <c r="VK1" s="11">
        <f>IF(OR(SwitchPB&lt;&gt;"ON",Universe!$B$293=""),"",Universe!$B$293)</f>
        <v/>
      </c>
      <c r="VM1" s="11">
        <f>IF(OR(SwitchPB&lt;&gt;"ON",Universe!$B$294=""),"",Universe!$B$294)</f>
        <v/>
      </c>
      <c r="VO1" s="11">
        <f>IF(OR(SwitchPB&lt;&gt;"ON",Universe!$B$295=""),"",Universe!$B$295)</f>
        <v/>
      </c>
      <c r="VQ1" s="11">
        <f>IF(OR(SwitchPB&lt;&gt;"ON",Universe!$B$296=""),"",Universe!$B$296)</f>
        <v/>
      </c>
      <c r="VS1" s="11">
        <f>IF(OR(SwitchPB&lt;&gt;"ON",Universe!$B$297=""),"",Universe!$B$297)</f>
        <v/>
      </c>
      <c r="VU1" s="11">
        <f>IF(OR(SwitchPB&lt;&gt;"ON",Universe!$B$298=""),"",Universe!$B$298)</f>
        <v/>
      </c>
      <c r="VW1" s="11">
        <f>IF(OR(SwitchPB&lt;&gt;"ON",Universe!$B$299=""),"",Universe!$B$299)</f>
        <v/>
      </c>
      <c r="VY1" s="11">
        <f>IF(OR(SwitchPB&lt;&gt;"ON",Universe!$B$300=""),"",Universe!$B$300)</f>
        <v/>
      </c>
      <c r="WA1" s="11">
        <f>IF(OR(SwitchPB&lt;&gt;"ON",Universe!$B$301=""),"",Universe!$B$301)</f>
        <v/>
      </c>
      <c r="WC1" s="11">
        <f>IF(OR(SwitchPB&lt;&gt;"ON",Universe!$B$302=""),"",Universe!$B$302)</f>
        <v/>
      </c>
      <c r="WE1" s="11">
        <f>IF(OR(SwitchPB&lt;&gt;"ON",Universe!$B$303=""),"",Universe!$B$303)</f>
        <v/>
      </c>
      <c r="WG1" s="11">
        <f>IF(OR(SwitchPB&lt;&gt;"ON",Universe!$B$304=""),"",Universe!$B$304)</f>
        <v/>
      </c>
      <c r="WI1" s="11">
        <f>IF(OR(SwitchPB&lt;&gt;"ON",Universe!$B$305=""),"",Universe!$B$305)</f>
        <v/>
      </c>
      <c r="WK1" s="11">
        <f>IF(OR(SwitchPB&lt;&gt;"ON",Universe!$B$306=""),"",Universe!$B$306)</f>
        <v/>
      </c>
      <c r="WM1" s="11">
        <f>IF(OR(SwitchPB&lt;&gt;"ON",Universe!$B$307=""),"",Universe!$B$307)</f>
        <v/>
      </c>
      <c r="WO1" s="11">
        <f>IF(OR(SwitchPB&lt;&gt;"ON",Universe!$B$308=""),"",Universe!$B$308)</f>
        <v/>
      </c>
      <c r="WQ1" s="11">
        <f>IF(OR(SwitchPB&lt;&gt;"ON",Universe!$B$309=""),"",Universe!$B$309)</f>
        <v/>
      </c>
      <c r="WS1" s="11">
        <f>IF(OR(SwitchPB&lt;&gt;"ON",Universe!$B$310=""),"",Universe!$B$310)</f>
        <v/>
      </c>
      <c r="WU1" s="11">
        <f>IF(OR(SwitchPB&lt;&gt;"ON",Universe!$B$311=""),"",Universe!$B$311)</f>
        <v/>
      </c>
      <c r="WW1" s="11">
        <f>IF(OR(SwitchPB&lt;&gt;"ON",Universe!$B$312=""),"",Universe!$B$312)</f>
        <v/>
      </c>
      <c r="WY1" s="11">
        <f>IF(OR(SwitchPB&lt;&gt;"ON",Universe!$B$313=""),"",Universe!$B$313)</f>
        <v/>
      </c>
      <c r="XA1" s="11">
        <f>IF(OR(SwitchPB&lt;&gt;"ON",Universe!$B$314=""),"",Universe!$B$314)</f>
        <v/>
      </c>
      <c r="XC1" s="11">
        <f>IF(OR(SwitchPB&lt;&gt;"ON",Universe!$B$315=""),"",Universe!$B$315)</f>
        <v/>
      </c>
      <c r="XE1" s="11">
        <f>IF(OR(SwitchPB&lt;&gt;"ON",Universe!$B$316=""),"",Universe!$B$316)</f>
        <v/>
      </c>
      <c r="XG1" s="11">
        <f>IF(OR(SwitchPB&lt;&gt;"ON",Universe!$B$317=""),"",Universe!$B$317)</f>
        <v/>
      </c>
      <c r="XI1" s="11">
        <f>IF(OR(SwitchPB&lt;&gt;"ON",Universe!$B$318=""),"",Universe!$B$318)</f>
        <v/>
      </c>
      <c r="XK1" s="11">
        <f>IF(OR(SwitchPB&lt;&gt;"ON",Universe!$B$319=""),"",Universe!$B$319)</f>
        <v/>
      </c>
      <c r="XM1" s="11">
        <f>IF(OR(SwitchPB&lt;&gt;"ON",Universe!$B$320=""),"",Universe!$B$320)</f>
        <v/>
      </c>
      <c r="XO1" s="11">
        <f>IF(OR(SwitchPB&lt;&gt;"ON",Universe!$B$321=""),"",Universe!$B$321)</f>
        <v/>
      </c>
      <c r="XQ1" s="11">
        <f>IF(OR(SwitchPB&lt;&gt;"ON",Universe!$B$322=""),"",Universe!$B$322)</f>
        <v/>
      </c>
      <c r="XS1" s="11">
        <f>IF(OR(SwitchPB&lt;&gt;"ON",Universe!$B$323=""),"",Universe!$B$323)</f>
        <v/>
      </c>
      <c r="XU1" s="11">
        <f>IF(OR(SwitchPB&lt;&gt;"ON",Universe!$B$324=""),"",Universe!$B$324)</f>
        <v/>
      </c>
      <c r="XW1" s="11">
        <f>IF(OR(SwitchPB&lt;&gt;"ON",Universe!$B$325=""),"",Universe!$B$325)</f>
        <v/>
      </c>
      <c r="XY1" s="11">
        <f>IF(OR(SwitchPB&lt;&gt;"ON",Universe!$B$326=""),"",Universe!$B$326)</f>
        <v/>
      </c>
      <c r="YA1" s="11">
        <f>IF(OR(SwitchPB&lt;&gt;"ON",Universe!$B$327=""),"",Universe!$B$327)</f>
        <v/>
      </c>
      <c r="YC1" s="11">
        <f>IF(OR(SwitchPB&lt;&gt;"ON",Universe!$B$328=""),"",Universe!$B$328)</f>
        <v/>
      </c>
      <c r="YE1" s="11">
        <f>IF(OR(SwitchPB&lt;&gt;"ON",Universe!$B$329=""),"",Universe!$B$329)</f>
        <v/>
      </c>
      <c r="YG1" s="11">
        <f>IF(OR(SwitchPB&lt;&gt;"ON",Universe!$B$330=""),"",Universe!$B$330)</f>
        <v/>
      </c>
      <c r="YI1" s="11">
        <f>IF(OR(SwitchPB&lt;&gt;"ON",Universe!$B$331=""),"",Universe!$B$331)</f>
        <v/>
      </c>
      <c r="YK1" s="11">
        <f>IF(OR(SwitchPB&lt;&gt;"ON",Universe!$B$332=""),"",Universe!$B$332)</f>
        <v/>
      </c>
      <c r="YM1" s="11">
        <f>IF(OR(SwitchPB&lt;&gt;"ON",Universe!$B$333=""),"",Universe!$B$333)</f>
        <v/>
      </c>
      <c r="YO1" s="11">
        <f>IF(OR(SwitchPB&lt;&gt;"ON",Universe!$B$334=""),"",Universe!$B$334)</f>
        <v/>
      </c>
      <c r="YQ1" s="11">
        <f>IF(OR(SwitchPB&lt;&gt;"ON",Universe!$B$335=""),"",Universe!$B$335)</f>
        <v/>
      </c>
      <c r="YS1" s="11">
        <f>IF(OR(SwitchPB&lt;&gt;"ON",Universe!$B$336=""),"",Universe!$B$336)</f>
        <v/>
      </c>
      <c r="YU1" s="11">
        <f>IF(OR(SwitchPB&lt;&gt;"ON",Universe!$B$337=""),"",Universe!$B$337)</f>
        <v/>
      </c>
      <c r="YW1" s="11">
        <f>IF(OR(SwitchPB&lt;&gt;"ON",Universe!$B$338=""),"",Universe!$B$338)</f>
        <v/>
      </c>
      <c r="YY1" s="11">
        <f>IF(OR(SwitchPB&lt;&gt;"ON",Universe!$B$339=""),"",Universe!$B$339)</f>
        <v/>
      </c>
      <c r="ZA1" s="11">
        <f>IF(OR(SwitchPB&lt;&gt;"ON",Universe!$B$340=""),"",Universe!$B$340)</f>
        <v/>
      </c>
      <c r="ZC1" s="11">
        <f>IF(OR(SwitchPB&lt;&gt;"ON",Universe!$B$341=""),"",Universe!$B$341)</f>
        <v/>
      </c>
      <c r="ZE1" s="11">
        <f>IF(OR(SwitchPB&lt;&gt;"ON",Universe!$B$342=""),"",Universe!$B$342)</f>
        <v/>
      </c>
      <c r="ZG1" s="11">
        <f>IF(OR(SwitchPB&lt;&gt;"ON",Universe!$B$343=""),"",Universe!$B$343)</f>
        <v/>
      </c>
      <c r="ZI1" s="11">
        <f>IF(OR(SwitchPB&lt;&gt;"ON",Universe!$B$344=""),"",Universe!$B$344)</f>
        <v/>
      </c>
      <c r="ZK1" s="11">
        <f>IF(OR(SwitchPB&lt;&gt;"ON",Universe!$B$345=""),"",Universe!$B$345)</f>
        <v/>
      </c>
      <c r="ZM1" s="11">
        <f>IF(OR(SwitchPB&lt;&gt;"ON",Universe!$B$346=""),"",Universe!$B$346)</f>
        <v/>
      </c>
      <c r="ZO1" s="11">
        <f>IF(OR(SwitchPB&lt;&gt;"ON",Universe!$B$347=""),"",Universe!$B$347)</f>
        <v/>
      </c>
      <c r="ZQ1" s="11">
        <f>IF(OR(SwitchPB&lt;&gt;"ON",Universe!$B$348=""),"",Universe!$B$348)</f>
        <v/>
      </c>
      <c r="ZS1" s="11">
        <f>IF(OR(SwitchPB&lt;&gt;"ON",Universe!$B$349=""),"",Universe!$B$349)</f>
        <v/>
      </c>
      <c r="ZU1" s="11">
        <f>IF(OR(SwitchPB&lt;&gt;"ON",Universe!$B$350=""),"",Universe!$B$350)</f>
        <v/>
      </c>
      <c r="ZW1" s="11">
        <f>IF(OR(SwitchPB&lt;&gt;"ON",Universe!$B$351=""),"",Universe!$B$351)</f>
        <v/>
      </c>
      <c r="ZY1" s="11">
        <f>IF(OR(SwitchPB&lt;&gt;"ON",Universe!$B$352=""),"",Universe!$B$352)</f>
        <v/>
      </c>
      <c r="AAA1" s="11">
        <f>IF(OR(SwitchPB&lt;&gt;"ON",Universe!$B$353=""),"",Universe!$B$353)</f>
        <v/>
      </c>
      <c r="AAC1" s="11">
        <f>IF(OR(SwitchPB&lt;&gt;"ON",Universe!$B$354=""),"",Universe!$B$354)</f>
        <v/>
      </c>
      <c r="AAE1" s="11">
        <f>IF(OR(SwitchPB&lt;&gt;"ON",Universe!$B$355=""),"",Universe!$B$355)</f>
        <v/>
      </c>
      <c r="AAG1" s="11">
        <f>IF(OR(SwitchPB&lt;&gt;"ON",Universe!$B$356=""),"",Universe!$B$356)</f>
        <v/>
      </c>
      <c r="AAI1" s="11">
        <f>IF(OR(SwitchPB&lt;&gt;"ON",Universe!$B$357=""),"",Universe!$B$357)</f>
        <v/>
      </c>
      <c r="AAK1" s="11">
        <f>IF(OR(SwitchPB&lt;&gt;"ON",Universe!$B$358=""),"",Universe!$B$358)</f>
        <v/>
      </c>
      <c r="AAM1" s="11">
        <f>IF(OR(SwitchPB&lt;&gt;"ON",Universe!$B$359=""),"",Universe!$B$359)</f>
        <v/>
      </c>
      <c r="AAO1" s="11">
        <f>IF(OR(SwitchPB&lt;&gt;"ON",Universe!$B$360=""),"",Universe!$B$360)</f>
        <v/>
      </c>
      <c r="AAQ1" s="11">
        <f>IF(OR(SwitchPB&lt;&gt;"ON",Universe!$B$361=""),"",Universe!$B$361)</f>
        <v/>
      </c>
      <c r="AAS1" s="11">
        <f>IF(OR(SwitchPB&lt;&gt;"ON",Universe!$B$362=""),"",Universe!$B$362)</f>
        <v/>
      </c>
      <c r="AAU1" s="11">
        <f>IF(OR(SwitchPB&lt;&gt;"ON",Universe!$B$363=""),"",Universe!$B$363)</f>
        <v/>
      </c>
      <c r="AAW1" s="11">
        <f>IF(OR(SwitchPB&lt;&gt;"ON",Universe!$B$364=""),"",Universe!$B$364)</f>
        <v/>
      </c>
      <c r="AAY1" s="11">
        <f>IF(OR(SwitchPB&lt;&gt;"ON",Universe!$B$365=""),"",Universe!$B$365)</f>
        <v/>
      </c>
      <c r="ABA1" s="11">
        <f>IF(OR(SwitchPB&lt;&gt;"ON",Universe!$B$366=""),"",Universe!$B$366)</f>
        <v/>
      </c>
      <c r="ABC1" s="11">
        <f>IF(OR(SwitchPB&lt;&gt;"ON",Universe!$B$367=""),"",Universe!$B$367)</f>
        <v/>
      </c>
      <c r="ABE1" s="11">
        <f>IF(OR(SwitchPB&lt;&gt;"ON",Universe!$B$368=""),"",Universe!$B$368)</f>
        <v/>
      </c>
      <c r="ABG1" s="11">
        <f>IF(OR(SwitchPB&lt;&gt;"ON",Universe!$B$369=""),"",Universe!$B$369)</f>
        <v/>
      </c>
      <c r="ABI1" s="11">
        <f>IF(OR(SwitchPB&lt;&gt;"ON",Universe!$B$370=""),"",Universe!$B$370)</f>
        <v/>
      </c>
      <c r="ABK1" s="11">
        <f>IF(OR(SwitchPB&lt;&gt;"ON",Universe!$B$371=""),"",Universe!$B$371)</f>
        <v/>
      </c>
      <c r="ABM1" s="11">
        <f>IF(OR(SwitchPB&lt;&gt;"ON",Universe!$B$372=""),"",Universe!$B$372)</f>
        <v/>
      </c>
      <c r="ABO1" s="11">
        <f>IF(OR(SwitchPB&lt;&gt;"ON",Universe!$B$373=""),"",Universe!$B$373)</f>
        <v/>
      </c>
      <c r="ABQ1" s="11">
        <f>IF(OR(SwitchPB&lt;&gt;"ON",Universe!$B$374=""),"",Universe!$B$374)</f>
        <v/>
      </c>
      <c r="ABS1" s="11">
        <f>IF(OR(SwitchPB&lt;&gt;"ON",Universe!$B$375=""),"",Universe!$B$375)</f>
        <v/>
      </c>
      <c r="ABU1" s="11">
        <f>IF(OR(SwitchPB&lt;&gt;"ON",Universe!$B$376=""),"",Universe!$B$376)</f>
        <v/>
      </c>
      <c r="ABW1" s="11">
        <f>IF(OR(SwitchPB&lt;&gt;"ON",Universe!$B$377=""),"",Universe!$B$377)</f>
        <v/>
      </c>
      <c r="ABY1" s="11">
        <f>IF(OR(SwitchPB&lt;&gt;"ON",Universe!$B$378=""),"",Universe!$B$378)</f>
        <v/>
      </c>
      <c r="ACA1" s="11">
        <f>IF(OR(SwitchPB&lt;&gt;"ON",Universe!$B$379=""),"",Universe!$B$379)</f>
        <v/>
      </c>
      <c r="ACC1" s="11">
        <f>IF(OR(SwitchPB&lt;&gt;"ON",Universe!$B$380=""),"",Universe!$B$380)</f>
        <v/>
      </c>
      <c r="ACE1" s="11">
        <f>IF(OR(SwitchPB&lt;&gt;"ON",Universe!$B$381=""),"",Universe!$B$381)</f>
        <v/>
      </c>
      <c r="ACG1" s="11">
        <f>IF(OR(SwitchPB&lt;&gt;"ON",Universe!$B$382=""),"",Universe!$B$382)</f>
        <v/>
      </c>
      <c r="ACI1" s="11">
        <f>IF(OR(SwitchPB&lt;&gt;"ON",Universe!$B$383=""),"",Universe!$B$383)</f>
        <v/>
      </c>
      <c r="ACK1" s="11">
        <f>IF(OR(SwitchPB&lt;&gt;"ON",Universe!$B$384=""),"",Universe!$B$384)</f>
        <v/>
      </c>
      <c r="ACM1" s="11">
        <f>IF(OR(SwitchPB&lt;&gt;"ON",Universe!$B$385=""),"",Universe!$B$385)</f>
        <v/>
      </c>
      <c r="ACO1" s="11">
        <f>IF(OR(SwitchPB&lt;&gt;"ON",Universe!$B$386=""),"",Universe!$B$386)</f>
        <v/>
      </c>
      <c r="ACQ1" s="11">
        <f>IF(OR(SwitchPB&lt;&gt;"ON",Universe!$B$387=""),"",Universe!$B$387)</f>
        <v/>
      </c>
      <c r="ACS1" s="11">
        <f>IF(OR(SwitchPB&lt;&gt;"ON",Universe!$B$388=""),"",Universe!$B$388)</f>
        <v/>
      </c>
      <c r="ACU1" s="11">
        <f>IF(OR(SwitchPB&lt;&gt;"ON",Universe!$B$389=""),"",Universe!$B$389)</f>
        <v/>
      </c>
      <c r="ACW1" s="11">
        <f>IF(OR(SwitchPB&lt;&gt;"ON",Universe!$B$390=""),"",Universe!$B$390)</f>
        <v/>
      </c>
      <c r="ACY1" s="11">
        <f>IF(OR(SwitchPB&lt;&gt;"ON",Universe!$B$391=""),"",Universe!$B$391)</f>
        <v/>
      </c>
      <c r="ADA1" s="11">
        <f>IF(OR(SwitchPB&lt;&gt;"ON",Universe!$B$392=""),"",Universe!$B$392)</f>
        <v/>
      </c>
      <c r="ADC1" s="11">
        <f>IF(OR(SwitchPB&lt;&gt;"ON",Universe!$B$393=""),"",Universe!$B$393)</f>
        <v/>
      </c>
      <c r="ADE1" s="11">
        <f>IF(OR(SwitchPB&lt;&gt;"ON",Universe!$B$394=""),"",Universe!$B$394)</f>
        <v/>
      </c>
      <c r="ADG1" s="11">
        <f>IF(OR(SwitchPB&lt;&gt;"ON",Universe!$B$395=""),"",Universe!$B$395)</f>
        <v/>
      </c>
      <c r="ADI1" s="11">
        <f>IF(OR(SwitchPB&lt;&gt;"ON",Universe!$B$396=""),"",Universe!$B$396)</f>
        <v/>
      </c>
      <c r="ADK1" s="11">
        <f>IF(OR(SwitchPB&lt;&gt;"ON",Universe!$B$397=""),"",Universe!$B$397)</f>
        <v/>
      </c>
      <c r="ADM1" s="11">
        <f>IF(OR(SwitchPB&lt;&gt;"ON",Universe!$B$398=""),"",Universe!$B$398)</f>
        <v/>
      </c>
      <c r="ADO1" s="11">
        <f>IF(OR(SwitchPB&lt;&gt;"ON",Universe!$B$399=""),"",Universe!$B$399)</f>
        <v/>
      </c>
      <c r="ADQ1" s="11">
        <f>IF(OR(SwitchPB&lt;&gt;"ON",Universe!$B$400=""),"",Universe!$B$400)</f>
        <v/>
      </c>
      <c r="ADS1" s="11">
        <f>IF(OR(SwitchPB&lt;&gt;"ON",Universe!$B$401=""),"",Universe!$B$401)</f>
        <v/>
      </c>
      <c r="ADU1" s="11">
        <f>IF(OR(SwitchPB&lt;&gt;"ON",Universe!$B$402=""),"",Universe!$B$402)</f>
        <v/>
      </c>
      <c r="ADW1" s="11">
        <f>IF(OR(SwitchPB&lt;&gt;"ON",Universe!$B$403=""),"",Universe!$B$403)</f>
        <v/>
      </c>
      <c r="ADY1" s="11">
        <f>IF(OR(SwitchPB&lt;&gt;"ON",Universe!$B$404=""),"",Universe!$B$404)</f>
        <v/>
      </c>
      <c r="AEA1" s="11">
        <f>IF(OR(SwitchPB&lt;&gt;"ON",Universe!$B$405=""),"",Universe!$B$405)</f>
        <v/>
      </c>
      <c r="AEC1" s="11">
        <f>IF(OR(SwitchPB&lt;&gt;"ON",Universe!$B$406=""),"",Universe!$B$406)</f>
        <v/>
      </c>
      <c r="AEE1" s="11">
        <f>IF(OR(SwitchPB&lt;&gt;"ON",Universe!$B$407=""),"",Universe!$B$407)</f>
        <v/>
      </c>
      <c r="AEG1" s="11">
        <f>IF(OR(SwitchPB&lt;&gt;"ON",Universe!$B$408=""),"",Universe!$B$408)</f>
        <v/>
      </c>
      <c r="AEI1" s="11">
        <f>IF(OR(SwitchPB&lt;&gt;"ON",Universe!$B$409=""),"",Universe!$B$409)</f>
        <v/>
      </c>
      <c r="AEK1" s="11">
        <f>IF(OR(SwitchPB&lt;&gt;"ON",Universe!$B$410=""),"",Universe!$B$410)</f>
        <v/>
      </c>
      <c r="AEM1" s="11">
        <f>IF(OR(SwitchPB&lt;&gt;"ON",Universe!$B$411=""),"",Universe!$B$411)</f>
        <v/>
      </c>
      <c r="AEO1" s="11">
        <f>IF(OR(SwitchPB&lt;&gt;"ON",Universe!$B$412=""),"",Universe!$B$412)</f>
        <v/>
      </c>
      <c r="AEQ1" s="11">
        <f>IF(OR(SwitchPB&lt;&gt;"ON",Universe!$B$413=""),"",Universe!$B$413)</f>
        <v/>
      </c>
      <c r="AES1" s="11">
        <f>IF(OR(SwitchPB&lt;&gt;"ON",Universe!$B$414=""),"",Universe!$B$414)</f>
        <v/>
      </c>
      <c r="AEU1" s="11">
        <f>IF(OR(SwitchPB&lt;&gt;"ON",Universe!$B$415=""),"",Universe!$B$415)</f>
        <v/>
      </c>
      <c r="AEW1" s="11">
        <f>IF(OR(SwitchPB&lt;&gt;"ON",Universe!$B$416=""),"",Universe!$B$416)</f>
        <v/>
      </c>
      <c r="AEY1" s="11">
        <f>IF(OR(SwitchPB&lt;&gt;"ON",Universe!$B$417=""),"",Universe!$B$417)</f>
        <v/>
      </c>
      <c r="AFA1" s="11">
        <f>IF(OR(SwitchPB&lt;&gt;"ON",Universe!$B$418=""),"",Universe!$B$418)</f>
        <v/>
      </c>
      <c r="AFC1" s="11">
        <f>IF(OR(SwitchPB&lt;&gt;"ON",Universe!$B$419=""),"",Universe!$B$419)</f>
        <v/>
      </c>
      <c r="AFE1" s="11">
        <f>IF(OR(SwitchPB&lt;&gt;"ON",Universe!$B$420=""),"",Universe!$B$420)</f>
        <v/>
      </c>
      <c r="AFG1" s="11">
        <f>IF(OR(SwitchPB&lt;&gt;"ON",Universe!$B$421=""),"",Universe!$B$421)</f>
        <v/>
      </c>
      <c r="AFI1" s="11">
        <f>IF(OR(SwitchPB&lt;&gt;"ON",Universe!$B$422=""),"",Universe!$B$422)</f>
        <v/>
      </c>
      <c r="AFK1" s="11">
        <f>IF(OR(SwitchPB&lt;&gt;"ON",Universe!$B$423=""),"",Universe!$B$423)</f>
        <v/>
      </c>
      <c r="AFM1" s="11">
        <f>IF(OR(SwitchPB&lt;&gt;"ON",Universe!$B$424=""),"",Universe!$B$424)</f>
        <v/>
      </c>
      <c r="AFO1" s="11">
        <f>IF(OR(SwitchPB&lt;&gt;"ON",Universe!$B$425=""),"",Universe!$B$425)</f>
        <v/>
      </c>
      <c r="AFQ1" s="11">
        <f>IF(OR(SwitchPB&lt;&gt;"ON",Universe!$B$426=""),"",Universe!$B$426)</f>
        <v/>
      </c>
      <c r="AFS1" s="11">
        <f>IF(OR(SwitchPB&lt;&gt;"ON",Universe!$B$427=""),"",Universe!$B$427)</f>
        <v/>
      </c>
      <c r="AFU1" s="11">
        <f>IF(OR(SwitchPB&lt;&gt;"ON",Universe!$B$428=""),"",Universe!$B$428)</f>
        <v/>
      </c>
      <c r="AFW1" s="11">
        <f>IF(OR(SwitchPB&lt;&gt;"ON",Universe!$B$429=""),"",Universe!$B$429)</f>
        <v/>
      </c>
      <c r="AFY1" s="11">
        <f>IF(OR(SwitchPB&lt;&gt;"ON",Universe!$B$430=""),"",Universe!$B$430)</f>
        <v/>
      </c>
      <c r="AGA1" s="11">
        <f>IF(OR(SwitchPB&lt;&gt;"ON",Universe!$B$431=""),"",Universe!$B$431)</f>
        <v/>
      </c>
      <c r="AGC1" s="11">
        <f>IF(OR(SwitchPB&lt;&gt;"ON",Universe!$B$432=""),"",Universe!$B$432)</f>
        <v/>
      </c>
      <c r="AGE1" s="11">
        <f>IF(OR(SwitchPB&lt;&gt;"ON",Universe!$B$433=""),"",Universe!$B$433)</f>
        <v/>
      </c>
      <c r="AGG1" s="11">
        <f>IF(OR(SwitchPB&lt;&gt;"ON",Universe!$B$434=""),"",Universe!$B$434)</f>
        <v/>
      </c>
      <c r="AGI1" s="11">
        <f>IF(OR(SwitchPB&lt;&gt;"ON",Universe!$B$435=""),"",Universe!$B$435)</f>
        <v/>
      </c>
      <c r="AGK1" s="11">
        <f>IF(OR(SwitchPB&lt;&gt;"ON",Universe!$B$436=""),"",Universe!$B$436)</f>
        <v/>
      </c>
      <c r="AGM1" s="11">
        <f>IF(OR(SwitchPB&lt;&gt;"ON",Universe!$B$437=""),"",Universe!$B$437)</f>
        <v/>
      </c>
      <c r="AGO1" s="11">
        <f>IF(OR(SwitchPB&lt;&gt;"ON",Universe!$B$438=""),"",Universe!$B$438)</f>
        <v/>
      </c>
      <c r="AGQ1" s="11">
        <f>IF(OR(SwitchPB&lt;&gt;"ON",Universe!$B$439=""),"",Universe!$B$439)</f>
        <v/>
      </c>
      <c r="AGS1" s="11">
        <f>IF(OR(SwitchPB&lt;&gt;"ON",Universe!$B$440=""),"",Universe!$B$440)</f>
        <v/>
      </c>
      <c r="AGU1" s="11">
        <f>IF(OR(SwitchPB&lt;&gt;"ON",Universe!$B$441=""),"",Universe!$B$441)</f>
        <v/>
      </c>
      <c r="AGW1" s="11">
        <f>IF(OR(SwitchPB&lt;&gt;"ON",Universe!$B$442=""),"",Universe!$B$442)</f>
        <v/>
      </c>
      <c r="AGY1" s="11">
        <f>IF(OR(SwitchPB&lt;&gt;"ON",Universe!$B$443=""),"",Universe!$B$443)</f>
        <v/>
      </c>
      <c r="AHA1" s="11">
        <f>IF(OR(SwitchPB&lt;&gt;"ON",Universe!$B$444=""),"",Universe!$B$444)</f>
        <v/>
      </c>
      <c r="AHC1" s="11">
        <f>IF(OR(SwitchPB&lt;&gt;"ON",Universe!$B$445=""),"",Universe!$B$445)</f>
        <v/>
      </c>
      <c r="AHE1" s="11">
        <f>IF(OR(SwitchPB&lt;&gt;"ON",Universe!$B$446=""),"",Universe!$B$446)</f>
        <v/>
      </c>
      <c r="AHG1" s="11">
        <f>IF(OR(SwitchPB&lt;&gt;"ON",Universe!$B$447=""),"",Universe!$B$447)</f>
        <v/>
      </c>
      <c r="AHI1" s="11">
        <f>IF(OR(SwitchPB&lt;&gt;"ON",Universe!$B$448=""),"",Universe!$B$448)</f>
        <v/>
      </c>
      <c r="AHK1" s="11">
        <f>IF(OR(SwitchPB&lt;&gt;"ON",Universe!$B$449=""),"",Universe!$B$449)</f>
        <v/>
      </c>
      <c r="AHM1" s="11">
        <f>IF(OR(SwitchPB&lt;&gt;"ON",Universe!$B$450=""),"",Universe!$B$450)</f>
        <v/>
      </c>
      <c r="AHO1" s="11">
        <f>IF(OR(SwitchPB&lt;&gt;"ON",Universe!$B$451=""),"",Universe!$B$451)</f>
        <v/>
      </c>
      <c r="AHQ1" s="11">
        <f>IF(OR(SwitchPB&lt;&gt;"ON",Universe!$B$452=""),"",Universe!$B$452)</f>
        <v/>
      </c>
      <c r="AHS1" s="11">
        <f>IF(OR(SwitchPB&lt;&gt;"ON",Universe!$B$453=""),"",Universe!$B$453)</f>
        <v/>
      </c>
      <c r="AHU1" s="11">
        <f>IF(OR(SwitchPB&lt;&gt;"ON",Universe!$B$454=""),"",Universe!$B$454)</f>
        <v/>
      </c>
      <c r="AHW1" s="11">
        <f>IF(OR(SwitchPB&lt;&gt;"ON",Universe!$B$455=""),"",Universe!$B$455)</f>
        <v/>
      </c>
      <c r="AHY1" s="11">
        <f>IF(OR(SwitchPB&lt;&gt;"ON",Universe!$B$456=""),"",Universe!$B$456)</f>
        <v/>
      </c>
      <c r="AIA1" s="11">
        <f>IF(OR(SwitchPB&lt;&gt;"ON",Universe!$B$457=""),"",Universe!$B$457)</f>
        <v/>
      </c>
      <c r="AIC1" s="11">
        <f>IF(OR(SwitchPB&lt;&gt;"ON",Universe!$B$458=""),"",Universe!$B$458)</f>
        <v/>
      </c>
      <c r="AIE1" s="11">
        <f>IF(OR(SwitchPB&lt;&gt;"ON",Universe!$B$459=""),"",Universe!$B$459)</f>
        <v/>
      </c>
      <c r="AIG1" s="11">
        <f>IF(OR(SwitchPB&lt;&gt;"ON",Universe!$B$460=""),"",Universe!$B$460)</f>
        <v/>
      </c>
      <c r="AII1" s="11">
        <f>IF(OR(SwitchPB&lt;&gt;"ON",Universe!$B$461=""),"",Universe!$B$461)</f>
        <v/>
      </c>
      <c r="AIK1" s="11">
        <f>IF(OR(SwitchPB&lt;&gt;"ON",Universe!$B$462=""),"",Universe!$B$462)</f>
        <v/>
      </c>
      <c r="AIM1" s="11">
        <f>IF(OR(SwitchPB&lt;&gt;"ON",Universe!$B$463=""),"",Universe!$B$463)</f>
        <v/>
      </c>
      <c r="AIO1" s="11">
        <f>IF(OR(SwitchPB&lt;&gt;"ON",Universe!$B$464=""),"",Universe!$B$464)</f>
        <v/>
      </c>
      <c r="AIQ1" s="11">
        <f>IF(OR(SwitchPB&lt;&gt;"ON",Universe!$B$465=""),"",Universe!$B$465)</f>
        <v/>
      </c>
      <c r="AIS1" s="11">
        <f>IF(OR(SwitchPB&lt;&gt;"ON",Universe!$B$466=""),"",Universe!$B$466)</f>
        <v/>
      </c>
      <c r="AIU1" s="11">
        <f>IF(OR(SwitchPB&lt;&gt;"ON",Universe!$B$467=""),"",Universe!$B$467)</f>
        <v/>
      </c>
      <c r="AIW1" s="11">
        <f>IF(OR(SwitchPB&lt;&gt;"ON",Universe!$B$468=""),"",Universe!$B$468)</f>
        <v/>
      </c>
      <c r="AIY1" s="11">
        <f>IF(OR(SwitchPB&lt;&gt;"ON",Universe!$B$469=""),"",Universe!$B$469)</f>
        <v/>
      </c>
      <c r="AJA1" s="11">
        <f>IF(OR(SwitchPB&lt;&gt;"ON",Universe!$B$470=""),"",Universe!$B$470)</f>
        <v/>
      </c>
      <c r="AJC1" s="11">
        <f>IF(OR(SwitchPB&lt;&gt;"ON",Universe!$B$471=""),"",Universe!$B$471)</f>
        <v/>
      </c>
      <c r="AJE1" s="11">
        <f>IF(OR(SwitchPB&lt;&gt;"ON",Universe!$B$472=""),"",Universe!$B$472)</f>
        <v/>
      </c>
      <c r="AJG1" s="11">
        <f>IF(OR(SwitchPB&lt;&gt;"ON",Universe!$B$473=""),"",Universe!$B$473)</f>
        <v/>
      </c>
      <c r="AJI1" s="11">
        <f>IF(OR(SwitchPB&lt;&gt;"ON",Universe!$B$474=""),"",Universe!$B$474)</f>
        <v/>
      </c>
      <c r="AJK1" s="11">
        <f>IF(OR(SwitchPB&lt;&gt;"ON",Universe!$B$475=""),"",Universe!$B$475)</f>
        <v/>
      </c>
      <c r="AJM1" s="11">
        <f>IF(OR(SwitchPB&lt;&gt;"ON",Universe!$B$476=""),"",Universe!$B$476)</f>
        <v/>
      </c>
      <c r="AJO1" s="11">
        <f>IF(OR(SwitchPB&lt;&gt;"ON",Universe!$B$477=""),"",Universe!$B$477)</f>
        <v/>
      </c>
      <c r="AJQ1" s="11">
        <f>IF(OR(SwitchPB&lt;&gt;"ON",Universe!$B$478=""),"",Universe!$B$478)</f>
        <v/>
      </c>
      <c r="AJS1" s="11">
        <f>IF(OR(SwitchPB&lt;&gt;"ON",Universe!$B$479=""),"",Universe!$B$479)</f>
        <v/>
      </c>
      <c r="AJU1" s="11">
        <f>IF(OR(SwitchPB&lt;&gt;"ON",Universe!$B$480=""),"",Universe!$B$480)</f>
        <v/>
      </c>
      <c r="AJW1" s="11">
        <f>IF(OR(SwitchPB&lt;&gt;"ON",Universe!$B$481=""),"",Universe!$B$481)</f>
        <v/>
      </c>
      <c r="AJY1" s="11">
        <f>IF(OR(SwitchPB&lt;&gt;"ON",Universe!$B$482=""),"",Universe!$B$482)</f>
        <v/>
      </c>
      <c r="AKA1" s="11">
        <f>IF(OR(SwitchPB&lt;&gt;"ON",Universe!$B$483=""),"",Universe!$B$483)</f>
        <v/>
      </c>
      <c r="AKC1" s="11">
        <f>IF(OR(SwitchPB&lt;&gt;"ON",Universe!$B$484=""),"",Universe!$B$484)</f>
        <v/>
      </c>
      <c r="AKE1" s="11">
        <f>IF(OR(SwitchPB&lt;&gt;"ON",Universe!$B$485=""),"",Universe!$B$485)</f>
        <v/>
      </c>
      <c r="AKG1" s="11">
        <f>IF(OR(SwitchPB&lt;&gt;"ON",Universe!$B$486=""),"",Universe!$B$486)</f>
        <v/>
      </c>
      <c r="AKI1" s="11">
        <f>IF(OR(SwitchPB&lt;&gt;"ON",Universe!$B$487=""),"",Universe!$B$487)</f>
        <v/>
      </c>
      <c r="AKK1" s="11">
        <f>IF(OR(SwitchPB&lt;&gt;"ON",Universe!$B$488=""),"",Universe!$B$488)</f>
        <v/>
      </c>
      <c r="AKM1" s="11">
        <f>IF(OR(SwitchPB&lt;&gt;"ON",Universe!$B$489=""),"",Universe!$B$489)</f>
        <v/>
      </c>
      <c r="AKO1" s="11">
        <f>IF(OR(SwitchPB&lt;&gt;"ON",Universe!$B$490=""),"",Universe!$B$490)</f>
        <v/>
      </c>
      <c r="AKQ1" s="11">
        <f>IF(OR(SwitchPB&lt;&gt;"ON",Universe!$B$491=""),"",Universe!$B$491)</f>
        <v/>
      </c>
      <c r="AKS1" s="11">
        <f>IF(OR(SwitchPB&lt;&gt;"ON",Universe!$B$492=""),"",Universe!$B$492)</f>
        <v/>
      </c>
      <c r="AKU1" s="11">
        <f>IF(OR(SwitchPB&lt;&gt;"ON",Universe!$B$493=""),"",Universe!$B$493)</f>
        <v/>
      </c>
      <c r="AKW1" s="11">
        <f>IF(OR(SwitchPB&lt;&gt;"ON",Universe!$B$494=""),"",Universe!$B$494)</f>
        <v/>
      </c>
      <c r="AKY1" s="11">
        <f>IF(OR(SwitchPB&lt;&gt;"ON",Universe!$B$495=""),"",Universe!$B$495)</f>
        <v/>
      </c>
      <c r="ALA1" s="11">
        <f>IF(OR(SwitchPB&lt;&gt;"ON",Universe!$B$496=""),"",Universe!$B$496)</f>
        <v/>
      </c>
      <c r="ALC1" s="11">
        <f>IF(OR(SwitchPB&lt;&gt;"ON",Universe!$B$497=""),"",Universe!$B$497)</f>
        <v/>
      </c>
      <c r="ALE1" s="11">
        <f>IF(OR(SwitchPB&lt;&gt;"ON",Universe!$B$498=""),"",Universe!$B$498)</f>
        <v/>
      </c>
      <c r="ALG1" s="11">
        <f>IF(OR(SwitchPB&lt;&gt;"ON",Universe!$B$499=""),"",Universe!$B$499)</f>
        <v/>
      </c>
      <c r="ALI1" s="11">
        <f>IF(OR(SwitchPB&lt;&gt;"ON",Universe!$B$500=""),"",Universe!$B$500)</f>
        <v/>
      </c>
      <c r="ALK1" s="11">
        <f>IF(OR(SwitchPB&lt;&gt;"ON",Universe!$B$501=""),"",Universe!$B$501)</f>
        <v/>
      </c>
      <c r="ALM1" s="11">
        <f>IF(OR(SwitchPB&lt;&gt;"ON",Universe!$B$502=""),"",Universe!$B$502)</f>
        <v/>
      </c>
      <c r="ALO1" s="11">
        <f>IF(OR(SwitchPB&lt;&gt;"ON",Universe!$B$503=""),"",Universe!$B$503)</f>
        <v/>
      </c>
      <c r="ALQ1" s="11">
        <f>IF(OR(SwitchPB&lt;&gt;"ON",Universe!$B$504=""),"",Universe!$B$504)</f>
        <v/>
      </c>
      <c r="ALS1" s="11">
        <f>IF(OR(SwitchPB&lt;&gt;"ON",Universe!$B$505=""),"",Universe!$B$505)</f>
        <v/>
      </c>
      <c r="ALU1" s="11">
        <f>IF(OR(SwitchPB&lt;&gt;"ON",Universe!$B$506=""),"",Universe!$B$506)</f>
        <v/>
      </c>
      <c r="ALW1" s="11">
        <f>IF(OR(SwitchPB&lt;&gt;"ON",Universe!$B$507=""),"",Universe!$B$507)</f>
        <v/>
      </c>
      <c r="ALY1" s="11">
        <f>IF(OR(SwitchPB&lt;&gt;"ON",Universe!$B$508=""),"",Universe!$B$508)</f>
        <v/>
      </c>
      <c r="AMA1" s="11">
        <f>IF(OR(SwitchPB&lt;&gt;"ON",Universe!$B$509=""),"",Universe!$B$509)</f>
        <v/>
      </c>
      <c r="AMC1" s="11">
        <f>IF(OR(SwitchPB&lt;&gt;"ON",Universe!$B$510=""),"",Universe!$B$510)</f>
        <v/>
      </c>
      <c r="AME1" s="11">
        <f>IF(OR(SwitchPB&lt;&gt;"ON",Universe!$B$511=""),"",Universe!$B$511)</f>
        <v/>
      </c>
      <c r="AMG1" s="11">
        <f>IF(OR(SwitchPB&lt;&gt;"ON",Universe!$B$512=""),"",Universe!$B$512)</f>
        <v/>
      </c>
      <c r="AMI1" s="11">
        <f>IF(OR(SwitchPB&lt;&gt;"ON",Universe!$B$513=""),"",Universe!$B$513)</f>
        <v/>
      </c>
      <c r="AMK1" s="11">
        <f>IF(OR(SwitchPB&lt;&gt;"ON",Universe!$B$514=""),"",Universe!$B$514)</f>
        <v/>
      </c>
      <c r="AMM1" s="11">
        <f>IF(OR(SwitchPB&lt;&gt;"ON",Universe!$B$515=""),"",Universe!$B$515)</f>
        <v/>
      </c>
      <c r="AMO1" s="11">
        <f>IF(OR(SwitchPB&lt;&gt;"ON",Universe!$B$516=""),"",Universe!$B$516)</f>
        <v/>
      </c>
      <c r="AMQ1" s="11">
        <f>IF(OR(SwitchPB&lt;&gt;"ON",Universe!$B$517=""),"",Universe!$B$517)</f>
        <v/>
      </c>
      <c r="AMS1" s="11">
        <f>IF(OR(SwitchPB&lt;&gt;"ON",Universe!$B$518=""),"",Universe!$B$518)</f>
        <v/>
      </c>
      <c r="AMU1" s="11">
        <f>IF(OR(SwitchPB&lt;&gt;"ON",Universe!$B$519=""),"",Universe!$B$519)</f>
        <v/>
      </c>
      <c r="AMW1" s="11">
        <f>IF(OR(SwitchPB&lt;&gt;"ON",Universe!$B$520=""),"",Universe!$B$520)</f>
        <v/>
      </c>
      <c r="AMY1" s="11">
        <f>IF(OR(SwitchPB&lt;&gt;"ON",Universe!$B$521=""),"",Universe!$B$521)</f>
        <v/>
      </c>
      <c r="ANA1" s="11">
        <f>IF(OR(SwitchPB&lt;&gt;"ON",Universe!$B$522=""),"",Universe!$B$522)</f>
        <v/>
      </c>
      <c r="ANC1" s="11">
        <f>IF(OR(SwitchPB&lt;&gt;"ON",Universe!$B$523=""),"",Universe!$B$523)</f>
        <v/>
      </c>
      <c r="ANE1" s="11">
        <f>IF(OR(SwitchPB&lt;&gt;"ON",Universe!$B$524=""),"",Universe!$B$524)</f>
        <v/>
      </c>
      <c r="ANG1" s="11">
        <f>IF(OR(SwitchPB&lt;&gt;"ON",Universe!$B$525=""),"",Universe!$B$525)</f>
        <v/>
      </c>
      <c r="ANI1" s="11">
        <f>IF(OR(SwitchPB&lt;&gt;"ON",Universe!$B$526=""),"",Universe!$B$526)</f>
        <v/>
      </c>
      <c r="ANK1" s="11">
        <f>IF(OR(SwitchPB&lt;&gt;"ON",Universe!$B$527=""),"",Universe!$B$527)</f>
        <v/>
      </c>
      <c r="ANM1" s="11">
        <f>IF(OR(SwitchPB&lt;&gt;"ON",Universe!$B$528=""),"",Universe!$B$528)</f>
        <v/>
      </c>
      <c r="ANO1" s="11">
        <f>IF(OR(SwitchPB&lt;&gt;"ON",Universe!$B$529=""),"",Universe!$B$529)</f>
        <v/>
      </c>
      <c r="ANQ1" s="11">
        <f>IF(OR(SwitchPB&lt;&gt;"ON",Universe!$B$530=""),"",Universe!$B$530)</f>
        <v/>
      </c>
      <c r="ANS1" s="11">
        <f>IF(OR(SwitchPB&lt;&gt;"ON",Universe!$B$531=""),"",Universe!$B$531)</f>
        <v/>
      </c>
      <c r="ANU1" s="11">
        <f>IF(OR(SwitchPB&lt;&gt;"ON",Universe!$B$532=""),"",Universe!$B$532)</f>
        <v/>
      </c>
      <c r="ANW1" s="11">
        <f>IF(OR(SwitchPB&lt;&gt;"ON",Universe!$B$533=""),"",Universe!$B$533)</f>
        <v/>
      </c>
      <c r="ANY1" s="11">
        <f>IF(OR(SwitchPB&lt;&gt;"ON",Universe!$B$534=""),"",Universe!$B$534)</f>
        <v/>
      </c>
      <c r="AOA1" s="11">
        <f>IF(OR(SwitchPB&lt;&gt;"ON",Universe!$B$535=""),"",Universe!$B$535)</f>
        <v/>
      </c>
      <c r="AOC1" s="11">
        <f>IF(OR(SwitchPB&lt;&gt;"ON",Universe!$B$536=""),"",Universe!$B$536)</f>
        <v/>
      </c>
      <c r="AOE1" s="11">
        <f>IF(OR(SwitchPB&lt;&gt;"ON",Universe!$B$537=""),"",Universe!$B$537)</f>
        <v/>
      </c>
      <c r="AOG1" s="11">
        <f>IF(OR(SwitchPB&lt;&gt;"ON",Universe!$B$538=""),"",Universe!$B$538)</f>
        <v/>
      </c>
      <c r="AOI1" s="11">
        <f>IF(OR(SwitchPB&lt;&gt;"ON",Universe!$B$539=""),"",Universe!$B$539)</f>
        <v/>
      </c>
      <c r="AOK1" s="11">
        <f>IF(OR(SwitchPB&lt;&gt;"ON",Universe!$B$540=""),"",Universe!$B$540)</f>
        <v/>
      </c>
      <c r="AOM1" s="11">
        <f>IF(OR(SwitchPB&lt;&gt;"ON",Universe!$B$541=""),"",Universe!$B$541)</f>
        <v/>
      </c>
      <c r="AOO1" s="11">
        <f>IF(OR(SwitchPB&lt;&gt;"ON",Universe!$B$542=""),"",Universe!$B$542)</f>
        <v/>
      </c>
      <c r="AOQ1" s="11">
        <f>IF(OR(SwitchPB&lt;&gt;"ON",Universe!$B$543=""),"",Universe!$B$543)</f>
        <v/>
      </c>
      <c r="AOS1" s="11">
        <f>IF(OR(SwitchPB&lt;&gt;"ON",Universe!$B$544=""),"",Universe!$B$544)</f>
        <v/>
      </c>
      <c r="AOU1" s="11">
        <f>IF(OR(SwitchPB&lt;&gt;"ON",Universe!$B$545=""),"",Universe!$B$545)</f>
        <v/>
      </c>
      <c r="AOW1" s="11">
        <f>IF(OR(SwitchPB&lt;&gt;"ON",Universe!$B$546=""),"",Universe!$B$546)</f>
        <v/>
      </c>
      <c r="AOY1" s="11">
        <f>IF(OR(SwitchPB&lt;&gt;"ON",Universe!$B$547=""),"",Universe!$B$547)</f>
        <v/>
      </c>
      <c r="APA1" s="11">
        <f>IF(OR(SwitchPB&lt;&gt;"ON",Universe!$B$548=""),"",Universe!$B$548)</f>
        <v/>
      </c>
      <c r="APC1" s="11">
        <f>IF(OR(SwitchPB&lt;&gt;"ON",Universe!$B$549=""),"",Universe!$B$549)</f>
        <v/>
      </c>
      <c r="APE1" s="11">
        <f>IF(OR(SwitchPB&lt;&gt;"ON",Universe!$B$550=""),"",Universe!$B$550)</f>
        <v/>
      </c>
      <c r="APG1" s="11">
        <f>IF(OR(SwitchPB&lt;&gt;"ON",Universe!$B$551=""),"",Universe!$B$551)</f>
        <v/>
      </c>
      <c r="API1" s="11">
        <f>IF(OR(SwitchPB&lt;&gt;"ON",Universe!$B$552=""),"",Universe!$B$552)</f>
        <v/>
      </c>
      <c r="APK1" s="11">
        <f>IF(OR(SwitchPB&lt;&gt;"ON",Universe!$B$553=""),"",Universe!$B$553)</f>
        <v/>
      </c>
      <c r="APM1" s="11">
        <f>IF(OR(SwitchPB&lt;&gt;"ON",Universe!$B$554=""),"",Universe!$B$554)</f>
        <v/>
      </c>
      <c r="APO1" s="11">
        <f>IF(OR(SwitchPB&lt;&gt;"ON",Universe!$B$555=""),"",Universe!$B$555)</f>
        <v/>
      </c>
      <c r="APQ1" s="11">
        <f>IF(OR(SwitchPB&lt;&gt;"ON",Universe!$B$556=""),"",Universe!$B$556)</f>
        <v/>
      </c>
      <c r="APS1" s="11">
        <f>IF(OR(SwitchPB&lt;&gt;"ON",Universe!$B$557=""),"",Universe!$B$557)</f>
        <v/>
      </c>
      <c r="APU1" s="11">
        <f>IF(OR(SwitchPB&lt;&gt;"ON",Universe!$B$558=""),"",Universe!$B$558)</f>
        <v/>
      </c>
      <c r="APW1" s="11">
        <f>IF(OR(SwitchPB&lt;&gt;"ON",Universe!$B$559=""),"",Universe!$B$559)</f>
        <v/>
      </c>
      <c r="APY1" s="11">
        <f>IF(OR(SwitchPB&lt;&gt;"ON",Universe!$B$560=""),"",Universe!$B$560)</f>
        <v/>
      </c>
      <c r="AQA1" s="11">
        <f>IF(OR(SwitchPB&lt;&gt;"ON",Universe!$B$561=""),"",Universe!$B$561)</f>
        <v/>
      </c>
      <c r="AQC1" s="11">
        <f>IF(OR(SwitchPB&lt;&gt;"ON",Universe!$B$562=""),"",Universe!$B$562)</f>
        <v/>
      </c>
      <c r="AQE1" s="11">
        <f>IF(OR(SwitchPB&lt;&gt;"ON",Universe!$B$563=""),"",Universe!$B$563)</f>
        <v/>
      </c>
      <c r="AQG1" s="11">
        <f>IF(OR(SwitchPB&lt;&gt;"ON",Universe!$B$564=""),"",Universe!$B$564)</f>
        <v/>
      </c>
      <c r="AQI1" s="11">
        <f>IF(OR(SwitchPB&lt;&gt;"ON",Universe!$B$565=""),"",Universe!$B$565)</f>
        <v/>
      </c>
      <c r="AQK1" s="11">
        <f>IF(OR(SwitchPB&lt;&gt;"ON",Universe!$B$566=""),"",Universe!$B$566)</f>
        <v/>
      </c>
      <c r="AQM1" s="11">
        <f>IF(OR(SwitchPB&lt;&gt;"ON",Universe!$B$567=""),"",Universe!$B$567)</f>
        <v/>
      </c>
      <c r="AQO1" s="11">
        <f>IF(OR(SwitchPB&lt;&gt;"ON",Universe!$B$568=""),"",Universe!$B$568)</f>
        <v/>
      </c>
      <c r="AQQ1" s="11">
        <f>IF(OR(SwitchPB&lt;&gt;"ON",Universe!$B$569=""),"",Universe!$B$569)</f>
        <v/>
      </c>
      <c r="AQS1" s="11">
        <f>IF(OR(SwitchPB&lt;&gt;"ON",Universe!$B$570=""),"",Universe!$B$570)</f>
        <v/>
      </c>
      <c r="AQU1" s="11">
        <f>IF(OR(SwitchPB&lt;&gt;"ON",Universe!$B$571=""),"",Universe!$B$571)</f>
        <v/>
      </c>
      <c r="AQW1" s="11">
        <f>IF(OR(SwitchPB&lt;&gt;"ON",Universe!$B$572=""),"",Universe!$B$572)</f>
        <v/>
      </c>
      <c r="AQY1" s="11">
        <f>IF(OR(SwitchPB&lt;&gt;"ON",Universe!$B$573=""),"",Universe!$B$573)</f>
        <v/>
      </c>
      <c r="ARA1" s="11">
        <f>IF(OR(SwitchPB&lt;&gt;"ON",Universe!$B$574=""),"",Universe!$B$574)</f>
        <v/>
      </c>
      <c r="ARC1" s="11">
        <f>IF(OR(SwitchPB&lt;&gt;"ON",Universe!$B$575=""),"",Universe!$B$575)</f>
        <v/>
      </c>
      <c r="ARE1" s="11">
        <f>IF(OR(SwitchPB&lt;&gt;"ON",Universe!$B$576=""),"",Universe!$B$576)</f>
        <v/>
      </c>
      <c r="ARG1" s="11">
        <f>IF(OR(SwitchPB&lt;&gt;"ON",Universe!$B$577=""),"",Universe!$B$577)</f>
        <v/>
      </c>
      <c r="ARI1" s="11">
        <f>IF(OR(SwitchPB&lt;&gt;"ON",Universe!$B$578=""),"",Universe!$B$578)</f>
        <v/>
      </c>
      <c r="ARK1" s="11">
        <f>IF(OR(SwitchPB&lt;&gt;"ON",Universe!$B$579=""),"",Universe!$B$579)</f>
        <v/>
      </c>
      <c r="ARM1" s="11">
        <f>IF(OR(SwitchPB&lt;&gt;"ON",Universe!$B$580=""),"",Universe!$B$580)</f>
        <v/>
      </c>
      <c r="ARO1" s="11">
        <f>IF(OR(SwitchPB&lt;&gt;"ON",Universe!$B$581=""),"",Universe!$B$581)</f>
        <v/>
      </c>
      <c r="ARQ1" s="11">
        <f>IF(OR(SwitchPB&lt;&gt;"ON",Universe!$B$582=""),"",Universe!$B$582)</f>
        <v/>
      </c>
      <c r="ARS1" s="11">
        <f>IF(OR(SwitchPB&lt;&gt;"ON",Universe!$B$583=""),"",Universe!$B$583)</f>
        <v/>
      </c>
      <c r="ARU1" s="11">
        <f>IF(OR(SwitchPB&lt;&gt;"ON",Universe!$B$584=""),"",Universe!$B$584)</f>
        <v/>
      </c>
      <c r="ARW1" s="11">
        <f>IF(OR(SwitchPB&lt;&gt;"ON",Universe!$B$585=""),"",Universe!$B$585)</f>
        <v/>
      </c>
      <c r="ARY1" s="11">
        <f>IF(OR(SwitchPB&lt;&gt;"ON",Universe!$B$586=""),"",Universe!$B$586)</f>
        <v/>
      </c>
      <c r="ASA1" s="11">
        <f>IF(OR(SwitchPB&lt;&gt;"ON",Universe!$B$587=""),"",Universe!$B$587)</f>
        <v/>
      </c>
      <c r="ASC1" s="11">
        <f>IF(OR(SwitchPB&lt;&gt;"ON",Universe!$B$588=""),"",Universe!$B$588)</f>
        <v/>
      </c>
      <c r="ASE1" s="11">
        <f>IF(OR(SwitchPB&lt;&gt;"ON",Universe!$B$589=""),"",Universe!$B$589)</f>
        <v/>
      </c>
      <c r="ASG1" s="11">
        <f>IF(OR(SwitchPB&lt;&gt;"ON",Universe!$B$590=""),"",Universe!$B$590)</f>
        <v/>
      </c>
      <c r="ASI1" s="11">
        <f>IF(OR(SwitchPB&lt;&gt;"ON",Universe!$B$591=""),"",Universe!$B$591)</f>
        <v/>
      </c>
      <c r="ASK1" s="11">
        <f>IF(OR(SwitchPB&lt;&gt;"ON",Universe!$B$592=""),"",Universe!$B$592)</f>
        <v/>
      </c>
      <c r="ASM1" s="11">
        <f>IF(OR(SwitchPB&lt;&gt;"ON",Universe!$B$593=""),"",Universe!$B$593)</f>
        <v/>
      </c>
      <c r="ASO1" s="11">
        <f>IF(OR(SwitchPB&lt;&gt;"ON",Universe!$B$594=""),"",Universe!$B$594)</f>
        <v/>
      </c>
      <c r="ASQ1" s="11">
        <f>IF(OR(SwitchPB&lt;&gt;"ON",Universe!$B$595=""),"",Universe!$B$595)</f>
        <v/>
      </c>
      <c r="ASS1" s="11">
        <f>IF(OR(SwitchPB&lt;&gt;"ON",Universe!$B$596=""),"",Universe!$B$596)</f>
        <v/>
      </c>
      <c r="ASU1" s="11">
        <f>IF(OR(SwitchPB&lt;&gt;"ON",Universe!$B$597=""),"",Universe!$B$597)</f>
        <v/>
      </c>
      <c r="ASW1" s="11">
        <f>IF(OR(SwitchPB&lt;&gt;"ON",Universe!$B$598=""),"",Universe!$B$598)</f>
        <v/>
      </c>
      <c r="ASY1" s="11">
        <f>IF(OR(SwitchPB&lt;&gt;"ON",Universe!$B$599=""),"",Universe!$B$599)</f>
        <v/>
      </c>
      <c r="ATA1" s="11">
        <f>IF(OR(SwitchPB&lt;&gt;"ON",Universe!$B$600=""),"",Universe!$B$600)</f>
        <v/>
      </c>
      <c r="ATC1" s="11">
        <f>IF(OR(SwitchPB&lt;&gt;"ON",Universe!$B$601=""),"",Universe!$B$601)</f>
        <v/>
      </c>
      <c r="ATE1" s="11">
        <f>IF(OR(SwitchPB&lt;&gt;"ON",Universe!$B$602=""),"",Universe!$B$602)</f>
        <v/>
      </c>
      <c r="ATG1" s="11">
        <f>IF(OR(SwitchPB&lt;&gt;"ON",Universe!$B$603=""),"",Universe!$B$603)</f>
        <v/>
      </c>
      <c r="ATI1" s="11">
        <f>IF(OR(SwitchPB&lt;&gt;"ON",Universe!$B$604=""),"",Universe!$B$604)</f>
        <v/>
      </c>
      <c r="ATK1" s="11">
        <f>IF(OR(SwitchPB&lt;&gt;"ON",Universe!$B$605=""),"",Universe!$B$605)</f>
        <v/>
      </c>
      <c r="ATM1" s="11">
        <f>IF(OR(SwitchPB&lt;&gt;"ON",Universe!$B$606=""),"",Universe!$B$606)</f>
        <v/>
      </c>
      <c r="ATO1" s="11">
        <f>IF(OR(SwitchPB&lt;&gt;"ON",Universe!$B$607=""),"",Universe!$B$607)</f>
        <v/>
      </c>
      <c r="ATQ1" s="11">
        <f>IF(OR(SwitchPB&lt;&gt;"ON",Universe!$B$608=""),"",Universe!$B$608)</f>
        <v/>
      </c>
      <c r="ATS1" s="11">
        <f>IF(OR(SwitchPB&lt;&gt;"ON",Universe!$B$609=""),"",Universe!$B$609)</f>
        <v/>
      </c>
      <c r="ATU1" s="11">
        <f>IF(OR(SwitchPB&lt;&gt;"ON",Universe!$B$610=""),"",Universe!$B$610)</f>
        <v/>
      </c>
      <c r="ATW1" s="11">
        <f>IF(OR(SwitchPB&lt;&gt;"ON",Universe!$B$611=""),"",Universe!$B$611)</f>
        <v/>
      </c>
      <c r="ATY1" s="11">
        <f>IF(OR(SwitchPB&lt;&gt;"ON",Universe!$B$612=""),"",Universe!$B$612)</f>
        <v/>
      </c>
      <c r="AUA1" s="11">
        <f>IF(OR(SwitchPB&lt;&gt;"ON",Universe!$B$613=""),"",Universe!$B$613)</f>
        <v/>
      </c>
      <c r="AUC1" s="11">
        <f>IF(OR(SwitchPB&lt;&gt;"ON",Universe!$B$614=""),"",Universe!$B$614)</f>
        <v/>
      </c>
      <c r="AUE1" s="11">
        <f>IF(OR(SwitchPB&lt;&gt;"ON",Universe!$B$615=""),"",Universe!$B$615)</f>
        <v/>
      </c>
      <c r="AUG1" s="11">
        <f>IF(OR(SwitchPB&lt;&gt;"ON",Universe!$B$616=""),"",Universe!$B$616)</f>
        <v/>
      </c>
      <c r="AUI1" s="11">
        <f>IF(OR(SwitchPB&lt;&gt;"ON",Universe!$B$617=""),"",Universe!$B$617)</f>
        <v/>
      </c>
      <c r="AUK1" s="11">
        <f>IF(OR(SwitchPB&lt;&gt;"ON",Universe!$B$618=""),"",Universe!$B$618)</f>
        <v/>
      </c>
      <c r="AUM1" s="11">
        <f>IF(OR(SwitchPB&lt;&gt;"ON",Universe!$B$619=""),"",Universe!$B$619)</f>
        <v/>
      </c>
      <c r="AUO1" s="11">
        <f>IF(OR(SwitchPB&lt;&gt;"ON",Universe!$B$620=""),"",Universe!$B$620)</f>
        <v/>
      </c>
      <c r="AUQ1" s="11">
        <f>IF(OR(SwitchPB&lt;&gt;"ON",Universe!$B$621=""),"",Universe!$B$621)</f>
        <v/>
      </c>
      <c r="AUS1" s="11">
        <f>IF(OR(SwitchPB&lt;&gt;"ON",Universe!$B$622=""),"",Universe!$B$622)</f>
        <v/>
      </c>
      <c r="AUU1" s="11">
        <f>IF(OR(SwitchPB&lt;&gt;"ON",Universe!$B$623=""),"",Universe!$B$623)</f>
        <v/>
      </c>
      <c r="AUW1" s="11">
        <f>IF(OR(SwitchPB&lt;&gt;"ON",Universe!$B$624=""),"",Universe!$B$624)</f>
        <v/>
      </c>
      <c r="AUY1" s="11">
        <f>IF(OR(SwitchPB&lt;&gt;"ON",Universe!$B$625=""),"",Universe!$B$625)</f>
        <v/>
      </c>
      <c r="AVA1" s="11">
        <f>IF(OR(SwitchPB&lt;&gt;"ON",Universe!$B$626=""),"",Universe!$B$626)</f>
        <v/>
      </c>
      <c r="AVC1" s="11">
        <f>IF(OR(SwitchPB&lt;&gt;"ON",Universe!$B$627=""),"",Universe!$B$627)</f>
        <v/>
      </c>
      <c r="AVE1" s="11">
        <f>IF(OR(SwitchPB&lt;&gt;"ON",Universe!$B$628=""),"",Universe!$B$628)</f>
        <v/>
      </c>
      <c r="AVG1" s="11">
        <f>IF(OR(SwitchPB&lt;&gt;"ON",Universe!$B$629=""),"",Universe!$B$629)</f>
        <v/>
      </c>
      <c r="AVI1" s="11">
        <f>IF(OR(SwitchPB&lt;&gt;"ON",Universe!$B$630=""),"",Universe!$B$630)</f>
        <v/>
      </c>
      <c r="AVK1" s="11">
        <f>IF(OR(SwitchPB&lt;&gt;"ON",Universe!$B$631=""),"",Universe!$B$631)</f>
        <v/>
      </c>
      <c r="AVM1" s="11">
        <f>IF(OR(SwitchPB&lt;&gt;"ON",Universe!$B$632=""),"",Universe!$B$632)</f>
        <v/>
      </c>
      <c r="AVO1" s="11">
        <f>IF(OR(SwitchPB&lt;&gt;"ON",Universe!$B$633=""),"",Universe!$B$633)</f>
        <v/>
      </c>
      <c r="AVQ1" s="11">
        <f>IF(OR(SwitchPB&lt;&gt;"ON",Universe!$B$634=""),"",Universe!$B$634)</f>
        <v/>
      </c>
      <c r="AVS1" s="11">
        <f>IF(OR(SwitchPB&lt;&gt;"ON",Universe!$B$635=""),"",Universe!$B$635)</f>
        <v/>
      </c>
      <c r="AVU1" s="11">
        <f>IF(OR(SwitchPB&lt;&gt;"ON",Universe!$B$636=""),"",Universe!$B$636)</f>
        <v/>
      </c>
      <c r="AVW1" s="11">
        <f>IF(OR(SwitchPB&lt;&gt;"ON",Universe!$B$637=""),"",Universe!$B$637)</f>
        <v/>
      </c>
      <c r="AVY1" s="11">
        <f>IF(OR(SwitchPB&lt;&gt;"ON",Universe!$B$638=""),"",Universe!$B$638)</f>
        <v/>
      </c>
      <c r="AWA1" s="11">
        <f>IF(OR(SwitchPB&lt;&gt;"ON",Universe!$B$639=""),"",Universe!$B$639)</f>
        <v/>
      </c>
      <c r="AWC1" s="11">
        <f>IF(OR(SwitchPB&lt;&gt;"ON",Universe!$B$640=""),"",Universe!$B$640)</f>
        <v/>
      </c>
      <c r="AWE1" s="11">
        <f>IF(OR(SwitchPB&lt;&gt;"ON",Universe!$B$641=""),"",Universe!$B$641)</f>
        <v/>
      </c>
      <c r="AWG1" s="11">
        <f>IF(OR(SwitchPB&lt;&gt;"ON",Universe!$B$642=""),"",Universe!$B$642)</f>
        <v/>
      </c>
      <c r="AWI1" s="11">
        <f>IF(OR(SwitchPB&lt;&gt;"ON",Universe!$B$643=""),"",Universe!$B$643)</f>
        <v/>
      </c>
      <c r="AWK1" s="11">
        <f>IF(OR(SwitchPB&lt;&gt;"ON",Universe!$B$644=""),"",Universe!$B$644)</f>
        <v/>
      </c>
      <c r="AWM1" s="11">
        <f>IF(OR(SwitchPB&lt;&gt;"ON",Universe!$B$645=""),"",Universe!$B$645)</f>
        <v/>
      </c>
      <c r="AWO1" s="11">
        <f>IF(OR(SwitchPB&lt;&gt;"ON",Universe!$B$646=""),"",Universe!$B$646)</f>
        <v/>
      </c>
      <c r="AWQ1" s="11">
        <f>IF(OR(SwitchPB&lt;&gt;"ON",Universe!$B$647=""),"",Universe!$B$647)</f>
        <v/>
      </c>
      <c r="AWS1" s="11">
        <f>IF(OR(SwitchPB&lt;&gt;"ON",Universe!$B$648=""),"",Universe!$B$648)</f>
        <v/>
      </c>
      <c r="AWU1" s="11">
        <f>IF(OR(SwitchPB&lt;&gt;"ON",Universe!$B$649=""),"",Universe!$B$649)</f>
        <v/>
      </c>
      <c r="AWW1" s="11">
        <f>IF(OR(SwitchPB&lt;&gt;"ON",Universe!$B$650=""),"",Universe!$B$650)</f>
        <v/>
      </c>
      <c r="AWY1" s="11">
        <f>IF(OR(SwitchPB&lt;&gt;"ON",Universe!$B$651=""),"",Universe!$B$651)</f>
        <v/>
      </c>
      <c r="AXA1" s="11">
        <f>IF(OR(SwitchPB&lt;&gt;"ON",Universe!$B$652=""),"",Universe!$B$652)</f>
        <v/>
      </c>
      <c r="AXC1" s="11">
        <f>IF(OR(SwitchPB&lt;&gt;"ON",Universe!$B$653=""),"",Universe!$B$653)</f>
        <v/>
      </c>
      <c r="AXE1" s="11">
        <f>IF(OR(SwitchPB&lt;&gt;"ON",Universe!$B$654=""),"",Universe!$B$654)</f>
        <v/>
      </c>
      <c r="AXG1" s="11">
        <f>IF(OR(SwitchPB&lt;&gt;"ON",Universe!$B$655=""),"",Universe!$B$655)</f>
        <v/>
      </c>
      <c r="AXI1" s="11">
        <f>IF(OR(SwitchPB&lt;&gt;"ON",Universe!$B$656=""),"",Universe!$B$656)</f>
        <v/>
      </c>
      <c r="AXK1" s="11">
        <f>IF(OR(SwitchPB&lt;&gt;"ON",Universe!$B$657=""),"",Universe!$B$657)</f>
        <v/>
      </c>
      <c r="AXM1" s="11">
        <f>IF(OR(SwitchPB&lt;&gt;"ON",Universe!$B$658=""),"",Universe!$B$658)</f>
        <v/>
      </c>
      <c r="AXO1" s="11">
        <f>IF(OR(SwitchPB&lt;&gt;"ON",Universe!$B$659=""),"",Universe!$B$659)</f>
        <v/>
      </c>
      <c r="AXQ1" s="11">
        <f>IF(OR(SwitchPB&lt;&gt;"ON",Universe!$B$660=""),"",Universe!$B$660)</f>
        <v/>
      </c>
      <c r="AXS1" s="11">
        <f>IF(OR(SwitchPB&lt;&gt;"ON",Universe!$B$661=""),"",Universe!$B$661)</f>
        <v/>
      </c>
      <c r="AXU1" s="11">
        <f>IF(OR(SwitchPB&lt;&gt;"ON",Universe!$B$662=""),"",Universe!$B$662)</f>
        <v/>
      </c>
      <c r="AXW1" s="11">
        <f>IF(OR(SwitchPB&lt;&gt;"ON",Universe!$B$663=""),"",Universe!$B$663)</f>
        <v/>
      </c>
      <c r="AXY1" s="11">
        <f>IF(OR(SwitchPB&lt;&gt;"ON",Universe!$B$664=""),"",Universe!$B$664)</f>
        <v/>
      </c>
      <c r="AYA1" s="11">
        <f>IF(OR(SwitchPB&lt;&gt;"ON",Universe!$B$665=""),"",Universe!$B$665)</f>
        <v/>
      </c>
      <c r="AYC1" s="11">
        <f>IF(OR(SwitchPB&lt;&gt;"ON",Universe!$B$666=""),"",Universe!$B$666)</f>
        <v/>
      </c>
      <c r="AYE1" s="11">
        <f>IF(OR(SwitchPB&lt;&gt;"ON",Universe!$B$667=""),"",Universe!$B$667)</f>
        <v/>
      </c>
      <c r="AYG1" s="11">
        <f>IF(OR(SwitchPB&lt;&gt;"ON",Universe!$B$668=""),"",Universe!$B$668)</f>
        <v/>
      </c>
      <c r="AYI1" s="11">
        <f>IF(OR(SwitchPB&lt;&gt;"ON",Universe!$B$669=""),"",Universe!$B$669)</f>
        <v/>
      </c>
      <c r="AYK1" s="11">
        <f>IF(OR(SwitchPB&lt;&gt;"ON",Universe!$B$670=""),"",Universe!$B$670)</f>
        <v/>
      </c>
      <c r="AYM1" s="11">
        <f>IF(OR(SwitchPB&lt;&gt;"ON",Universe!$B$671=""),"",Universe!$B$671)</f>
        <v/>
      </c>
      <c r="AYO1" s="11">
        <f>IF(OR(SwitchPB&lt;&gt;"ON",Universe!$B$672=""),"",Universe!$B$672)</f>
        <v/>
      </c>
      <c r="AYQ1" s="11">
        <f>IF(OR(SwitchPB&lt;&gt;"ON",Universe!$B$673=""),"",Universe!$B$673)</f>
        <v/>
      </c>
      <c r="AYS1" s="11">
        <f>IF(OR(SwitchPB&lt;&gt;"ON",Universe!$B$674=""),"",Universe!$B$674)</f>
        <v/>
      </c>
      <c r="AYU1" s="11">
        <f>IF(OR(SwitchPB&lt;&gt;"ON",Universe!$B$675=""),"",Universe!$B$675)</f>
        <v/>
      </c>
      <c r="AYW1" s="11">
        <f>IF(OR(SwitchPB&lt;&gt;"ON",Universe!$B$676=""),"",Universe!$B$676)</f>
        <v/>
      </c>
      <c r="AYY1" s="11">
        <f>IF(OR(SwitchPB&lt;&gt;"ON",Universe!$B$677=""),"",Universe!$B$677)</f>
        <v/>
      </c>
      <c r="AZA1" s="11">
        <f>IF(OR(SwitchPB&lt;&gt;"ON",Universe!$B$678=""),"",Universe!$B$678)</f>
        <v/>
      </c>
      <c r="AZC1" s="11">
        <f>IF(OR(SwitchPB&lt;&gt;"ON",Universe!$B$679=""),"",Universe!$B$679)</f>
        <v/>
      </c>
      <c r="AZE1" s="11">
        <f>IF(OR(SwitchPB&lt;&gt;"ON",Universe!$B$680=""),"",Universe!$B$680)</f>
        <v/>
      </c>
      <c r="AZG1" s="11">
        <f>IF(OR(SwitchPB&lt;&gt;"ON",Universe!$B$681=""),"",Universe!$B$681)</f>
        <v/>
      </c>
      <c r="AZI1" s="11">
        <f>IF(OR(SwitchPB&lt;&gt;"ON",Universe!$B$682=""),"",Universe!$B$682)</f>
        <v/>
      </c>
      <c r="AZK1" s="11">
        <f>IF(OR(SwitchPB&lt;&gt;"ON",Universe!$B$683=""),"",Universe!$B$683)</f>
        <v/>
      </c>
      <c r="AZM1" s="11">
        <f>IF(OR(SwitchPB&lt;&gt;"ON",Universe!$B$684=""),"",Universe!$B$684)</f>
        <v/>
      </c>
      <c r="AZO1" s="11">
        <f>IF(OR(SwitchPB&lt;&gt;"ON",Universe!$B$685=""),"",Universe!$B$685)</f>
        <v/>
      </c>
      <c r="AZQ1" s="11">
        <f>IF(OR(SwitchPB&lt;&gt;"ON",Universe!$B$686=""),"",Universe!$B$686)</f>
        <v/>
      </c>
      <c r="AZS1" s="11">
        <f>IF(OR(SwitchPB&lt;&gt;"ON",Universe!$B$687=""),"",Universe!$B$687)</f>
        <v/>
      </c>
      <c r="AZU1" s="11">
        <f>IF(OR(SwitchPB&lt;&gt;"ON",Universe!$B$688=""),"",Universe!$B$688)</f>
        <v/>
      </c>
      <c r="AZW1" s="11">
        <f>IF(OR(SwitchPB&lt;&gt;"ON",Universe!$B$689=""),"",Universe!$B$689)</f>
        <v/>
      </c>
      <c r="AZY1" s="11">
        <f>IF(OR(SwitchPB&lt;&gt;"ON",Universe!$B$690=""),"",Universe!$B$690)</f>
        <v/>
      </c>
      <c r="BAA1" s="11">
        <f>IF(OR(SwitchPB&lt;&gt;"ON",Universe!$B$691=""),"",Universe!$B$691)</f>
        <v/>
      </c>
      <c r="BAC1" s="11">
        <f>IF(OR(SwitchPB&lt;&gt;"ON",Universe!$B$692=""),"",Universe!$B$692)</f>
        <v/>
      </c>
      <c r="BAE1" s="11">
        <f>IF(OR(SwitchPB&lt;&gt;"ON",Universe!$B$693=""),"",Universe!$B$693)</f>
        <v/>
      </c>
      <c r="BAG1" s="11">
        <f>IF(OR(SwitchPB&lt;&gt;"ON",Universe!$B$694=""),"",Universe!$B$694)</f>
        <v/>
      </c>
      <c r="BAI1" s="11">
        <f>IF(OR(SwitchPB&lt;&gt;"ON",Universe!$B$695=""),"",Universe!$B$695)</f>
        <v/>
      </c>
      <c r="BAK1" s="11">
        <f>IF(OR(SwitchPB&lt;&gt;"ON",Universe!$B$696=""),"",Universe!$B$696)</f>
        <v/>
      </c>
      <c r="BAM1" s="11">
        <f>IF(OR(SwitchPB&lt;&gt;"ON",Universe!$B$697=""),"",Universe!$B$697)</f>
        <v/>
      </c>
      <c r="BAO1" s="11">
        <f>IF(OR(SwitchPB&lt;&gt;"ON",Universe!$B$698=""),"",Universe!$B$698)</f>
        <v/>
      </c>
      <c r="BAQ1" s="11">
        <f>IF(OR(SwitchPB&lt;&gt;"ON",Universe!$B$699=""),"",Universe!$B$699)</f>
        <v/>
      </c>
      <c r="BAS1" s="11">
        <f>IF(OR(SwitchPB&lt;&gt;"ON",Universe!$B$700=""),"",Universe!$B$700)</f>
        <v/>
      </c>
      <c r="BAU1" s="11">
        <f>IF(OR(SwitchPB&lt;&gt;"ON",Universe!$B$701=""),"",Universe!$B$701)</f>
        <v/>
      </c>
      <c r="BAW1" s="11">
        <f>IF(OR(SwitchPB&lt;&gt;"ON",Universe!$B$702=""),"",Universe!$B$702)</f>
        <v/>
      </c>
      <c r="BAY1" s="11">
        <f>IF(OR(SwitchPB&lt;&gt;"ON",Universe!$B$703=""),"",Universe!$B$703)</f>
        <v/>
      </c>
      <c r="BBA1" s="11">
        <f>IF(OR(SwitchPB&lt;&gt;"ON",Universe!$B$704=""),"",Universe!$B$704)</f>
        <v/>
      </c>
      <c r="BBC1" s="11">
        <f>IF(OR(SwitchPB&lt;&gt;"ON",Universe!$B$705=""),"",Universe!$B$705)</f>
        <v/>
      </c>
      <c r="BBE1" s="11">
        <f>IF(OR(SwitchPB&lt;&gt;"ON",Universe!$B$706=""),"",Universe!$B$706)</f>
        <v/>
      </c>
      <c r="BBG1" s="11">
        <f>IF(OR(SwitchPB&lt;&gt;"ON",Universe!$B$707=""),"",Universe!$B$707)</f>
        <v/>
      </c>
      <c r="BBI1" s="11">
        <f>IF(OR(SwitchPB&lt;&gt;"ON",Universe!$B$708=""),"",Universe!$B$708)</f>
        <v/>
      </c>
      <c r="BBK1" s="11">
        <f>IF(OR(SwitchPB&lt;&gt;"ON",Universe!$B$709=""),"",Universe!$B$709)</f>
        <v/>
      </c>
      <c r="BBM1" s="11">
        <f>IF(OR(SwitchPB&lt;&gt;"ON",Universe!$B$710=""),"",Universe!$B$710)</f>
        <v/>
      </c>
      <c r="BBO1" s="11">
        <f>IF(OR(SwitchPB&lt;&gt;"ON",Universe!$B$711=""),"",Universe!$B$711)</f>
        <v/>
      </c>
      <c r="BBQ1" s="11">
        <f>IF(OR(SwitchPB&lt;&gt;"ON",Universe!$B$712=""),"",Universe!$B$712)</f>
        <v/>
      </c>
      <c r="BBS1" s="11">
        <f>IF(OR(SwitchPB&lt;&gt;"ON",Universe!$B$713=""),"",Universe!$B$713)</f>
        <v/>
      </c>
      <c r="BBU1" s="11">
        <f>IF(OR(SwitchPB&lt;&gt;"ON",Universe!$B$714=""),"",Universe!$B$714)</f>
        <v/>
      </c>
      <c r="BBW1" s="11">
        <f>IF(OR(SwitchPB&lt;&gt;"ON",Universe!$B$715=""),"",Universe!$B$715)</f>
        <v/>
      </c>
      <c r="BBY1" s="11">
        <f>IF(OR(SwitchPB&lt;&gt;"ON",Universe!$B$716=""),"",Universe!$B$716)</f>
        <v/>
      </c>
      <c r="BCA1" s="11">
        <f>IF(OR(SwitchPB&lt;&gt;"ON",Universe!$B$717=""),"",Universe!$B$717)</f>
        <v/>
      </c>
      <c r="BCC1" s="11">
        <f>IF(OR(SwitchPB&lt;&gt;"ON",Universe!$B$718=""),"",Universe!$B$718)</f>
        <v/>
      </c>
      <c r="BCE1" s="11">
        <f>IF(OR(SwitchPB&lt;&gt;"ON",Universe!$B$719=""),"",Universe!$B$719)</f>
        <v/>
      </c>
      <c r="BCG1" s="11">
        <f>IF(OR(SwitchPB&lt;&gt;"ON",Universe!$B$720=""),"",Universe!$B$720)</f>
        <v/>
      </c>
      <c r="BCI1" s="11">
        <f>IF(OR(SwitchPB&lt;&gt;"ON",Universe!$B$721=""),"",Universe!$B$721)</f>
        <v/>
      </c>
      <c r="BCK1" s="11">
        <f>IF(OR(SwitchPB&lt;&gt;"ON",Universe!$B$722=""),"",Universe!$B$722)</f>
        <v/>
      </c>
      <c r="BCM1" s="11">
        <f>IF(OR(SwitchPB&lt;&gt;"ON",Universe!$B$723=""),"",Universe!$B$723)</f>
        <v/>
      </c>
      <c r="BCO1" s="11">
        <f>IF(OR(SwitchPB&lt;&gt;"ON",Universe!$B$724=""),"",Universe!$B$724)</f>
        <v/>
      </c>
      <c r="BCQ1" s="11">
        <f>IF(OR(SwitchPB&lt;&gt;"ON",Universe!$B$725=""),"",Universe!$B$725)</f>
        <v/>
      </c>
      <c r="BCS1" s="11">
        <f>IF(OR(SwitchPB&lt;&gt;"ON",Universe!$B$726=""),"",Universe!$B$726)</f>
        <v/>
      </c>
      <c r="BCU1" s="11">
        <f>IF(OR(SwitchPB&lt;&gt;"ON",Universe!$B$727=""),"",Universe!$B$727)</f>
        <v/>
      </c>
      <c r="BCW1" s="11">
        <f>IF(OR(SwitchPB&lt;&gt;"ON",Universe!$B$728=""),"",Universe!$B$728)</f>
        <v/>
      </c>
      <c r="BCY1" s="11">
        <f>IF(OR(SwitchPB&lt;&gt;"ON",Universe!$B$729=""),"",Universe!$B$729)</f>
        <v/>
      </c>
      <c r="BDA1" s="11">
        <f>IF(OR(SwitchPB&lt;&gt;"ON",Universe!$B$730=""),"",Universe!$B$730)</f>
        <v/>
      </c>
      <c r="BDC1" s="11">
        <f>IF(OR(SwitchPB&lt;&gt;"ON",Universe!$B$731=""),"",Universe!$B$731)</f>
        <v/>
      </c>
      <c r="BDE1" s="11">
        <f>IF(OR(SwitchPB&lt;&gt;"ON",Universe!$B$732=""),"",Universe!$B$732)</f>
        <v/>
      </c>
      <c r="BDG1" s="11">
        <f>IF(OR(SwitchPB&lt;&gt;"ON",Universe!$B$733=""),"",Universe!$B$733)</f>
        <v/>
      </c>
      <c r="BDI1" s="11">
        <f>IF(OR(SwitchPB&lt;&gt;"ON",Universe!$B$734=""),"",Universe!$B$734)</f>
        <v/>
      </c>
      <c r="BDK1" s="11">
        <f>IF(OR(SwitchPB&lt;&gt;"ON",Universe!$B$735=""),"",Universe!$B$735)</f>
        <v/>
      </c>
      <c r="BDM1" s="11">
        <f>IF(OR(SwitchPB&lt;&gt;"ON",Universe!$B$736=""),"",Universe!$B$736)</f>
        <v/>
      </c>
      <c r="BDO1" s="11">
        <f>IF(OR(SwitchPB&lt;&gt;"ON",Universe!$B$737=""),"",Universe!$B$737)</f>
        <v/>
      </c>
      <c r="BDQ1" s="11">
        <f>IF(OR(SwitchPB&lt;&gt;"ON",Universe!$B$738=""),"",Universe!$B$738)</f>
        <v/>
      </c>
      <c r="BDS1" s="11">
        <f>IF(OR(SwitchPB&lt;&gt;"ON",Universe!$B$739=""),"",Universe!$B$739)</f>
        <v/>
      </c>
      <c r="BDU1" s="11">
        <f>IF(OR(SwitchPB&lt;&gt;"ON",Universe!$B$740=""),"",Universe!$B$740)</f>
        <v/>
      </c>
      <c r="BDW1" s="11">
        <f>IF(OR(SwitchPB&lt;&gt;"ON",Universe!$B$741=""),"",Universe!$B$741)</f>
        <v/>
      </c>
      <c r="BDY1" s="11">
        <f>IF(OR(SwitchPB&lt;&gt;"ON",Universe!$B$742=""),"",Universe!$B$742)</f>
        <v/>
      </c>
      <c r="BEA1" s="11">
        <f>IF(OR(SwitchPB&lt;&gt;"ON",Universe!$B$743=""),"",Universe!$B$743)</f>
        <v/>
      </c>
      <c r="BEC1" s="11">
        <f>IF(OR(SwitchPB&lt;&gt;"ON",Universe!$B$744=""),"",Universe!$B$744)</f>
        <v/>
      </c>
      <c r="BEE1" s="11">
        <f>IF(OR(SwitchPB&lt;&gt;"ON",Universe!$B$745=""),"",Universe!$B$745)</f>
        <v/>
      </c>
      <c r="BEG1" s="11">
        <f>IF(OR(SwitchPB&lt;&gt;"ON",Universe!$B$746=""),"",Universe!$B$746)</f>
        <v/>
      </c>
      <c r="BEI1" s="11">
        <f>IF(OR(SwitchPB&lt;&gt;"ON",Universe!$B$747=""),"",Universe!$B$747)</f>
        <v/>
      </c>
      <c r="BEK1" s="11">
        <f>IF(OR(SwitchPB&lt;&gt;"ON",Universe!$B$748=""),"",Universe!$B$748)</f>
        <v/>
      </c>
      <c r="BEM1" s="11">
        <f>IF(OR(SwitchPB&lt;&gt;"ON",Universe!$B$749=""),"",Universe!$B$749)</f>
        <v/>
      </c>
      <c r="BEO1" s="11">
        <f>IF(OR(SwitchPB&lt;&gt;"ON",Universe!$B$750=""),"",Universe!$B$750)</f>
        <v/>
      </c>
      <c r="BEQ1" s="11">
        <f>IF(OR(SwitchPB&lt;&gt;"ON",Universe!$B$751=""),"",Universe!$B$751)</f>
        <v/>
      </c>
      <c r="BES1" s="11">
        <f>IF(OR(SwitchPB&lt;&gt;"ON",Universe!$B$752=""),"",Universe!$B$752)</f>
        <v/>
      </c>
      <c r="BEU1" s="11">
        <f>IF(OR(SwitchPB&lt;&gt;"ON",Universe!$B$753=""),"",Universe!$B$753)</f>
        <v/>
      </c>
      <c r="BEW1" s="11">
        <f>IF(OR(SwitchPB&lt;&gt;"ON",Universe!$B$754=""),"",Universe!$B$754)</f>
        <v/>
      </c>
      <c r="BEY1" s="11">
        <f>IF(OR(SwitchPB&lt;&gt;"ON",Universe!$B$755=""),"",Universe!$B$755)</f>
        <v/>
      </c>
      <c r="BFA1" s="11">
        <f>IF(OR(SwitchPB&lt;&gt;"ON",Universe!$B$756=""),"",Universe!$B$756)</f>
        <v/>
      </c>
      <c r="BFC1" s="11">
        <f>IF(OR(SwitchPB&lt;&gt;"ON",Universe!$B$757=""),"",Universe!$B$757)</f>
        <v/>
      </c>
      <c r="BFE1" s="11">
        <f>IF(OR(SwitchPB&lt;&gt;"ON",Universe!$B$758=""),"",Universe!$B$758)</f>
        <v/>
      </c>
      <c r="BFG1" s="11">
        <f>IF(OR(SwitchPB&lt;&gt;"ON",Universe!$B$759=""),"",Universe!$B$759)</f>
        <v/>
      </c>
      <c r="BFI1" s="11">
        <f>IF(OR(SwitchPB&lt;&gt;"ON",Universe!$B$760=""),"",Universe!$B$760)</f>
        <v/>
      </c>
      <c r="BFK1" s="11">
        <f>IF(OR(SwitchPB&lt;&gt;"ON",Universe!$B$761=""),"",Universe!$B$761)</f>
        <v/>
      </c>
      <c r="BFM1" s="11">
        <f>IF(OR(SwitchPB&lt;&gt;"ON",Universe!$B$762=""),"",Universe!$B$762)</f>
        <v/>
      </c>
      <c r="BFO1" s="11">
        <f>IF(OR(SwitchPB&lt;&gt;"ON",Universe!$B$763=""),"",Universe!$B$763)</f>
        <v/>
      </c>
      <c r="BFQ1" s="11">
        <f>IF(OR(SwitchPB&lt;&gt;"ON",Universe!$B$764=""),"",Universe!$B$764)</f>
        <v/>
      </c>
      <c r="BFS1" s="11">
        <f>IF(OR(SwitchPB&lt;&gt;"ON",Universe!$B$765=""),"",Universe!$B$765)</f>
        <v/>
      </c>
      <c r="BFU1" s="11">
        <f>IF(OR(SwitchPB&lt;&gt;"ON",Universe!$B$766=""),"",Universe!$B$766)</f>
        <v/>
      </c>
      <c r="BFW1" s="11">
        <f>IF(OR(SwitchPB&lt;&gt;"ON",Universe!$B$767=""),"",Universe!$B$767)</f>
        <v/>
      </c>
      <c r="BFY1" s="11">
        <f>IF(OR(SwitchPB&lt;&gt;"ON",Universe!$B$768=""),"",Universe!$B$768)</f>
        <v/>
      </c>
      <c r="BGA1" s="11">
        <f>IF(OR(SwitchPB&lt;&gt;"ON",Universe!$B$769=""),"",Universe!$B$769)</f>
        <v/>
      </c>
      <c r="BGC1" s="11">
        <f>IF(OR(SwitchPB&lt;&gt;"ON",Universe!$B$770=""),"",Universe!$B$770)</f>
        <v/>
      </c>
      <c r="BGE1" s="11">
        <f>IF(OR(SwitchPB&lt;&gt;"ON",Universe!$B$771=""),"",Universe!$B$771)</f>
        <v/>
      </c>
      <c r="BGG1" s="11">
        <f>IF(OR(SwitchPB&lt;&gt;"ON",Universe!$B$772=""),"",Universe!$B$772)</f>
        <v/>
      </c>
      <c r="BGI1" s="11">
        <f>IF(OR(SwitchPB&lt;&gt;"ON",Universe!$B$773=""),"",Universe!$B$773)</f>
        <v/>
      </c>
      <c r="BGK1" s="11">
        <f>IF(OR(SwitchPB&lt;&gt;"ON",Universe!$B$774=""),"",Universe!$B$774)</f>
        <v/>
      </c>
      <c r="BGM1" s="11">
        <f>IF(OR(SwitchPB&lt;&gt;"ON",Universe!$B$775=""),"",Universe!$B$775)</f>
        <v/>
      </c>
      <c r="BGO1" s="11">
        <f>IF(OR(SwitchPB&lt;&gt;"ON",Universe!$B$776=""),"",Universe!$B$776)</f>
        <v/>
      </c>
      <c r="BGQ1" s="11">
        <f>IF(OR(SwitchPB&lt;&gt;"ON",Universe!$B$777=""),"",Universe!$B$777)</f>
        <v/>
      </c>
      <c r="BGS1" s="11">
        <f>IF(OR(SwitchPB&lt;&gt;"ON",Universe!$B$778=""),"",Universe!$B$778)</f>
        <v/>
      </c>
      <c r="BGU1" s="11">
        <f>IF(OR(SwitchPB&lt;&gt;"ON",Universe!$B$779=""),"",Universe!$B$779)</f>
        <v/>
      </c>
      <c r="BGW1" s="11">
        <f>IF(OR(SwitchPB&lt;&gt;"ON",Universe!$B$780=""),"",Universe!$B$780)</f>
        <v/>
      </c>
      <c r="BGY1" s="11">
        <f>IF(OR(SwitchPB&lt;&gt;"ON",Universe!$B$781=""),"",Universe!$B$781)</f>
        <v/>
      </c>
      <c r="BHA1" s="11">
        <f>IF(OR(SwitchPB&lt;&gt;"ON",Universe!$B$782=""),"",Universe!$B$782)</f>
        <v/>
      </c>
      <c r="BHC1" s="11">
        <f>IF(OR(SwitchPB&lt;&gt;"ON",Universe!$B$783=""),"",Universe!$B$783)</f>
        <v/>
      </c>
      <c r="BHE1" s="11">
        <f>IF(OR(SwitchPB&lt;&gt;"ON",Universe!$B$784=""),"",Universe!$B$784)</f>
        <v/>
      </c>
      <c r="BHG1" s="11">
        <f>IF(OR(SwitchPB&lt;&gt;"ON",Universe!$B$785=""),"",Universe!$B$785)</f>
        <v/>
      </c>
      <c r="BHI1" s="11">
        <f>IF(OR(SwitchPB&lt;&gt;"ON",Universe!$B$786=""),"",Universe!$B$786)</f>
        <v/>
      </c>
      <c r="BHK1" s="11">
        <f>IF(OR(SwitchPB&lt;&gt;"ON",Universe!$B$787=""),"",Universe!$B$787)</f>
        <v/>
      </c>
      <c r="BHM1" s="11">
        <f>IF(OR(SwitchPB&lt;&gt;"ON",Universe!$B$788=""),"",Universe!$B$788)</f>
        <v/>
      </c>
      <c r="BHO1" s="11">
        <f>IF(OR(SwitchPB&lt;&gt;"ON",Universe!$B$789=""),"",Universe!$B$789)</f>
        <v/>
      </c>
      <c r="BHQ1" s="11">
        <f>IF(OR(SwitchPB&lt;&gt;"ON",Universe!$B$790=""),"",Universe!$B$790)</f>
        <v/>
      </c>
      <c r="BHS1" s="11">
        <f>IF(OR(SwitchPB&lt;&gt;"ON",Universe!$B$791=""),"",Universe!$B$791)</f>
        <v/>
      </c>
      <c r="BHU1" s="11">
        <f>IF(OR(SwitchPB&lt;&gt;"ON",Universe!$B$792=""),"",Universe!$B$792)</f>
        <v/>
      </c>
      <c r="BHW1" s="11">
        <f>IF(OR(SwitchPB&lt;&gt;"ON",Universe!$B$793=""),"",Universe!$B$793)</f>
        <v/>
      </c>
      <c r="BHY1" s="11">
        <f>IF(OR(SwitchPB&lt;&gt;"ON",Universe!$B$794=""),"",Universe!$B$794)</f>
        <v/>
      </c>
      <c r="BIA1" s="11">
        <f>IF(OR(SwitchPB&lt;&gt;"ON",Universe!$B$795=""),"",Universe!$B$795)</f>
        <v/>
      </c>
      <c r="BIC1" s="11">
        <f>IF(OR(SwitchPB&lt;&gt;"ON",Universe!$B$796=""),"",Universe!$B$796)</f>
        <v/>
      </c>
      <c r="BIE1" s="11">
        <f>IF(OR(SwitchPB&lt;&gt;"ON",Universe!$B$797=""),"",Universe!$B$797)</f>
        <v/>
      </c>
      <c r="BIG1" s="11">
        <f>IF(OR(SwitchPB&lt;&gt;"ON",Universe!$B$798=""),"",Universe!$B$798)</f>
        <v/>
      </c>
      <c r="BII1" s="11">
        <f>IF(OR(SwitchPB&lt;&gt;"ON",Universe!$B$799=""),"",Universe!$B$799)</f>
        <v/>
      </c>
      <c r="BIK1" s="11">
        <f>IF(OR(SwitchPB&lt;&gt;"ON",Universe!$B$800=""),"",Universe!$B$800)</f>
        <v/>
      </c>
      <c r="BIM1" s="11">
        <f>IF(OR(SwitchPB&lt;&gt;"ON",Universe!$B$801=""),"",Universe!$B$801)</f>
        <v/>
      </c>
      <c r="BIO1" s="11">
        <f>IF(OR(SwitchPB&lt;&gt;"ON",Universe!$B$802=""),"",Universe!$B$802)</f>
        <v/>
      </c>
      <c r="BIQ1" s="11">
        <f>IF(OR(SwitchPB&lt;&gt;"ON",Universe!$B$803=""),"",Universe!$B$803)</f>
        <v/>
      </c>
      <c r="BIS1" s="11">
        <f>IF(OR(SwitchPB&lt;&gt;"ON",Universe!$B$804=""),"",Universe!$B$804)</f>
        <v/>
      </c>
      <c r="BIU1" s="11">
        <f>IF(OR(SwitchPB&lt;&gt;"ON",Universe!$B$805=""),"",Universe!$B$805)</f>
        <v/>
      </c>
      <c r="BIW1" s="11">
        <f>IF(OR(SwitchPB&lt;&gt;"ON",Universe!$B$806=""),"",Universe!$B$806)</f>
        <v/>
      </c>
      <c r="BIY1" s="11">
        <f>IF(OR(SwitchPB&lt;&gt;"ON",Universe!$B$807=""),"",Universe!$B$807)</f>
        <v/>
      </c>
      <c r="BJA1" s="11">
        <f>IF(OR(SwitchPB&lt;&gt;"ON",Universe!$B$808=""),"",Universe!$B$808)</f>
        <v/>
      </c>
      <c r="BJC1" s="11">
        <f>IF(OR(SwitchPB&lt;&gt;"ON",Universe!$B$809=""),"",Universe!$B$809)</f>
        <v/>
      </c>
      <c r="BJE1" s="11">
        <f>IF(OR(SwitchPB&lt;&gt;"ON",Universe!$B$810=""),"",Universe!$B$810)</f>
        <v/>
      </c>
      <c r="BJG1" s="11">
        <f>IF(OR(SwitchPB&lt;&gt;"ON",Universe!$B$811=""),"",Universe!$B$811)</f>
        <v/>
      </c>
      <c r="BJI1" s="11">
        <f>IF(OR(SwitchPB&lt;&gt;"ON",Universe!$B$812=""),"",Universe!$B$812)</f>
        <v/>
      </c>
      <c r="BJK1" s="11">
        <f>IF(OR(SwitchPB&lt;&gt;"ON",Universe!$B$813=""),"",Universe!$B$813)</f>
        <v/>
      </c>
      <c r="BJM1" s="11">
        <f>IF(OR(SwitchPB&lt;&gt;"ON",Universe!$B$814=""),"",Universe!$B$814)</f>
        <v/>
      </c>
      <c r="BJO1" s="11">
        <f>IF(OR(SwitchPB&lt;&gt;"ON",Universe!$B$815=""),"",Universe!$B$815)</f>
        <v/>
      </c>
      <c r="BJQ1" s="11">
        <f>IF(OR(SwitchPB&lt;&gt;"ON",Universe!$B$816=""),"",Universe!$B$816)</f>
        <v/>
      </c>
      <c r="BJS1" s="11">
        <f>IF(OR(SwitchPB&lt;&gt;"ON",Universe!$B$817=""),"",Universe!$B$817)</f>
        <v/>
      </c>
      <c r="BJU1" s="11">
        <f>IF(OR(SwitchPB&lt;&gt;"ON",Universe!$B$818=""),"",Universe!$B$818)</f>
        <v/>
      </c>
      <c r="BJW1" s="11">
        <f>IF(OR(SwitchPB&lt;&gt;"ON",Universe!$B$819=""),"",Universe!$B$819)</f>
        <v/>
      </c>
      <c r="BJY1" s="11">
        <f>IF(OR(SwitchPB&lt;&gt;"ON",Universe!$B$820=""),"",Universe!$B$820)</f>
        <v/>
      </c>
      <c r="BKA1" s="11">
        <f>IF(OR(SwitchPB&lt;&gt;"ON",Universe!$B$821=""),"",Universe!$B$821)</f>
        <v/>
      </c>
      <c r="BKC1" s="11">
        <f>IF(OR(SwitchPB&lt;&gt;"ON",Universe!$B$822=""),"",Universe!$B$822)</f>
        <v/>
      </c>
      <c r="BKE1" s="11">
        <f>IF(OR(SwitchPB&lt;&gt;"ON",Universe!$B$823=""),"",Universe!$B$823)</f>
        <v/>
      </c>
      <c r="BKG1" s="11">
        <f>IF(OR(SwitchPB&lt;&gt;"ON",Universe!$B$824=""),"",Universe!$B$824)</f>
        <v/>
      </c>
      <c r="BKI1" s="11">
        <f>IF(OR(SwitchPB&lt;&gt;"ON",Universe!$B$825=""),"",Universe!$B$825)</f>
        <v/>
      </c>
      <c r="BKK1" s="11">
        <f>IF(OR(SwitchPB&lt;&gt;"ON",Universe!$B$826=""),"",Universe!$B$826)</f>
        <v/>
      </c>
      <c r="BKM1" s="11">
        <f>IF(OR(SwitchPB&lt;&gt;"ON",Universe!$B$827=""),"",Universe!$B$827)</f>
        <v/>
      </c>
      <c r="BKO1" s="11">
        <f>IF(OR(SwitchPB&lt;&gt;"ON",Universe!$B$828=""),"",Universe!$B$828)</f>
        <v/>
      </c>
      <c r="BKQ1" s="11">
        <f>IF(OR(SwitchPB&lt;&gt;"ON",Universe!$B$829=""),"",Universe!$B$829)</f>
        <v/>
      </c>
      <c r="BKS1" s="11">
        <f>IF(OR(SwitchPB&lt;&gt;"ON",Universe!$B$830=""),"",Universe!$B$830)</f>
        <v/>
      </c>
      <c r="BKU1" s="11">
        <f>IF(OR(SwitchPB&lt;&gt;"ON",Universe!$B$831=""),"",Universe!$B$831)</f>
        <v/>
      </c>
      <c r="BKW1" s="11">
        <f>IF(OR(SwitchPB&lt;&gt;"ON",Universe!$B$832=""),"",Universe!$B$832)</f>
        <v/>
      </c>
      <c r="BKY1" s="11">
        <f>IF(OR(SwitchPB&lt;&gt;"ON",Universe!$B$833=""),"",Universe!$B$833)</f>
        <v/>
      </c>
      <c r="BLA1" s="11">
        <f>IF(OR(SwitchPB&lt;&gt;"ON",Universe!$B$834=""),"",Universe!$B$834)</f>
        <v/>
      </c>
      <c r="BLC1" s="11">
        <f>IF(OR(SwitchPB&lt;&gt;"ON",Universe!$B$835=""),"",Universe!$B$835)</f>
        <v/>
      </c>
      <c r="BLE1" s="11">
        <f>IF(OR(SwitchPB&lt;&gt;"ON",Universe!$B$836=""),"",Universe!$B$836)</f>
        <v/>
      </c>
      <c r="BLG1" s="11">
        <f>IF(OR(SwitchPB&lt;&gt;"ON",Universe!$B$837=""),"",Universe!$B$837)</f>
        <v/>
      </c>
      <c r="BLI1" s="11">
        <f>IF(OR(SwitchPB&lt;&gt;"ON",Universe!$B$838=""),"",Universe!$B$838)</f>
        <v/>
      </c>
      <c r="BLK1" s="11">
        <f>IF(OR(SwitchPB&lt;&gt;"ON",Universe!$B$839=""),"",Universe!$B$839)</f>
        <v/>
      </c>
      <c r="BLM1" s="11">
        <f>IF(OR(SwitchPB&lt;&gt;"ON",Universe!$B$840=""),"",Universe!$B$840)</f>
        <v/>
      </c>
      <c r="BLO1" s="11">
        <f>IF(OR(SwitchPB&lt;&gt;"ON",Universe!$B$841=""),"",Universe!$B$841)</f>
        <v/>
      </c>
      <c r="BLQ1" s="11">
        <f>IF(OR(SwitchPB&lt;&gt;"ON",Universe!$B$842=""),"",Universe!$B$842)</f>
        <v/>
      </c>
      <c r="BLS1" s="11">
        <f>IF(OR(SwitchPB&lt;&gt;"ON",Universe!$B$843=""),"",Universe!$B$843)</f>
        <v/>
      </c>
      <c r="BLU1" s="11">
        <f>IF(OR(SwitchPB&lt;&gt;"ON",Universe!$B$844=""),"",Universe!$B$844)</f>
        <v/>
      </c>
      <c r="BLW1" s="11">
        <f>IF(OR(SwitchPB&lt;&gt;"ON",Universe!$B$845=""),"",Universe!$B$845)</f>
        <v/>
      </c>
      <c r="BLY1" s="11">
        <f>IF(OR(SwitchPB&lt;&gt;"ON",Universe!$B$846=""),"",Universe!$B$846)</f>
        <v/>
      </c>
      <c r="BMA1" s="11">
        <f>IF(OR(SwitchPB&lt;&gt;"ON",Universe!$B$847=""),"",Universe!$B$847)</f>
        <v/>
      </c>
      <c r="BMC1" s="11">
        <f>IF(OR(SwitchPB&lt;&gt;"ON",Universe!$B$848=""),"",Universe!$B$848)</f>
        <v/>
      </c>
      <c r="BME1" s="11">
        <f>IF(OR(SwitchPB&lt;&gt;"ON",Universe!$B$849=""),"",Universe!$B$849)</f>
        <v/>
      </c>
      <c r="BMG1" s="11">
        <f>IF(OR(SwitchPB&lt;&gt;"ON",Universe!$B$850=""),"",Universe!$B$850)</f>
        <v/>
      </c>
      <c r="BMI1" s="11">
        <f>IF(OR(SwitchPB&lt;&gt;"ON",Universe!$B$851=""),"",Universe!$B$851)</f>
        <v/>
      </c>
      <c r="BMK1" s="11">
        <f>IF(OR(SwitchPB&lt;&gt;"ON",Universe!$B$852=""),"",Universe!$B$852)</f>
        <v/>
      </c>
      <c r="BMM1" s="11">
        <f>IF(OR(SwitchPB&lt;&gt;"ON",Universe!$B$853=""),"",Universe!$B$853)</f>
        <v/>
      </c>
      <c r="BMO1" s="11">
        <f>IF(OR(SwitchPB&lt;&gt;"ON",Universe!$B$854=""),"",Universe!$B$854)</f>
        <v/>
      </c>
      <c r="BMQ1" s="11">
        <f>IF(OR(SwitchPB&lt;&gt;"ON",Universe!$B$855=""),"",Universe!$B$855)</f>
        <v/>
      </c>
      <c r="BMS1" s="11">
        <f>IF(OR(SwitchPB&lt;&gt;"ON",Universe!$B$856=""),"",Universe!$B$856)</f>
        <v/>
      </c>
      <c r="BMU1" s="11">
        <f>IF(OR(SwitchPB&lt;&gt;"ON",Universe!$B$857=""),"",Universe!$B$857)</f>
        <v/>
      </c>
      <c r="BMW1" s="11">
        <f>IF(OR(SwitchPB&lt;&gt;"ON",Universe!$B$858=""),"",Universe!$B$858)</f>
        <v/>
      </c>
      <c r="BMY1" s="11">
        <f>IF(OR(SwitchPB&lt;&gt;"ON",Universe!$B$859=""),"",Universe!$B$859)</f>
        <v/>
      </c>
      <c r="BNA1" s="11">
        <f>IF(OR(SwitchPB&lt;&gt;"ON",Universe!$B$860=""),"",Universe!$B$860)</f>
        <v/>
      </c>
      <c r="BNC1" s="11">
        <f>IF(OR(SwitchPB&lt;&gt;"ON",Universe!$B$861=""),"",Universe!$B$861)</f>
        <v/>
      </c>
      <c r="BNE1" s="11">
        <f>IF(OR(SwitchPB&lt;&gt;"ON",Universe!$B$862=""),"",Universe!$B$862)</f>
        <v/>
      </c>
      <c r="BNG1" s="11">
        <f>IF(OR(SwitchPB&lt;&gt;"ON",Universe!$B$863=""),"",Universe!$B$863)</f>
        <v/>
      </c>
      <c r="BNI1" s="11">
        <f>IF(OR(SwitchPB&lt;&gt;"ON",Universe!$B$864=""),"",Universe!$B$864)</f>
        <v/>
      </c>
      <c r="BNK1" s="11">
        <f>IF(OR(SwitchPB&lt;&gt;"ON",Universe!$B$865=""),"",Universe!$B$865)</f>
        <v/>
      </c>
      <c r="BNM1" s="11">
        <f>IF(OR(SwitchPB&lt;&gt;"ON",Universe!$B$866=""),"",Universe!$B$866)</f>
        <v/>
      </c>
      <c r="BNO1" s="11">
        <f>IF(OR(SwitchPB&lt;&gt;"ON",Universe!$B$867=""),"",Universe!$B$867)</f>
        <v/>
      </c>
      <c r="BNQ1" s="11">
        <f>IF(OR(SwitchPB&lt;&gt;"ON",Universe!$B$868=""),"",Universe!$B$868)</f>
        <v/>
      </c>
      <c r="BNS1" s="11">
        <f>IF(OR(SwitchPB&lt;&gt;"ON",Universe!$B$869=""),"",Universe!$B$869)</f>
        <v/>
      </c>
      <c r="BNU1" s="11">
        <f>IF(OR(SwitchPB&lt;&gt;"ON",Universe!$B$870=""),"",Universe!$B$870)</f>
        <v/>
      </c>
      <c r="BNW1" s="11">
        <f>IF(OR(SwitchPB&lt;&gt;"ON",Universe!$B$871=""),"",Universe!$B$871)</f>
        <v/>
      </c>
      <c r="BNY1" s="11">
        <f>IF(OR(SwitchPB&lt;&gt;"ON",Universe!$B$872=""),"",Universe!$B$872)</f>
        <v/>
      </c>
      <c r="BOA1" s="11">
        <f>IF(OR(SwitchPB&lt;&gt;"ON",Universe!$B$873=""),"",Universe!$B$873)</f>
        <v/>
      </c>
      <c r="BOC1" s="11">
        <f>IF(OR(SwitchPB&lt;&gt;"ON",Universe!$B$874=""),"",Universe!$B$874)</f>
        <v/>
      </c>
      <c r="BOE1" s="11">
        <f>IF(OR(SwitchPB&lt;&gt;"ON",Universe!$B$875=""),"",Universe!$B$875)</f>
        <v/>
      </c>
      <c r="BOG1" s="11">
        <f>IF(OR(SwitchPB&lt;&gt;"ON",Universe!$B$876=""),"",Universe!$B$876)</f>
        <v/>
      </c>
      <c r="BOI1" s="11">
        <f>IF(OR(SwitchPB&lt;&gt;"ON",Universe!$B$877=""),"",Universe!$B$877)</f>
        <v/>
      </c>
      <c r="BOK1" s="11">
        <f>IF(OR(SwitchPB&lt;&gt;"ON",Universe!$B$878=""),"",Universe!$B$878)</f>
        <v/>
      </c>
      <c r="BOM1" s="11">
        <f>IF(OR(SwitchPB&lt;&gt;"ON",Universe!$B$879=""),"",Universe!$B$879)</f>
        <v/>
      </c>
      <c r="BOO1" s="11">
        <f>IF(OR(SwitchPB&lt;&gt;"ON",Universe!$B$880=""),"",Universe!$B$880)</f>
        <v/>
      </c>
      <c r="BOQ1" s="11">
        <f>IF(OR(SwitchPB&lt;&gt;"ON",Universe!$B$881=""),"",Universe!$B$881)</f>
        <v/>
      </c>
      <c r="BOS1" s="11">
        <f>IF(OR(SwitchPB&lt;&gt;"ON",Universe!$B$882=""),"",Universe!$B$882)</f>
        <v/>
      </c>
      <c r="BOU1" s="11">
        <f>IF(OR(SwitchPB&lt;&gt;"ON",Universe!$B$883=""),"",Universe!$B$883)</f>
        <v/>
      </c>
      <c r="BOW1" s="11">
        <f>IF(OR(SwitchPB&lt;&gt;"ON",Universe!$B$884=""),"",Universe!$B$884)</f>
        <v/>
      </c>
      <c r="BOY1" s="11">
        <f>IF(OR(SwitchPB&lt;&gt;"ON",Universe!$B$885=""),"",Universe!$B$885)</f>
        <v/>
      </c>
      <c r="BPA1" s="11">
        <f>IF(OR(SwitchPB&lt;&gt;"ON",Universe!$B$886=""),"",Universe!$B$886)</f>
        <v/>
      </c>
      <c r="BPC1" s="11">
        <f>IF(OR(SwitchPB&lt;&gt;"ON",Universe!$B$887=""),"",Universe!$B$887)</f>
        <v/>
      </c>
      <c r="BPE1" s="11">
        <f>IF(OR(SwitchPB&lt;&gt;"ON",Universe!$B$888=""),"",Universe!$B$888)</f>
        <v/>
      </c>
      <c r="BPG1" s="11">
        <f>IF(OR(SwitchPB&lt;&gt;"ON",Universe!$B$889=""),"",Universe!$B$889)</f>
        <v/>
      </c>
      <c r="BPI1" s="11">
        <f>IF(OR(SwitchPB&lt;&gt;"ON",Universe!$B$890=""),"",Universe!$B$890)</f>
        <v/>
      </c>
      <c r="BPK1" s="11">
        <f>IF(OR(SwitchPB&lt;&gt;"ON",Universe!$B$891=""),"",Universe!$B$891)</f>
        <v/>
      </c>
      <c r="BPM1" s="11">
        <f>IF(OR(SwitchPB&lt;&gt;"ON",Universe!$B$892=""),"",Universe!$B$892)</f>
        <v/>
      </c>
      <c r="BPO1" s="11">
        <f>IF(OR(SwitchPB&lt;&gt;"ON",Universe!$B$893=""),"",Universe!$B$893)</f>
        <v/>
      </c>
      <c r="BPQ1" s="11">
        <f>IF(OR(SwitchPB&lt;&gt;"ON",Universe!$B$894=""),"",Universe!$B$894)</f>
        <v/>
      </c>
      <c r="BPS1" s="11">
        <f>IF(OR(SwitchPB&lt;&gt;"ON",Universe!$B$895=""),"",Universe!$B$895)</f>
        <v/>
      </c>
      <c r="BPU1" s="11">
        <f>IF(OR(SwitchPB&lt;&gt;"ON",Universe!$B$896=""),"",Universe!$B$896)</f>
        <v/>
      </c>
      <c r="BPW1" s="11">
        <f>IF(OR(SwitchPB&lt;&gt;"ON",Universe!$B$897=""),"",Universe!$B$897)</f>
        <v/>
      </c>
      <c r="BPY1" s="11">
        <f>IF(OR(SwitchPB&lt;&gt;"ON",Universe!$B$898=""),"",Universe!$B$898)</f>
        <v/>
      </c>
      <c r="BQA1" s="11">
        <f>IF(OR(SwitchPB&lt;&gt;"ON",Universe!$B$899=""),"",Universe!$B$899)</f>
        <v/>
      </c>
      <c r="BQC1" s="11">
        <f>IF(OR(SwitchPB&lt;&gt;"ON",Universe!$B$900=""),"",Universe!$B$900)</f>
        <v/>
      </c>
      <c r="BQE1" s="11">
        <f>IF(OR(SwitchPB&lt;&gt;"ON",Universe!$B$901=""),"",Universe!$B$901)</f>
        <v/>
      </c>
      <c r="BQG1" s="11">
        <f>IF(OR(SwitchPB&lt;&gt;"ON",Universe!$B$902=""),"",Universe!$B$902)</f>
        <v/>
      </c>
      <c r="BQI1" s="11">
        <f>IF(OR(SwitchPB&lt;&gt;"ON",Universe!$B$903=""),"",Universe!$B$903)</f>
        <v/>
      </c>
      <c r="BQK1" s="11">
        <f>IF(OR(SwitchPB&lt;&gt;"ON",Universe!$B$904=""),"",Universe!$B$904)</f>
        <v/>
      </c>
      <c r="BQM1" s="11">
        <f>IF(OR(SwitchPB&lt;&gt;"ON",Universe!$B$905=""),"",Universe!$B$905)</f>
        <v/>
      </c>
      <c r="BQO1" s="11">
        <f>IF(OR(SwitchPB&lt;&gt;"ON",Universe!$B$906=""),"",Universe!$B$906)</f>
        <v/>
      </c>
      <c r="BQQ1" s="11">
        <f>IF(OR(SwitchPB&lt;&gt;"ON",Universe!$B$907=""),"",Universe!$B$907)</f>
        <v/>
      </c>
      <c r="BQS1" s="11">
        <f>IF(OR(SwitchPB&lt;&gt;"ON",Universe!$B$908=""),"",Universe!$B$908)</f>
        <v/>
      </c>
      <c r="BQU1" s="11">
        <f>IF(OR(SwitchPB&lt;&gt;"ON",Universe!$B$909=""),"",Universe!$B$909)</f>
        <v/>
      </c>
      <c r="BQW1" s="11">
        <f>IF(OR(SwitchPB&lt;&gt;"ON",Universe!$B$910=""),"",Universe!$B$910)</f>
        <v/>
      </c>
      <c r="BQY1" s="11">
        <f>IF(OR(SwitchPB&lt;&gt;"ON",Universe!$B$911=""),"",Universe!$B$911)</f>
        <v/>
      </c>
      <c r="BRA1" s="11">
        <f>IF(OR(SwitchPB&lt;&gt;"ON",Universe!$B$912=""),"",Universe!$B$912)</f>
        <v/>
      </c>
      <c r="BRC1" s="11">
        <f>IF(OR(SwitchPB&lt;&gt;"ON",Universe!$B$913=""),"",Universe!$B$913)</f>
        <v/>
      </c>
      <c r="BRE1" s="11">
        <f>IF(OR(SwitchPB&lt;&gt;"ON",Universe!$B$914=""),"",Universe!$B$914)</f>
        <v/>
      </c>
      <c r="BRG1" s="11">
        <f>IF(OR(SwitchPB&lt;&gt;"ON",Universe!$B$915=""),"",Universe!$B$915)</f>
        <v/>
      </c>
      <c r="BRI1" s="11">
        <f>IF(OR(SwitchPB&lt;&gt;"ON",Universe!$B$916=""),"",Universe!$B$916)</f>
        <v/>
      </c>
      <c r="BRK1" s="11">
        <f>IF(OR(SwitchPB&lt;&gt;"ON",Universe!$B$917=""),"",Universe!$B$917)</f>
        <v/>
      </c>
      <c r="BRM1" s="11">
        <f>IF(OR(SwitchPB&lt;&gt;"ON",Universe!$B$918=""),"",Universe!$B$918)</f>
        <v/>
      </c>
      <c r="BRO1" s="11">
        <f>IF(OR(SwitchPB&lt;&gt;"ON",Universe!$B$919=""),"",Universe!$B$919)</f>
        <v/>
      </c>
      <c r="BRQ1" s="11">
        <f>IF(OR(SwitchPB&lt;&gt;"ON",Universe!$B$920=""),"",Universe!$B$920)</f>
        <v/>
      </c>
      <c r="BRS1" s="11">
        <f>IF(OR(SwitchPB&lt;&gt;"ON",Universe!$B$921=""),"",Universe!$B$921)</f>
        <v/>
      </c>
      <c r="BRU1" s="11">
        <f>IF(OR(SwitchPB&lt;&gt;"ON",Universe!$B$922=""),"",Universe!$B$922)</f>
        <v/>
      </c>
      <c r="BRW1" s="11">
        <f>IF(OR(SwitchPB&lt;&gt;"ON",Universe!$B$923=""),"",Universe!$B$923)</f>
        <v/>
      </c>
      <c r="BRY1" s="11">
        <f>IF(OR(SwitchPB&lt;&gt;"ON",Universe!$B$924=""),"",Universe!$B$924)</f>
        <v/>
      </c>
      <c r="BSA1" s="11">
        <f>IF(OR(SwitchPB&lt;&gt;"ON",Universe!$B$925=""),"",Universe!$B$925)</f>
        <v/>
      </c>
      <c r="BSC1" s="11">
        <f>IF(OR(SwitchPB&lt;&gt;"ON",Universe!$B$926=""),"",Universe!$B$926)</f>
        <v/>
      </c>
      <c r="BSE1" s="11">
        <f>IF(OR(SwitchPB&lt;&gt;"ON",Universe!$B$927=""),"",Universe!$B$927)</f>
        <v/>
      </c>
      <c r="BSG1" s="11">
        <f>IF(OR(SwitchPB&lt;&gt;"ON",Universe!$B$928=""),"",Universe!$B$928)</f>
        <v/>
      </c>
      <c r="BSI1" s="11">
        <f>IF(OR(SwitchPB&lt;&gt;"ON",Universe!$B$929=""),"",Universe!$B$929)</f>
        <v/>
      </c>
      <c r="BSK1" s="11">
        <f>IF(OR(SwitchPB&lt;&gt;"ON",Universe!$B$930=""),"",Universe!$B$930)</f>
        <v/>
      </c>
      <c r="BSM1" s="11">
        <f>IF(OR(SwitchPB&lt;&gt;"ON",Universe!$B$931=""),"",Universe!$B$931)</f>
        <v/>
      </c>
      <c r="BSO1" s="11">
        <f>IF(OR(SwitchPB&lt;&gt;"ON",Universe!$B$932=""),"",Universe!$B$932)</f>
        <v/>
      </c>
      <c r="BSQ1" s="11">
        <f>IF(OR(SwitchPB&lt;&gt;"ON",Universe!$B$933=""),"",Universe!$B$933)</f>
        <v/>
      </c>
      <c r="BSS1" s="11">
        <f>IF(OR(SwitchPB&lt;&gt;"ON",Universe!$B$934=""),"",Universe!$B$934)</f>
        <v/>
      </c>
      <c r="BSU1" s="11">
        <f>IF(OR(SwitchPB&lt;&gt;"ON",Universe!$B$935=""),"",Universe!$B$935)</f>
        <v/>
      </c>
      <c r="BSW1" s="11">
        <f>IF(OR(SwitchPB&lt;&gt;"ON",Universe!$B$936=""),"",Universe!$B$936)</f>
        <v/>
      </c>
      <c r="BSY1" s="11">
        <f>IF(OR(SwitchPB&lt;&gt;"ON",Universe!$B$937=""),"",Universe!$B$937)</f>
        <v/>
      </c>
      <c r="BTA1" s="11">
        <f>IF(OR(SwitchPB&lt;&gt;"ON",Universe!$B$938=""),"",Universe!$B$938)</f>
        <v/>
      </c>
      <c r="BTC1" s="11">
        <f>IF(OR(SwitchPB&lt;&gt;"ON",Universe!$B$939=""),"",Universe!$B$939)</f>
        <v/>
      </c>
      <c r="BTE1" s="11">
        <f>IF(OR(SwitchPB&lt;&gt;"ON",Universe!$B$940=""),"",Universe!$B$940)</f>
        <v/>
      </c>
      <c r="BTG1" s="11">
        <f>IF(OR(SwitchPB&lt;&gt;"ON",Universe!$B$941=""),"",Universe!$B$941)</f>
        <v/>
      </c>
      <c r="BTI1" s="11">
        <f>IF(OR(SwitchPB&lt;&gt;"ON",Universe!$B$942=""),"",Universe!$B$942)</f>
        <v/>
      </c>
      <c r="BTK1" s="11">
        <f>IF(OR(SwitchPB&lt;&gt;"ON",Universe!$B$943=""),"",Universe!$B$943)</f>
        <v/>
      </c>
      <c r="BTM1" s="11">
        <f>IF(OR(SwitchPB&lt;&gt;"ON",Universe!$B$944=""),"",Universe!$B$944)</f>
        <v/>
      </c>
      <c r="BTO1" s="11">
        <f>IF(OR(SwitchPB&lt;&gt;"ON",Universe!$B$945=""),"",Universe!$B$945)</f>
        <v/>
      </c>
      <c r="BTQ1" s="11">
        <f>IF(OR(SwitchPB&lt;&gt;"ON",Universe!$B$946=""),"",Universe!$B$946)</f>
        <v/>
      </c>
      <c r="BTS1" s="11">
        <f>IF(OR(SwitchPB&lt;&gt;"ON",Universe!$B$947=""),"",Universe!$B$947)</f>
        <v/>
      </c>
      <c r="BTU1" s="11">
        <f>IF(OR(SwitchPB&lt;&gt;"ON",Universe!$B$948=""),"",Universe!$B$948)</f>
        <v/>
      </c>
      <c r="BTW1" s="11">
        <f>IF(OR(SwitchPB&lt;&gt;"ON",Universe!$B$949=""),"",Universe!$B$949)</f>
        <v/>
      </c>
      <c r="BTY1" s="11">
        <f>IF(OR(SwitchPB&lt;&gt;"ON",Universe!$B$950=""),"",Universe!$B$950)</f>
        <v/>
      </c>
      <c r="BUA1" s="11">
        <f>IF(OR(SwitchPB&lt;&gt;"ON",Universe!$B$951=""),"",Universe!$B$951)</f>
        <v/>
      </c>
      <c r="BUC1" s="11">
        <f>IF(OR(SwitchPB&lt;&gt;"ON",Universe!$B$952=""),"",Universe!$B$952)</f>
        <v/>
      </c>
      <c r="BUE1" s="11">
        <f>IF(OR(SwitchPB&lt;&gt;"ON",Universe!$B$953=""),"",Universe!$B$953)</f>
        <v/>
      </c>
      <c r="BUG1" s="11">
        <f>IF(OR(SwitchPB&lt;&gt;"ON",Universe!$B$954=""),"",Universe!$B$954)</f>
        <v/>
      </c>
      <c r="BUI1" s="11">
        <f>IF(OR(SwitchPB&lt;&gt;"ON",Universe!$B$955=""),"",Universe!$B$955)</f>
        <v/>
      </c>
      <c r="BUK1" s="11">
        <f>IF(OR(SwitchPB&lt;&gt;"ON",Universe!$B$956=""),"",Universe!$B$956)</f>
        <v/>
      </c>
      <c r="BUM1" s="11">
        <f>IF(OR(SwitchPB&lt;&gt;"ON",Universe!$B$957=""),"",Universe!$B$957)</f>
        <v/>
      </c>
      <c r="BUO1" s="11">
        <f>IF(OR(SwitchPB&lt;&gt;"ON",Universe!$B$958=""),"",Universe!$B$958)</f>
        <v/>
      </c>
      <c r="BUQ1" s="11">
        <f>IF(OR(SwitchPB&lt;&gt;"ON",Universe!$B$959=""),"",Universe!$B$959)</f>
        <v/>
      </c>
      <c r="BUS1" s="11">
        <f>IF(OR(SwitchPB&lt;&gt;"ON",Universe!$B$960=""),"",Universe!$B$960)</f>
        <v/>
      </c>
      <c r="BUU1" s="11">
        <f>IF(OR(SwitchPB&lt;&gt;"ON",Universe!$B$961=""),"",Universe!$B$961)</f>
        <v/>
      </c>
      <c r="BUW1" s="11">
        <f>IF(OR(SwitchPB&lt;&gt;"ON",Universe!$B$962=""),"",Universe!$B$962)</f>
        <v/>
      </c>
      <c r="BUY1" s="11">
        <f>IF(OR(SwitchPB&lt;&gt;"ON",Universe!$B$963=""),"",Universe!$B$963)</f>
        <v/>
      </c>
      <c r="BVA1" s="11">
        <f>IF(OR(SwitchPB&lt;&gt;"ON",Universe!$B$964=""),"",Universe!$B$964)</f>
        <v/>
      </c>
      <c r="BVC1" s="11">
        <f>IF(OR(SwitchPB&lt;&gt;"ON",Universe!$B$965=""),"",Universe!$B$965)</f>
        <v/>
      </c>
      <c r="BVE1" s="11">
        <f>IF(OR(SwitchPB&lt;&gt;"ON",Universe!$B$966=""),"",Universe!$B$966)</f>
        <v/>
      </c>
      <c r="BVG1" s="11">
        <f>IF(OR(SwitchPB&lt;&gt;"ON",Universe!$B$967=""),"",Universe!$B$967)</f>
        <v/>
      </c>
      <c r="BVI1" s="11">
        <f>IF(OR(SwitchPB&lt;&gt;"ON",Universe!$B$968=""),"",Universe!$B$968)</f>
        <v/>
      </c>
      <c r="BVK1" s="11">
        <f>IF(OR(SwitchPB&lt;&gt;"ON",Universe!$B$969=""),"",Universe!$B$969)</f>
        <v/>
      </c>
      <c r="BVM1" s="11">
        <f>IF(OR(SwitchPB&lt;&gt;"ON",Universe!$B$970=""),"",Universe!$B$970)</f>
        <v/>
      </c>
      <c r="BVO1" s="11">
        <f>IF(OR(SwitchPB&lt;&gt;"ON",Universe!$B$971=""),"",Universe!$B$971)</f>
        <v/>
      </c>
      <c r="BVQ1" s="11">
        <f>IF(OR(SwitchPB&lt;&gt;"ON",Universe!$B$972=""),"",Universe!$B$972)</f>
        <v/>
      </c>
      <c r="BVS1" s="11">
        <f>IF(OR(SwitchPB&lt;&gt;"ON",Universe!$B$973=""),"",Universe!$B$973)</f>
        <v/>
      </c>
      <c r="BVU1" s="11">
        <f>IF(OR(SwitchPB&lt;&gt;"ON",Universe!$B$974=""),"",Universe!$B$974)</f>
        <v/>
      </c>
      <c r="BVW1" s="11">
        <f>IF(OR(SwitchPB&lt;&gt;"ON",Universe!$B$975=""),"",Universe!$B$975)</f>
        <v/>
      </c>
      <c r="BVY1" s="11">
        <f>IF(OR(SwitchPB&lt;&gt;"ON",Universe!$B$976=""),"",Universe!$B$976)</f>
        <v/>
      </c>
      <c r="BWA1" s="11">
        <f>IF(OR(SwitchPB&lt;&gt;"ON",Universe!$B$977=""),"",Universe!$B$977)</f>
        <v/>
      </c>
      <c r="BWC1" s="11">
        <f>IF(OR(SwitchPB&lt;&gt;"ON",Universe!$B$978=""),"",Universe!$B$978)</f>
        <v/>
      </c>
      <c r="BWE1" s="11">
        <f>IF(OR(SwitchPB&lt;&gt;"ON",Universe!$B$979=""),"",Universe!$B$979)</f>
        <v/>
      </c>
      <c r="BWG1" s="11">
        <f>IF(OR(SwitchPB&lt;&gt;"ON",Universe!$B$980=""),"",Universe!$B$980)</f>
        <v/>
      </c>
      <c r="BWI1" s="11">
        <f>IF(OR(SwitchPB&lt;&gt;"ON",Universe!$B$981=""),"",Universe!$B$981)</f>
        <v/>
      </c>
      <c r="BWK1" s="11">
        <f>IF(OR(SwitchPB&lt;&gt;"ON",Universe!$B$982=""),"",Universe!$B$982)</f>
        <v/>
      </c>
      <c r="BWM1" s="11">
        <f>IF(OR(SwitchPB&lt;&gt;"ON",Universe!$B$983=""),"",Universe!$B$983)</f>
        <v/>
      </c>
      <c r="BWO1" s="11">
        <f>IF(OR(SwitchPB&lt;&gt;"ON",Universe!$B$984=""),"",Universe!$B$984)</f>
        <v/>
      </c>
      <c r="BWQ1" s="11">
        <f>IF(OR(SwitchPB&lt;&gt;"ON",Universe!$B$985=""),"",Universe!$B$985)</f>
        <v/>
      </c>
      <c r="BWS1" s="11">
        <f>IF(OR(SwitchPB&lt;&gt;"ON",Universe!$B$986=""),"",Universe!$B$986)</f>
        <v/>
      </c>
      <c r="BWU1" s="11">
        <f>IF(OR(SwitchPB&lt;&gt;"ON",Universe!$B$987=""),"",Universe!$B$987)</f>
        <v/>
      </c>
      <c r="BWW1" s="11">
        <f>IF(OR(SwitchPB&lt;&gt;"ON",Universe!$B$988=""),"",Universe!$B$988)</f>
        <v/>
      </c>
      <c r="BWY1" s="11">
        <f>IF(OR(SwitchPB&lt;&gt;"ON",Universe!$B$989=""),"",Universe!$B$989)</f>
        <v/>
      </c>
      <c r="BXA1" s="11">
        <f>IF(OR(SwitchPB&lt;&gt;"ON",Universe!$B$990=""),"",Universe!$B$990)</f>
        <v/>
      </c>
      <c r="BXC1" s="11">
        <f>IF(OR(SwitchPB&lt;&gt;"ON",Universe!$B$991=""),"",Universe!$B$991)</f>
        <v/>
      </c>
      <c r="BXE1" s="11">
        <f>IF(OR(SwitchPB&lt;&gt;"ON",Universe!$B$992=""),"",Universe!$B$992)</f>
        <v/>
      </c>
      <c r="BXG1" s="11">
        <f>IF(OR(SwitchPB&lt;&gt;"ON",Universe!$B$993=""),"",Universe!$B$993)</f>
        <v/>
      </c>
      <c r="BXI1" s="11">
        <f>IF(OR(SwitchPB&lt;&gt;"ON",Universe!$B$994=""),"",Universe!$B$994)</f>
        <v/>
      </c>
      <c r="BXK1" s="11">
        <f>IF(OR(SwitchPB&lt;&gt;"ON",Universe!$B$995=""),"",Universe!$B$995)</f>
        <v/>
      </c>
      <c r="BXM1" s="11">
        <f>IF(OR(SwitchPB&lt;&gt;"ON",Universe!$B$996=""),"",Universe!$B$996)</f>
        <v/>
      </c>
      <c r="BXO1" s="11">
        <f>IF(OR(SwitchPB&lt;&gt;"ON",Universe!$B$997=""),"",Universe!$B$997)</f>
        <v/>
      </c>
      <c r="BXQ1" s="11">
        <f>IF(OR(SwitchPB&lt;&gt;"ON",Universe!$B$998=""),"",Universe!$B$998)</f>
        <v/>
      </c>
      <c r="BXS1" s="11">
        <f>IF(OR(SwitchPB&lt;&gt;"ON",Universe!$B$999=""),"",Universe!$B$999)</f>
        <v/>
      </c>
      <c r="BXU1" s="11">
        <f>IF(OR(SwitchPB&lt;&gt;"ON",Universe!$B$1000=""),"",Universe!$B$1000)</f>
        <v/>
      </c>
      <c r="BXW1" s="11">
        <f>IF(OR(SwitchPB&lt;&gt;"ON",Universe!$B$1001=""),"",Universe!$B$1001)</f>
        <v/>
      </c>
      <c r="BXY1" s="11">
        <f>IF(OR(SwitchPB&lt;&gt;"ON",Universe!$B$1002=""),"",Universe!$B$1002)</f>
        <v/>
      </c>
      <c r="BYA1" s="11">
        <f>IF(OR(SwitchPB&lt;&gt;"ON",Universe!$B$1003=""),"",Universe!$B$1003)</f>
        <v/>
      </c>
      <c r="BYC1" s="11">
        <f>IF(OR(SwitchPB&lt;&gt;"ON",Universe!$B$1004=""),"",Universe!$B$1004)</f>
        <v/>
      </c>
      <c r="BYE1" s="11">
        <f>IF(OR(SwitchPB&lt;&gt;"ON",Universe!$B$1005=""),"",Universe!$B$1005)</f>
        <v/>
      </c>
      <c r="BYG1" s="11">
        <f>IF(OR(SwitchPB&lt;&gt;"ON",Universe!$B$1006=""),"",Universe!$B$1006)</f>
        <v/>
      </c>
      <c r="BYI1" s="11">
        <f>IF(OR(SwitchPB&lt;&gt;"ON",Universe!$B$1007=""),"",Universe!$B$1007)</f>
        <v/>
      </c>
      <c r="BYK1" s="11">
        <f>IF(OR(SwitchPB&lt;&gt;"ON",Universe!$B$1008=""),"",Universe!$B$1008)</f>
        <v/>
      </c>
      <c r="BYM1" s="11">
        <f>IF(OR(SwitchPB&lt;&gt;"ON",Universe!$B$1009=""),"",Universe!$B$1009)</f>
        <v/>
      </c>
      <c r="BYO1" s="11">
        <f>IF(OR(SwitchPB&lt;&gt;"ON",Universe!$B$1010=""),"",Universe!$B$1010)</f>
        <v/>
      </c>
      <c r="BYQ1" s="11">
        <f>IF(OR(SwitchPB&lt;&gt;"ON",Universe!$B$1011=""),"",Universe!$B$1011)</f>
        <v/>
      </c>
      <c r="BYS1" s="11">
        <f>IF(OR(SwitchPB&lt;&gt;"ON",Universe!$B$1012=""),"",Universe!$B$1012)</f>
        <v/>
      </c>
      <c r="BYU1" s="11">
        <f>IF(OR(SwitchPB&lt;&gt;"ON",Universe!$B$1013=""),"",Universe!$B$1013)</f>
        <v/>
      </c>
      <c r="BYW1" s="11">
        <f>IF(OR(SwitchPB&lt;&gt;"ON",Universe!$B$1014=""),"",Universe!$B$1014)</f>
        <v/>
      </c>
      <c r="BYY1" s="11">
        <f>IF(OR(SwitchPB&lt;&gt;"ON",Universe!$B$1015=""),"",Universe!$B$1015)</f>
        <v/>
      </c>
      <c r="BZA1" s="11">
        <f>IF(OR(SwitchPB&lt;&gt;"ON",Universe!$B$1016=""),"",Universe!$B$1016)</f>
        <v/>
      </c>
      <c r="BZC1" s="11">
        <f>IF(OR(SwitchPB&lt;&gt;"ON",Universe!$B$1017=""),"",Universe!$B$1017)</f>
        <v/>
      </c>
      <c r="BZE1" s="11">
        <f>IF(OR(SwitchPB&lt;&gt;"ON",Universe!$B$1018=""),"",Universe!$B$1018)</f>
        <v/>
      </c>
      <c r="BZG1" s="11">
        <f>IF(OR(SwitchPB&lt;&gt;"ON",Universe!$B$1019=""),"",Universe!$B$1019)</f>
        <v/>
      </c>
      <c r="BZI1" s="11">
        <f>IF(OR(SwitchPB&lt;&gt;"ON",Universe!$B$1020=""),"",Universe!$B$1020)</f>
        <v/>
      </c>
      <c r="BZK1" s="11">
        <f>IF(OR(SwitchPB&lt;&gt;"ON",Universe!$B$1021=""),"",Universe!$B$1021)</f>
        <v/>
      </c>
      <c r="BZM1" s="11">
        <f>IF(OR(SwitchPB&lt;&gt;"ON",Universe!$B$1022=""),"",Universe!$B$1022)</f>
        <v/>
      </c>
      <c r="BZO1" s="11">
        <f>IF(OR(SwitchPB&lt;&gt;"ON",Universe!$B$1023=""),"",Universe!$B$1023)</f>
        <v/>
      </c>
      <c r="BZQ1" s="11">
        <f>IF(OR(SwitchPB&lt;&gt;"ON",Universe!$B$1024=""),"",Universe!$B$1024)</f>
        <v/>
      </c>
      <c r="BZS1" s="11">
        <f>IF(OR(SwitchPB&lt;&gt;"ON",Universe!$B$1025=""),"",Universe!$B$1025)</f>
        <v/>
      </c>
      <c r="BZU1" s="11">
        <f>IF(OR(SwitchPB&lt;&gt;"ON",Universe!$B$1026=""),"",Universe!$B$1026)</f>
        <v/>
      </c>
      <c r="BZW1" s="11">
        <f>IF(OR(SwitchPB&lt;&gt;"ON",Universe!$B$1027=""),"",Universe!$B$1027)</f>
        <v/>
      </c>
      <c r="BZY1" s="11">
        <f>IF(OR(SwitchPB&lt;&gt;"ON",Universe!$B$1028=""),"",Universe!$B$1028)</f>
        <v/>
      </c>
      <c r="CAA1" s="11">
        <f>IF(OR(SwitchPB&lt;&gt;"ON",Universe!$B$1029=""),"",Universe!$B$1029)</f>
        <v/>
      </c>
      <c r="CAC1" s="11">
        <f>IF(OR(SwitchPB&lt;&gt;"ON",Universe!$B$1030=""),"",Universe!$B$1030)</f>
        <v/>
      </c>
      <c r="CAE1" s="11">
        <f>IF(OR(SwitchPB&lt;&gt;"ON",Universe!$B$1031=""),"",Universe!$B$1031)</f>
        <v/>
      </c>
      <c r="CAG1" s="11">
        <f>IF(OR(SwitchPB&lt;&gt;"ON",Universe!$B$1032=""),"",Universe!$B$1032)</f>
        <v/>
      </c>
      <c r="CAI1" s="11">
        <f>IF(OR(SwitchPB&lt;&gt;"ON",Universe!$B$1033=""),"",Universe!$B$1033)</f>
        <v/>
      </c>
      <c r="CAK1" s="11">
        <f>IF(OR(SwitchPB&lt;&gt;"ON",Universe!$B$1034=""),"",Universe!$B$1034)</f>
        <v/>
      </c>
      <c r="CAM1" s="11">
        <f>IF(OR(SwitchPB&lt;&gt;"ON",Universe!$B$1035=""),"",Universe!$B$1035)</f>
        <v/>
      </c>
      <c r="CAO1" s="11">
        <f>IF(OR(SwitchPB&lt;&gt;"ON",Universe!$B$1036=""),"",Universe!$B$1036)</f>
        <v/>
      </c>
      <c r="CAQ1" s="11">
        <f>IF(OR(SwitchPB&lt;&gt;"ON",Universe!$B$1037=""),"",Universe!$B$1037)</f>
        <v/>
      </c>
      <c r="CAS1" s="11">
        <f>IF(OR(SwitchPB&lt;&gt;"ON",Universe!$B$1038=""),"",Universe!$B$1038)</f>
        <v/>
      </c>
      <c r="CAU1" s="11">
        <f>IF(OR(SwitchPB&lt;&gt;"ON",Universe!$B$1039=""),"",Universe!$B$1039)</f>
        <v/>
      </c>
      <c r="CAW1" s="11">
        <f>IF(OR(SwitchPB&lt;&gt;"ON",Universe!$B$1040=""),"",Universe!$B$1040)</f>
        <v/>
      </c>
      <c r="CAY1" s="11">
        <f>IF(OR(SwitchPB&lt;&gt;"ON",Universe!$B$1041=""),"",Universe!$B$1041)</f>
        <v/>
      </c>
      <c r="CBA1" s="11">
        <f>IF(OR(SwitchPB&lt;&gt;"ON",Universe!$B$1042=""),"",Universe!$B$1042)</f>
        <v/>
      </c>
      <c r="CBC1" s="11">
        <f>IF(OR(SwitchPB&lt;&gt;"ON",Universe!$B$1043=""),"",Universe!$B$1043)</f>
        <v/>
      </c>
      <c r="CBE1" s="11">
        <f>IF(OR(SwitchPB&lt;&gt;"ON",Universe!$B$1044=""),"",Universe!$B$1044)</f>
        <v/>
      </c>
      <c r="CBG1" s="11">
        <f>IF(OR(SwitchPB&lt;&gt;"ON",Universe!$B$1045=""),"",Universe!$B$1045)</f>
        <v/>
      </c>
      <c r="CBI1" s="11">
        <f>IF(OR(SwitchPB&lt;&gt;"ON",Universe!$B$1046=""),"",Universe!$B$1046)</f>
        <v/>
      </c>
      <c r="CBK1" s="11">
        <f>IF(OR(SwitchPB&lt;&gt;"ON",Universe!$B$1047=""),"",Universe!$B$1047)</f>
        <v/>
      </c>
      <c r="CBM1" s="11">
        <f>IF(OR(SwitchPB&lt;&gt;"ON",Universe!$B$1048=""),"",Universe!$B$1048)</f>
        <v/>
      </c>
      <c r="CBO1" s="11">
        <f>IF(OR(SwitchPB&lt;&gt;"ON",Universe!$B$1049=""),"",Universe!$B$1049)</f>
        <v/>
      </c>
      <c r="CBQ1" s="11">
        <f>IF(OR(SwitchPB&lt;&gt;"ON",Universe!$B$1050=""),"",Universe!$B$1050)</f>
        <v/>
      </c>
      <c r="CBS1" s="11">
        <f>IF(OR(SwitchPB&lt;&gt;"ON",Universe!$B$1051=""),"",Universe!$B$1051)</f>
        <v/>
      </c>
      <c r="CBU1" s="11">
        <f>IF(OR(SwitchPB&lt;&gt;"ON",Universe!$B$1052=""),"",Universe!$B$1052)</f>
        <v/>
      </c>
      <c r="CBW1" s="11">
        <f>IF(OR(SwitchPB&lt;&gt;"ON",Universe!$B$1053=""),"",Universe!$B$1053)</f>
        <v/>
      </c>
      <c r="CBY1" s="11">
        <f>IF(OR(SwitchPB&lt;&gt;"ON",Universe!$B$1054=""),"",Universe!$B$1054)</f>
        <v/>
      </c>
      <c r="CCA1" s="11">
        <f>IF(OR(SwitchPB&lt;&gt;"ON",Universe!$B$1055=""),"",Universe!$B$1055)</f>
        <v/>
      </c>
      <c r="CCC1" s="11">
        <f>IF(OR(SwitchPB&lt;&gt;"ON",Universe!$B$1056=""),"",Universe!$B$1056)</f>
        <v/>
      </c>
      <c r="CCE1" s="11">
        <f>IF(OR(SwitchPB&lt;&gt;"ON",Universe!$B$1057=""),"",Universe!$B$1057)</f>
        <v/>
      </c>
      <c r="CCG1" s="11">
        <f>IF(OR(SwitchPB&lt;&gt;"ON",Universe!$B$1058=""),"",Universe!$B$1058)</f>
        <v/>
      </c>
      <c r="CCI1" s="11">
        <f>IF(OR(SwitchPB&lt;&gt;"ON",Universe!$B$1059=""),"",Universe!$B$1059)</f>
        <v/>
      </c>
      <c r="CCK1" s="11">
        <f>IF(OR(SwitchPB&lt;&gt;"ON",Universe!$B$1060=""),"",Universe!$B$1060)</f>
        <v/>
      </c>
      <c r="CCM1" s="11">
        <f>IF(OR(SwitchPB&lt;&gt;"ON",Universe!$B$1061=""),"",Universe!$B$1061)</f>
        <v/>
      </c>
      <c r="CCO1" s="11">
        <f>IF(OR(SwitchPB&lt;&gt;"ON",Universe!$B$1062=""),"",Universe!$B$1062)</f>
        <v/>
      </c>
      <c r="CCQ1" s="11">
        <f>IF(OR(SwitchPB&lt;&gt;"ON",Universe!$B$1063=""),"",Universe!$B$1063)</f>
        <v/>
      </c>
      <c r="CCS1" s="11">
        <f>IF(OR(SwitchPB&lt;&gt;"ON",Universe!$B$1064=""),"",Universe!$B$1064)</f>
        <v/>
      </c>
      <c r="CCU1" s="11">
        <f>IF(OR(SwitchPB&lt;&gt;"ON",Universe!$B$1065=""),"",Universe!$B$1065)</f>
        <v/>
      </c>
      <c r="CCW1" s="11">
        <f>IF(OR(SwitchPB&lt;&gt;"ON",Universe!$B$1066=""),"",Universe!$B$1066)</f>
        <v/>
      </c>
      <c r="CCY1" s="11">
        <f>IF(OR(SwitchPB&lt;&gt;"ON",Universe!$B$1067=""),"",Universe!$B$1067)</f>
        <v/>
      </c>
      <c r="CDA1" s="11">
        <f>IF(OR(SwitchPB&lt;&gt;"ON",Universe!$B$1068=""),"",Universe!$B$1068)</f>
        <v/>
      </c>
      <c r="CDC1" s="11">
        <f>IF(OR(SwitchPB&lt;&gt;"ON",Universe!$B$1069=""),"",Universe!$B$1069)</f>
        <v/>
      </c>
      <c r="CDE1" s="11">
        <f>IF(OR(SwitchPB&lt;&gt;"ON",Universe!$B$1070=""),"",Universe!$B$1070)</f>
        <v/>
      </c>
      <c r="CDG1" s="11">
        <f>IF(OR(SwitchPB&lt;&gt;"ON",Universe!$B$1071=""),"",Universe!$B$1071)</f>
        <v/>
      </c>
      <c r="CDI1" s="11">
        <f>IF(OR(SwitchPB&lt;&gt;"ON",Universe!$B$1072=""),"",Universe!$B$1072)</f>
        <v/>
      </c>
      <c r="CDK1" s="11">
        <f>IF(OR(SwitchPB&lt;&gt;"ON",Universe!$B$1073=""),"",Universe!$B$1073)</f>
        <v/>
      </c>
      <c r="CDM1" s="11">
        <f>IF(OR(SwitchPB&lt;&gt;"ON",Universe!$B$1074=""),"",Universe!$B$1074)</f>
        <v/>
      </c>
      <c r="CDO1" s="11">
        <f>IF(OR(SwitchPB&lt;&gt;"ON",Universe!$B$1075=""),"",Universe!$B$1075)</f>
        <v/>
      </c>
      <c r="CDQ1" s="11">
        <f>IF(OR(SwitchPB&lt;&gt;"ON",Universe!$B$1076=""),"",Universe!$B$1076)</f>
        <v/>
      </c>
      <c r="CDS1" s="11">
        <f>IF(OR(SwitchPB&lt;&gt;"ON",Universe!$B$1077=""),"",Universe!$B$1077)</f>
        <v/>
      </c>
      <c r="CDU1" s="11">
        <f>IF(OR(SwitchPB&lt;&gt;"ON",Universe!$B$1078=""),"",Universe!$B$1078)</f>
        <v/>
      </c>
      <c r="CDW1" s="11">
        <f>IF(OR(SwitchPB&lt;&gt;"ON",Universe!$B$1079=""),"",Universe!$B$1079)</f>
        <v/>
      </c>
      <c r="CDY1" s="11">
        <f>IF(OR(SwitchPB&lt;&gt;"ON",Universe!$B$1080=""),"",Universe!$B$1080)</f>
        <v/>
      </c>
      <c r="CEA1" s="11">
        <f>IF(OR(SwitchPB&lt;&gt;"ON",Universe!$B$1081=""),"",Universe!$B$1081)</f>
        <v/>
      </c>
      <c r="CEC1" s="11">
        <f>IF(OR(SwitchPB&lt;&gt;"ON",Universe!$B$1082=""),"",Universe!$B$1082)</f>
        <v/>
      </c>
      <c r="CEE1" s="11">
        <f>IF(OR(SwitchPB&lt;&gt;"ON",Universe!$B$1083=""),"",Universe!$B$1083)</f>
        <v/>
      </c>
      <c r="CEG1" s="11">
        <f>IF(OR(SwitchPB&lt;&gt;"ON",Universe!$B$1084=""),"",Universe!$B$1084)</f>
        <v/>
      </c>
      <c r="CEI1" s="11">
        <f>IF(OR(SwitchPB&lt;&gt;"ON",Universe!$B$1085=""),"",Universe!$B$1085)</f>
        <v/>
      </c>
      <c r="CEK1" s="11">
        <f>IF(OR(SwitchPB&lt;&gt;"ON",Universe!$B$1086=""),"",Universe!$B$1086)</f>
        <v/>
      </c>
      <c r="CEM1" s="11">
        <f>IF(OR(SwitchPB&lt;&gt;"ON",Universe!$B$1087=""),"",Universe!$B$1087)</f>
        <v/>
      </c>
      <c r="CEO1" s="11">
        <f>IF(OR(SwitchPB&lt;&gt;"ON",Universe!$B$1088=""),"",Universe!$B$1088)</f>
        <v/>
      </c>
      <c r="CEQ1" s="11">
        <f>IF(OR(SwitchPB&lt;&gt;"ON",Universe!$B$1089=""),"",Universe!$B$1089)</f>
        <v/>
      </c>
      <c r="CES1" s="11">
        <f>IF(OR(SwitchPB&lt;&gt;"ON",Universe!$B$1090=""),"",Universe!$B$1090)</f>
        <v/>
      </c>
      <c r="CEU1" s="11">
        <f>IF(OR(SwitchPB&lt;&gt;"ON",Universe!$B$1091=""),"",Universe!$B$1091)</f>
        <v/>
      </c>
      <c r="CEW1" s="11">
        <f>IF(OR(SwitchPB&lt;&gt;"ON",Universe!$B$1092=""),"",Universe!$B$1092)</f>
        <v/>
      </c>
      <c r="CEY1" s="11">
        <f>IF(OR(SwitchPB&lt;&gt;"ON",Universe!$B$1093=""),"",Universe!$B$1093)</f>
        <v/>
      </c>
      <c r="CFA1" s="11">
        <f>IF(OR(SwitchPB&lt;&gt;"ON",Universe!$B$1094=""),"",Universe!$B$1094)</f>
        <v/>
      </c>
      <c r="CFC1" s="11">
        <f>IF(OR(SwitchPB&lt;&gt;"ON",Universe!$B$1095=""),"",Universe!$B$1095)</f>
        <v/>
      </c>
      <c r="CFE1" s="11">
        <f>IF(OR(SwitchPB&lt;&gt;"ON",Universe!$B$1096=""),"",Universe!$B$1096)</f>
        <v/>
      </c>
      <c r="CFG1" s="11">
        <f>IF(OR(SwitchPB&lt;&gt;"ON",Universe!$B$1097=""),"",Universe!$B$1097)</f>
        <v/>
      </c>
      <c r="CFI1" s="11">
        <f>IF(OR(SwitchPB&lt;&gt;"ON",Universe!$B$1098=""),"",Universe!$B$1098)</f>
        <v/>
      </c>
      <c r="CFK1" s="11">
        <f>IF(OR(SwitchPB&lt;&gt;"ON",Universe!$B$1099=""),"",Universe!$B$1099)</f>
        <v/>
      </c>
      <c r="CFM1" s="11">
        <f>IF(OR(SwitchPB&lt;&gt;"ON",Universe!$B$1100=""),"",Universe!$B$1100)</f>
        <v/>
      </c>
      <c r="CFO1" s="11">
        <f>IF(OR(SwitchPB&lt;&gt;"ON",Universe!$B$1101=""),"",Universe!$B$1101)</f>
        <v/>
      </c>
      <c r="CFQ1" s="11">
        <f>IF(OR(SwitchPB&lt;&gt;"ON",Universe!$B$1102=""),"",Universe!$B$1102)</f>
        <v/>
      </c>
      <c r="CFS1" s="11">
        <f>IF(OR(SwitchPB&lt;&gt;"ON",Universe!$B$1103=""),"",Universe!$B$1103)</f>
        <v/>
      </c>
      <c r="CFU1" s="11">
        <f>IF(OR(SwitchPB&lt;&gt;"ON",Universe!$B$1104=""),"",Universe!$B$1104)</f>
        <v/>
      </c>
      <c r="CFW1" s="11">
        <f>IF(OR(SwitchPB&lt;&gt;"ON",Universe!$B$1105=""),"",Universe!$B$1105)</f>
        <v/>
      </c>
      <c r="CFY1" s="11">
        <f>IF(OR(SwitchPB&lt;&gt;"ON",Universe!$B$1106=""),"",Universe!$B$1106)</f>
        <v/>
      </c>
      <c r="CGA1" s="11">
        <f>IF(OR(SwitchPB&lt;&gt;"ON",Universe!$B$1107=""),"",Universe!$B$1107)</f>
        <v/>
      </c>
      <c r="CGC1" s="11">
        <f>IF(OR(SwitchPB&lt;&gt;"ON",Universe!$B$1108=""),"",Universe!$B$1108)</f>
        <v/>
      </c>
      <c r="CGE1" s="11">
        <f>IF(OR(SwitchPB&lt;&gt;"ON",Universe!$B$1109=""),"",Universe!$B$1109)</f>
        <v/>
      </c>
      <c r="CGG1" s="11">
        <f>IF(OR(SwitchPB&lt;&gt;"ON",Universe!$B$1110=""),"",Universe!$B$1110)</f>
        <v/>
      </c>
      <c r="CGI1" s="11">
        <f>IF(OR(SwitchPB&lt;&gt;"ON",Universe!$B$1111=""),"",Universe!$B$1111)</f>
        <v/>
      </c>
      <c r="CGK1" s="11">
        <f>IF(OR(SwitchPB&lt;&gt;"ON",Universe!$B$1112=""),"",Universe!$B$1112)</f>
        <v/>
      </c>
      <c r="CGM1" s="11">
        <f>IF(OR(SwitchPB&lt;&gt;"ON",Universe!$B$1113=""),"",Universe!$B$1113)</f>
        <v/>
      </c>
      <c r="CGO1" s="11">
        <f>IF(OR(SwitchPB&lt;&gt;"ON",Universe!$B$1114=""),"",Universe!$B$1114)</f>
        <v/>
      </c>
      <c r="CGQ1" s="11">
        <f>IF(OR(SwitchPB&lt;&gt;"ON",Universe!$B$1115=""),"",Universe!$B$1115)</f>
        <v/>
      </c>
      <c r="CGS1" s="11">
        <f>IF(OR(SwitchPB&lt;&gt;"ON",Universe!$B$1116=""),"",Universe!$B$1116)</f>
        <v/>
      </c>
      <c r="CGU1" s="11">
        <f>IF(OR(SwitchPB&lt;&gt;"ON",Universe!$B$1117=""),"",Universe!$B$1117)</f>
        <v/>
      </c>
      <c r="CGW1" s="11">
        <f>IF(OR(SwitchPB&lt;&gt;"ON",Universe!$B$1118=""),"",Universe!$B$1118)</f>
        <v/>
      </c>
      <c r="CGY1" s="11">
        <f>IF(OR(SwitchPB&lt;&gt;"ON",Universe!$B$1119=""),"",Universe!$B$1119)</f>
        <v/>
      </c>
      <c r="CHA1" s="11">
        <f>IF(OR(SwitchPB&lt;&gt;"ON",Universe!$B$1120=""),"",Universe!$B$1120)</f>
        <v/>
      </c>
      <c r="CHC1" s="11">
        <f>IF(OR(SwitchPB&lt;&gt;"ON",Universe!$B$1121=""),"",Universe!$B$1121)</f>
        <v/>
      </c>
      <c r="CHE1" s="11">
        <f>IF(OR(SwitchPB&lt;&gt;"ON",Universe!$B$1122=""),"",Universe!$B$1122)</f>
        <v/>
      </c>
      <c r="CHG1" s="11">
        <f>IF(OR(SwitchPB&lt;&gt;"ON",Universe!$B$1123=""),"",Universe!$B$1123)</f>
        <v/>
      </c>
      <c r="CHI1" s="11">
        <f>IF(OR(SwitchPB&lt;&gt;"ON",Universe!$B$1124=""),"",Universe!$B$1124)</f>
        <v/>
      </c>
      <c r="CHK1" s="11">
        <f>IF(OR(SwitchPB&lt;&gt;"ON",Universe!$B$1125=""),"",Universe!$B$1125)</f>
        <v/>
      </c>
      <c r="CHM1" s="11">
        <f>IF(OR(SwitchPB&lt;&gt;"ON",Universe!$B$1126=""),"",Universe!$B$1126)</f>
        <v/>
      </c>
      <c r="CHO1" s="11">
        <f>IF(OR(SwitchPB&lt;&gt;"ON",Universe!$B$1127=""),"",Universe!$B$1127)</f>
        <v/>
      </c>
      <c r="CHQ1" s="11">
        <f>IF(OR(SwitchPB&lt;&gt;"ON",Universe!$B$1128=""),"",Universe!$B$1128)</f>
        <v/>
      </c>
      <c r="CHS1" s="11">
        <f>IF(OR(SwitchPB&lt;&gt;"ON",Universe!$B$1129=""),"",Universe!$B$1129)</f>
        <v/>
      </c>
      <c r="CHU1" s="11">
        <f>IF(OR(SwitchPB&lt;&gt;"ON",Universe!$B$1130=""),"",Universe!$B$1130)</f>
        <v/>
      </c>
      <c r="CHW1" s="11">
        <f>IF(OR(SwitchPB&lt;&gt;"ON",Universe!$B$1131=""),"",Universe!$B$1131)</f>
        <v/>
      </c>
      <c r="CHY1" s="11">
        <f>IF(OR(SwitchPB&lt;&gt;"ON",Universe!$B$1132=""),"",Universe!$B$1132)</f>
        <v/>
      </c>
      <c r="CIA1" s="11">
        <f>IF(OR(SwitchPB&lt;&gt;"ON",Universe!$B$1133=""),"",Universe!$B$1133)</f>
        <v/>
      </c>
      <c r="CIC1" s="11">
        <f>IF(OR(SwitchPB&lt;&gt;"ON",Universe!$B$1134=""),"",Universe!$B$1134)</f>
        <v/>
      </c>
      <c r="CIE1" s="11">
        <f>IF(OR(SwitchPB&lt;&gt;"ON",Universe!$B$1135=""),"",Universe!$B$1135)</f>
        <v/>
      </c>
      <c r="CIG1" s="11">
        <f>IF(OR(SwitchPB&lt;&gt;"ON",Universe!$B$1136=""),"",Universe!$B$1136)</f>
        <v/>
      </c>
      <c r="CII1" s="11">
        <f>IF(OR(SwitchPB&lt;&gt;"ON",Universe!$B$1137=""),"",Universe!$B$1137)</f>
        <v/>
      </c>
      <c r="CIK1" s="11">
        <f>IF(OR(SwitchPB&lt;&gt;"ON",Universe!$B$1138=""),"",Universe!$B$1138)</f>
        <v/>
      </c>
      <c r="CIM1" s="11">
        <f>IF(OR(SwitchPB&lt;&gt;"ON",Universe!$B$1139=""),"",Universe!$B$1139)</f>
        <v/>
      </c>
      <c r="CIO1" s="11">
        <f>IF(OR(SwitchPB&lt;&gt;"ON",Universe!$B$1140=""),"",Universe!$B$1140)</f>
        <v/>
      </c>
      <c r="CIQ1" s="11">
        <f>IF(OR(SwitchPB&lt;&gt;"ON",Universe!$B$1141=""),"",Universe!$B$1141)</f>
        <v/>
      </c>
      <c r="CIS1" s="11">
        <f>IF(OR(SwitchPB&lt;&gt;"ON",Universe!$B$1142=""),"",Universe!$B$1142)</f>
        <v/>
      </c>
      <c r="CIU1" s="11">
        <f>IF(OR(SwitchPB&lt;&gt;"ON",Universe!$B$1143=""),"",Universe!$B$1143)</f>
        <v/>
      </c>
      <c r="CIW1" s="11">
        <f>IF(OR(SwitchPB&lt;&gt;"ON",Universe!$B$1144=""),"",Universe!$B$1144)</f>
        <v/>
      </c>
      <c r="CIY1" s="11">
        <f>IF(OR(SwitchPB&lt;&gt;"ON",Universe!$B$1145=""),"",Universe!$B$1145)</f>
        <v/>
      </c>
      <c r="CJA1" s="11">
        <f>IF(OR(SwitchPB&lt;&gt;"ON",Universe!$B$1146=""),"",Universe!$B$1146)</f>
        <v/>
      </c>
      <c r="CJC1" s="11">
        <f>IF(OR(SwitchPB&lt;&gt;"ON",Universe!$B$1147=""),"",Universe!$B$1147)</f>
        <v/>
      </c>
      <c r="CJE1" s="11">
        <f>IF(OR(SwitchPB&lt;&gt;"ON",Universe!$B$1148=""),"",Universe!$B$1148)</f>
        <v/>
      </c>
      <c r="CJG1" s="11">
        <f>IF(OR(SwitchPB&lt;&gt;"ON",Universe!$B$1149=""),"",Universe!$B$1149)</f>
        <v/>
      </c>
      <c r="CJI1" s="11">
        <f>IF(OR(SwitchPB&lt;&gt;"ON",Universe!$B$1150=""),"",Universe!$B$1150)</f>
        <v/>
      </c>
      <c r="CJK1" s="11">
        <f>IF(OR(SwitchPB&lt;&gt;"ON",Universe!$B$1151=""),"",Universe!$B$1151)</f>
        <v/>
      </c>
      <c r="CJM1" s="11">
        <f>IF(OR(SwitchPB&lt;&gt;"ON",Universe!$B$1152=""),"",Universe!$B$1152)</f>
        <v/>
      </c>
      <c r="CJO1" s="11">
        <f>IF(OR(SwitchPB&lt;&gt;"ON",Universe!$B$1153=""),"",Universe!$B$1153)</f>
        <v/>
      </c>
      <c r="CJQ1" s="11">
        <f>IF(OR(SwitchPB&lt;&gt;"ON",Universe!$B$1154=""),"",Universe!$B$1154)</f>
        <v/>
      </c>
      <c r="CJS1" s="11">
        <f>IF(OR(SwitchPB&lt;&gt;"ON",Universe!$B$1155=""),"",Universe!$B$1155)</f>
        <v/>
      </c>
      <c r="CJU1" s="11">
        <f>IF(OR(SwitchPB&lt;&gt;"ON",Universe!$B$1156=""),"",Universe!$B$1156)</f>
        <v/>
      </c>
      <c r="CJW1" s="11">
        <f>IF(OR(SwitchPB&lt;&gt;"ON",Universe!$B$1157=""),"",Universe!$B$1157)</f>
        <v/>
      </c>
      <c r="CJY1" s="11">
        <f>IF(OR(SwitchPB&lt;&gt;"ON",Universe!$B$1158=""),"",Universe!$B$1158)</f>
        <v/>
      </c>
      <c r="CKA1" s="11">
        <f>IF(OR(SwitchPB&lt;&gt;"ON",Universe!$B$1159=""),"",Universe!$B$1159)</f>
        <v/>
      </c>
      <c r="CKC1" s="11">
        <f>IF(OR(SwitchPB&lt;&gt;"ON",Universe!$B$1160=""),"",Universe!$B$1160)</f>
        <v/>
      </c>
      <c r="CKE1" s="11">
        <f>IF(OR(SwitchPB&lt;&gt;"ON",Universe!$B$1161=""),"",Universe!$B$1161)</f>
        <v/>
      </c>
      <c r="CKG1" s="11">
        <f>IF(OR(SwitchPB&lt;&gt;"ON",Universe!$B$1162=""),"",Universe!$B$1162)</f>
        <v/>
      </c>
      <c r="CKI1" s="11">
        <f>IF(OR(SwitchPB&lt;&gt;"ON",Universe!$B$1163=""),"",Universe!$B$1163)</f>
        <v/>
      </c>
      <c r="CKK1" s="11">
        <f>IF(OR(SwitchPB&lt;&gt;"ON",Universe!$B$1164=""),"",Universe!$B$1164)</f>
        <v/>
      </c>
      <c r="CKM1" s="11">
        <f>IF(OR(SwitchPB&lt;&gt;"ON",Universe!$B$1165=""),"",Universe!$B$1165)</f>
        <v/>
      </c>
      <c r="CKO1" s="11">
        <f>IF(OR(SwitchPB&lt;&gt;"ON",Universe!$B$1166=""),"",Universe!$B$1166)</f>
        <v/>
      </c>
      <c r="CKQ1" s="11">
        <f>IF(OR(SwitchPB&lt;&gt;"ON",Universe!$B$1167=""),"",Universe!$B$1167)</f>
        <v/>
      </c>
      <c r="CKS1" s="11">
        <f>IF(OR(SwitchPB&lt;&gt;"ON",Universe!$B$1168=""),"",Universe!$B$1168)</f>
        <v/>
      </c>
      <c r="CKU1" s="11">
        <f>IF(OR(SwitchPB&lt;&gt;"ON",Universe!$B$1169=""),"",Universe!$B$1169)</f>
        <v/>
      </c>
      <c r="CKW1" s="11">
        <f>IF(OR(SwitchPB&lt;&gt;"ON",Universe!$B$1170=""),"",Universe!$B$1170)</f>
        <v/>
      </c>
      <c r="CKY1" s="11">
        <f>IF(OR(SwitchPB&lt;&gt;"ON",Universe!$B$1171=""),"",Universe!$B$1171)</f>
        <v/>
      </c>
      <c r="CLA1" s="11">
        <f>IF(OR(SwitchPB&lt;&gt;"ON",Universe!$B$1172=""),"",Universe!$B$1172)</f>
        <v/>
      </c>
      <c r="CLC1" s="11">
        <f>IF(OR(SwitchPB&lt;&gt;"ON",Universe!$B$1173=""),"",Universe!$B$1173)</f>
        <v/>
      </c>
      <c r="CLE1" s="11">
        <f>IF(OR(SwitchPB&lt;&gt;"ON",Universe!$B$1174=""),"",Universe!$B$1174)</f>
        <v/>
      </c>
      <c r="CLG1" s="11">
        <f>IF(OR(SwitchPB&lt;&gt;"ON",Universe!$B$1175=""),"",Universe!$B$1175)</f>
        <v/>
      </c>
      <c r="CLI1" s="11">
        <f>IF(OR(SwitchPB&lt;&gt;"ON",Universe!$B$1176=""),"",Universe!$B$1176)</f>
        <v/>
      </c>
      <c r="CLK1" s="11">
        <f>IF(OR(SwitchPB&lt;&gt;"ON",Universe!$B$1177=""),"",Universe!$B$1177)</f>
        <v/>
      </c>
      <c r="CLM1" s="11">
        <f>IF(OR(SwitchPB&lt;&gt;"ON",Universe!$B$1178=""),"",Universe!$B$1178)</f>
        <v/>
      </c>
      <c r="CLO1" s="11">
        <f>IF(OR(SwitchPB&lt;&gt;"ON",Universe!$B$1179=""),"",Universe!$B$1179)</f>
        <v/>
      </c>
      <c r="CLQ1" s="11">
        <f>IF(OR(SwitchPB&lt;&gt;"ON",Universe!$B$1180=""),"",Universe!$B$1180)</f>
        <v/>
      </c>
      <c r="CLS1" s="11">
        <f>IF(OR(SwitchPB&lt;&gt;"ON",Universe!$B$1181=""),"",Universe!$B$1181)</f>
        <v/>
      </c>
      <c r="CLU1" s="11">
        <f>IF(OR(SwitchPB&lt;&gt;"ON",Universe!$B$1182=""),"",Universe!$B$1182)</f>
        <v/>
      </c>
      <c r="CLW1" s="11">
        <f>IF(OR(SwitchPB&lt;&gt;"ON",Universe!$B$1183=""),"",Universe!$B$1183)</f>
        <v/>
      </c>
      <c r="CLY1" s="11">
        <f>IF(OR(SwitchPB&lt;&gt;"ON",Universe!$B$1184=""),"",Universe!$B$1184)</f>
        <v/>
      </c>
      <c r="CMA1" s="11">
        <f>IF(OR(SwitchPB&lt;&gt;"ON",Universe!$B$1185=""),"",Universe!$B$1185)</f>
        <v/>
      </c>
      <c r="CMC1" s="11">
        <f>IF(OR(SwitchPB&lt;&gt;"ON",Universe!$B$1186=""),"",Universe!$B$1186)</f>
        <v/>
      </c>
      <c r="CME1" s="11">
        <f>IF(OR(SwitchPB&lt;&gt;"ON",Universe!$B$1187=""),"",Universe!$B$1187)</f>
        <v/>
      </c>
      <c r="CMG1" s="11">
        <f>IF(OR(SwitchPB&lt;&gt;"ON",Universe!$B$1188=""),"",Universe!$B$1188)</f>
        <v/>
      </c>
      <c r="CMI1" s="11">
        <f>IF(OR(SwitchPB&lt;&gt;"ON",Universe!$B$1189=""),"",Universe!$B$1189)</f>
        <v/>
      </c>
      <c r="CMK1" s="11">
        <f>IF(OR(SwitchPB&lt;&gt;"ON",Universe!$B$1190=""),"",Universe!$B$1190)</f>
        <v/>
      </c>
      <c r="CMM1" s="11">
        <f>IF(OR(SwitchPB&lt;&gt;"ON",Universe!$B$1191=""),"",Universe!$B$1191)</f>
        <v/>
      </c>
      <c r="CMO1" s="11">
        <f>IF(OR(SwitchPB&lt;&gt;"ON",Universe!$B$1192=""),"",Universe!$B$1192)</f>
        <v/>
      </c>
      <c r="CMQ1" s="11">
        <f>IF(OR(SwitchPB&lt;&gt;"ON",Universe!$B$1193=""),"",Universe!$B$1193)</f>
        <v/>
      </c>
      <c r="CMS1" s="11">
        <f>IF(OR(SwitchPB&lt;&gt;"ON",Universe!$B$1194=""),"",Universe!$B$1194)</f>
        <v/>
      </c>
      <c r="CMU1" s="11">
        <f>IF(OR(SwitchPB&lt;&gt;"ON",Universe!$B$1195=""),"",Universe!$B$1195)</f>
        <v/>
      </c>
      <c r="CMW1" s="11">
        <f>IF(OR(SwitchPB&lt;&gt;"ON",Universe!$B$1196=""),"",Universe!$B$1196)</f>
        <v/>
      </c>
      <c r="CMY1" s="11">
        <f>IF(OR(SwitchPB&lt;&gt;"ON",Universe!$B$1197=""),"",Universe!$B$1197)</f>
        <v/>
      </c>
      <c r="CNA1" s="11">
        <f>IF(OR(SwitchPB&lt;&gt;"ON",Universe!$B$1198=""),"",Universe!$B$1198)</f>
        <v/>
      </c>
      <c r="CNC1" s="11">
        <f>IF(OR(SwitchPB&lt;&gt;"ON",Universe!$B$1199=""),"",Universe!$B$1199)</f>
        <v/>
      </c>
      <c r="CNE1" s="11">
        <f>IF(OR(SwitchPB&lt;&gt;"ON",Universe!$B$1200=""),"",Universe!$B$1200)</f>
        <v/>
      </c>
      <c r="CNG1" s="11">
        <f>IF(OR(SwitchPB&lt;&gt;"ON",Universe!$B$1201=""),"",Universe!$B$1201)</f>
        <v/>
      </c>
      <c r="CNI1" s="11">
        <f>IF(OR(SwitchPB&lt;&gt;"ON",Universe!$B$1202=""),"",Universe!$B$1202)</f>
        <v/>
      </c>
      <c r="CNK1" s="11">
        <f>IF(OR(SwitchPB&lt;&gt;"ON",Universe!$B$1203=""),"",Universe!$B$1203)</f>
        <v/>
      </c>
      <c r="CNM1" s="11">
        <f>IF(OR(SwitchPB&lt;&gt;"ON",Universe!$B$1204=""),"",Universe!$B$1204)</f>
        <v/>
      </c>
      <c r="CNO1" s="11">
        <f>IF(OR(SwitchPB&lt;&gt;"ON",Universe!$B$1205=""),"",Universe!$B$1205)</f>
        <v/>
      </c>
      <c r="CNQ1" s="11">
        <f>IF(OR(SwitchPB&lt;&gt;"ON",Universe!$B$1206=""),"",Universe!$B$1206)</f>
        <v/>
      </c>
      <c r="CNS1" s="11">
        <f>IF(OR(SwitchPB&lt;&gt;"ON",Universe!$B$1207=""),"",Universe!$B$1207)</f>
        <v/>
      </c>
      <c r="CNU1" s="11">
        <f>IF(OR(SwitchPB&lt;&gt;"ON",Universe!$B$1208=""),"",Universe!$B$1208)</f>
        <v/>
      </c>
      <c r="CNW1" s="11">
        <f>IF(OR(SwitchPB&lt;&gt;"ON",Universe!$B$1209=""),"",Universe!$B$1209)</f>
        <v/>
      </c>
      <c r="CNY1" s="11">
        <f>IF(OR(SwitchPB&lt;&gt;"ON",Universe!$B$1210=""),"",Universe!$B$1210)</f>
        <v/>
      </c>
      <c r="COA1" s="11">
        <f>IF(OR(SwitchPB&lt;&gt;"ON",Universe!$B$1211=""),"",Universe!$B$1211)</f>
        <v/>
      </c>
      <c r="COC1" s="11">
        <f>IF(OR(SwitchPB&lt;&gt;"ON",Universe!$B$1212=""),"",Universe!$B$1212)</f>
        <v/>
      </c>
      <c r="COE1" s="11">
        <f>IF(OR(SwitchPB&lt;&gt;"ON",Universe!$B$1213=""),"",Universe!$B$1213)</f>
        <v/>
      </c>
      <c r="COG1" s="11">
        <f>IF(OR(SwitchPB&lt;&gt;"ON",Universe!$B$1214=""),"",Universe!$B$1214)</f>
        <v/>
      </c>
      <c r="COI1" s="11">
        <f>IF(OR(SwitchPB&lt;&gt;"ON",Universe!$B$1215=""),"",Universe!$B$1215)</f>
        <v/>
      </c>
      <c r="COK1" s="11">
        <f>IF(OR(SwitchPB&lt;&gt;"ON",Universe!$B$1216=""),"",Universe!$B$1216)</f>
        <v/>
      </c>
      <c r="COM1" s="11">
        <f>IF(OR(SwitchPB&lt;&gt;"ON",Universe!$B$1217=""),"",Universe!$B$1217)</f>
        <v/>
      </c>
      <c r="COO1" s="11">
        <f>IF(OR(SwitchPB&lt;&gt;"ON",Universe!$B$1218=""),"",Universe!$B$1218)</f>
        <v/>
      </c>
      <c r="COQ1" s="11">
        <f>IF(OR(SwitchPB&lt;&gt;"ON",Universe!$B$1219=""),"",Universe!$B$1219)</f>
        <v/>
      </c>
      <c r="COS1" s="11">
        <f>IF(OR(SwitchPB&lt;&gt;"ON",Universe!$B$1220=""),"",Universe!$B$1220)</f>
        <v/>
      </c>
      <c r="COU1" s="11">
        <f>IF(OR(SwitchPB&lt;&gt;"ON",Universe!$B$1221=""),"",Universe!$B$1221)</f>
        <v/>
      </c>
      <c r="COW1" s="11">
        <f>IF(OR(SwitchPB&lt;&gt;"ON",Universe!$B$1222=""),"",Universe!$B$1222)</f>
        <v/>
      </c>
      <c r="COY1" s="11">
        <f>IF(OR(SwitchPB&lt;&gt;"ON",Universe!$B$1223=""),"",Universe!$B$1223)</f>
        <v/>
      </c>
      <c r="CPA1" s="11">
        <f>IF(OR(SwitchPB&lt;&gt;"ON",Universe!$B$1224=""),"",Universe!$B$1224)</f>
        <v/>
      </c>
      <c r="CPC1" s="11">
        <f>IF(OR(SwitchPB&lt;&gt;"ON",Universe!$B$1225=""),"",Universe!$B$1225)</f>
        <v/>
      </c>
      <c r="CPE1" s="11">
        <f>IF(OR(SwitchPB&lt;&gt;"ON",Universe!$B$1226=""),"",Universe!$B$1226)</f>
        <v/>
      </c>
      <c r="CPG1" s="11">
        <f>IF(OR(SwitchPB&lt;&gt;"ON",Universe!$B$1227=""),"",Universe!$B$1227)</f>
        <v/>
      </c>
      <c r="CPI1" s="11">
        <f>IF(OR(SwitchPB&lt;&gt;"ON",Universe!$B$1228=""),"",Universe!$B$1228)</f>
        <v/>
      </c>
      <c r="CPK1" s="11">
        <f>IF(OR(SwitchPB&lt;&gt;"ON",Universe!$B$1229=""),"",Universe!$B$1229)</f>
        <v/>
      </c>
      <c r="CPM1" s="11">
        <f>IF(OR(SwitchPB&lt;&gt;"ON",Universe!$B$1230=""),"",Universe!$B$1230)</f>
        <v/>
      </c>
      <c r="CPO1" s="11">
        <f>IF(OR(SwitchPB&lt;&gt;"ON",Universe!$B$1231=""),"",Universe!$B$1231)</f>
        <v/>
      </c>
      <c r="CPQ1" s="11">
        <f>IF(OR(SwitchPB&lt;&gt;"ON",Universe!$B$1232=""),"",Universe!$B$1232)</f>
        <v/>
      </c>
      <c r="CPS1" s="11">
        <f>IF(OR(SwitchPB&lt;&gt;"ON",Universe!$B$1233=""),"",Universe!$B$1233)</f>
        <v/>
      </c>
      <c r="CPU1" s="11">
        <f>IF(OR(SwitchPB&lt;&gt;"ON",Universe!$B$1234=""),"",Universe!$B$1234)</f>
        <v/>
      </c>
      <c r="CPW1" s="11">
        <f>IF(OR(SwitchPB&lt;&gt;"ON",Universe!$B$1235=""),"",Universe!$B$1235)</f>
        <v/>
      </c>
      <c r="CPY1" s="11">
        <f>IF(OR(SwitchPB&lt;&gt;"ON",Universe!$B$1236=""),"",Universe!$B$1236)</f>
        <v/>
      </c>
      <c r="CQA1" s="11">
        <f>IF(OR(SwitchPB&lt;&gt;"ON",Universe!$B$1237=""),"",Universe!$B$1237)</f>
        <v/>
      </c>
      <c r="CQC1" s="11">
        <f>IF(OR(SwitchPB&lt;&gt;"ON",Universe!$B$1238=""),"",Universe!$B$1238)</f>
        <v/>
      </c>
      <c r="CQE1" s="11">
        <f>IF(OR(SwitchPB&lt;&gt;"ON",Universe!$B$1239=""),"",Universe!$B$1239)</f>
        <v/>
      </c>
      <c r="CQG1" s="11">
        <f>IF(OR(SwitchPB&lt;&gt;"ON",Universe!$B$1240=""),"",Universe!$B$1240)</f>
        <v/>
      </c>
      <c r="CQI1" s="11">
        <f>IF(OR(SwitchPB&lt;&gt;"ON",Universe!$B$1241=""),"",Universe!$B$1241)</f>
        <v/>
      </c>
      <c r="CQK1" s="11">
        <f>IF(OR(SwitchPB&lt;&gt;"ON",Universe!$B$1242=""),"",Universe!$B$1242)</f>
        <v/>
      </c>
      <c r="CQM1" s="11">
        <f>IF(OR(SwitchPB&lt;&gt;"ON",Universe!$B$1243=""),"",Universe!$B$1243)</f>
        <v/>
      </c>
      <c r="CQO1" s="11">
        <f>IF(OR(SwitchPB&lt;&gt;"ON",Universe!$B$1244=""),"",Universe!$B$1244)</f>
        <v/>
      </c>
      <c r="CQQ1" s="11">
        <f>IF(OR(SwitchPB&lt;&gt;"ON",Universe!$B$1245=""),"",Universe!$B$1245)</f>
        <v/>
      </c>
      <c r="CQS1" s="11">
        <f>IF(OR(SwitchPB&lt;&gt;"ON",Universe!$B$1246=""),"",Universe!$B$1246)</f>
        <v/>
      </c>
      <c r="CQU1" s="11">
        <f>IF(OR(SwitchPB&lt;&gt;"ON",Universe!$B$1247=""),"",Universe!$B$1247)</f>
        <v/>
      </c>
      <c r="CQW1" s="11">
        <f>IF(OR(SwitchPB&lt;&gt;"ON",Universe!$B$1248=""),"",Universe!$B$1248)</f>
        <v/>
      </c>
      <c r="CQY1" s="11">
        <f>IF(OR(SwitchPB&lt;&gt;"ON",Universe!$B$1249=""),"",Universe!$B$1249)</f>
        <v/>
      </c>
      <c r="CRA1" s="11">
        <f>IF(OR(SwitchPB&lt;&gt;"ON",Universe!$B$1250=""),"",Universe!$B$1250)</f>
        <v/>
      </c>
      <c r="CRC1" s="11">
        <f>IF(OR(SwitchPB&lt;&gt;"ON",Universe!$B$1251=""),"",Universe!$B$1251)</f>
        <v/>
      </c>
      <c r="CRE1" s="11">
        <f>IF(OR(SwitchPB&lt;&gt;"ON",Universe!$B$1252=""),"",Universe!$B$1252)</f>
        <v/>
      </c>
      <c r="CRG1" s="11">
        <f>IF(OR(SwitchPB&lt;&gt;"ON",Universe!$B$1253=""),"",Universe!$B$1253)</f>
        <v/>
      </c>
      <c r="CRI1" s="11">
        <f>IF(OR(SwitchPB&lt;&gt;"ON",Universe!$B$1254=""),"",Universe!$B$1254)</f>
        <v/>
      </c>
      <c r="CRK1" s="11">
        <f>IF(OR(SwitchPB&lt;&gt;"ON",Universe!$B$1255=""),"",Universe!$B$1255)</f>
        <v/>
      </c>
      <c r="CRM1" s="11">
        <f>IF(OR(SwitchPB&lt;&gt;"ON",Universe!$B$1256=""),"",Universe!$B$1256)</f>
        <v/>
      </c>
      <c r="CRO1" s="11">
        <f>IF(OR(SwitchPB&lt;&gt;"ON",Universe!$B$1257=""),"",Universe!$B$1257)</f>
        <v/>
      </c>
      <c r="CRQ1" s="11">
        <f>IF(OR(SwitchPB&lt;&gt;"ON",Universe!$B$1258=""),"",Universe!$B$1258)</f>
        <v/>
      </c>
      <c r="CRS1" s="11">
        <f>IF(OR(SwitchPB&lt;&gt;"ON",Universe!$B$1259=""),"",Universe!$B$1259)</f>
        <v/>
      </c>
      <c r="CRU1" s="11">
        <f>IF(OR(SwitchPB&lt;&gt;"ON",Universe!$B$1260=""),"",Universe!$B$1260)</f>
        <v/>
      </c>
      <c r="CRW1" s="11">
        <f>IF(OR(SwitchPB&lt;&gt;"ON",Universe!$B$1261=""),"",Universe!$B$1261)</f>
        <v/>
      </c>
      <c r="CRY1" s="11">
        <f>IF(OR(SwitchPB&lt;&gt;"ON",Universe!$B$1262=""),"",Universe!$B$1262)</f>
        <v/>
      </c>
      <c r="CSA1" s="11">
        <f>IF(OR(SwitchPB&lt;&gt;"ON",Universe!$B$1263=""),"",Universe!$B$1263)</f>
        <v/>
      </c>
      <c r="CSC1" s="11">
        <f>IF(OR(SwitchPB&lt;&gt;"ON",Universe!$B$1264=""),"",Universe!$B$1264)</f>
        <v/>
      </c>
      <c r="CSE1" s="11">
        <f>IF(OR(SwitchPB&lt;&gt;"ON",Universe!$B$1265=""),"",Universe!$B$1265)</f>
        <v/>
      </c>
      <c r="CSG1" s="11">
        <f>IF(OR(SwitchPB&lt;&gt;"ON",Universe!$B$1266=""),"",Universe!$B$1266)</f>
        <v/>
      </c>
      <c r="CSI1" s="11">
        <f>IF(OR(SwitchPB&lt;&gt;"ON",Universe!$B$1267=""),"",Universe!$B$1267)</f>
        <v/>
      </c>
      <c r="CSK1" s="11">
        <f>IF(OR(SwitchPB&lt;&gt;"ON",Universe!$B$1268=""),"",Universe!$B$1268)</f>
        <v/>
      </c>
      <c r="CSM1" s="11">
        <f>IF(OR(SwitchPB&lt;&gt;"ON",Universe!$B$1269=""),"",Universe!$B$1269)</f>
        <v/>
      </c>
      <c r="CSO1" s="11">
        <f>IF(OR(SwitchPB&lt;&gt;"ON",Universe!$B$1270=""),"",Universe!$B$1270)</f>
        <v/>
      </c>
      <c r="CSQ1" s="11">
        <f>IF(OR(SwitchPB&lt;&gt;"ON",Universe!$B$1271=""),"",Universe!$B$1271)</f>
        <v/>
      </c>
      <c r="CSS1" s="11">
        <f>IF(OR(SwitchPB&lt;&gt;"ON",Universe!$B$1272=""),"",Universe!$B$1272)</f>
        <v/>
      </c>
      <c r="CSU1" s="11">
        <f>IF(OR(SwitchPB&lt;&gt;"ON",Universe!$B$1273=""),"",Universe!$B$1273)</f>
        <v/>
      </c>
      <c r="CSW1" s="11">
        <f>IF(OR(SwitchPB&lt;&gt;"ON",Universe!$B$1274=""),"",Universe!$B$1274)</f>
        <v/>
      </c>
      <c r="CSY1" s="11">
        <f>IF(OR(SwitchPB&lt;&gt;"ON",Universe!$B$1275=""),"",Universe!$B$1275)</f>
        <v/>
      </c>
      <c r="CTA1" s="11">
        <f>IF(OR(SwitchPB&lt;&gt;"ON",Universe!$B$1276=""),"",Universe!$B$1276)</f>
        <v/>
      </c>
      <c r="CTC1" s="11">
        <f>IF(OR(SwitchPB&lt;&gt;"ON",Universe!$B$1277=""),"",Universe!$B$1277)</f>
        <v/>
      </c>
      <c r="CTE1" s="11">
        <f>IF(OR(SwitchPB&lt;&gt;"ON",Universe!$B$1278=""),"",Universe!$B$1278)</f>
        <v/>
      </c>
      <c r="CTG1" s="11">
        <f>IF(OR(SwitchPB&lt;&gt;"ON",Universe!$B$1279=""),"",Universe!$B$1279)</f>
        <v/>
      </c>
      <c r="CTI1" s="11">
        <f>IF(OR(SwitchPB&lt;&gt;"ON",Universe!$B$1280=""),"",Universe!$B$1280)</f>
        <v/>
      </c>
      <c r="CTK1" s="11">
        <f>IF(OR(SwitchPB&lt;&gt;"ON",Universe!$B$1281=""),"",Universe!$B$1281)</f>
        <v/>
      </c>
      <c r="CTM1" s="11">
        <f>IF(OR(SwitchPB&lt;&gt;"ON",Universe!$B$1282=""),"",Universe!$B$1282)</f>
        <v/>
      </c>
      <c r="CTO1" s="11">
        <f>IF(OR(SwitchPB&lt;&gt;"ON",Universe!$B$1283=""),"",Universe!$B$1283)</f>
        <v/>
      </c>
      <c r="CTQ1" s="11">
        <f>IF(OR(SwitchPB&lt;&gt;"ON",Universe!$B$1284=""),"",Universe!$B$1284)</f>
        <v/>
      </c>
      <c r="CTS1" s="11">
        <f>IF(OR(SwitchPB&lt;&gt;"ON",Universe!$B$1285=""),"",Universe!$B$1285)</f>
        <v/>
      </c>
      <c r="CTU1" s="11">
        <f>IF(OR(SwitchPB&lt;&gt;"ON",Universe!$B$1286=""),"",Universe!$B$1286)</f>
        <v/>
      </c>
      <c r="CTW1" s="11">
        <f>IF(OR(SwitchPB&lt;&gt;"ON",Universe!$B$1287=""),"",Universe!$B$1287)</f>
        <v/>
      </c>
      <c r="CTY1" s="11">
        <f>IF(OR(SwitchPB&lt;&gt;"ON",Universe!$B$1288=""),"",Universe!$B$1288)</f>
        <v/>
      </c>
      <c r="CUA1" s="11">
        <f>IF(OR(SwitchPB&lt;&gt;"ON",Universe!$B$1289=""),"",Universe!$B$1289)</f>
        <v/>
      </c>
      <c r="CUC1" s="11">
        <f>IF(OR(SwitchPB&lt;&gt;"ON",Universe!$B$1290=""),"",Universe!$B$1290)</f>
        <v/>
      </c>
      <c r="CUE1" s="11">
        <f>IF(OR(SwitchPB&lt;&gt;"ON",Universe!$B$1291=""),"",Universe!$B$1291)</f>
        <v/>
      </c>
      <c r="CUG1" s="11">
        <f>IF(OR(SwitchPB&lt;&gt;"ON",Universe!$B$1292=""),"",Universe!$B$1292)</f>
        <v/>
      </c>
      <c r="CUI1" s="11">
        <f>IF(OR(SwitchPB&lt;&gt;"ON",Universe!$B$1293=""),"",Universe!$B$1293)</f>
        <v/>
      </c>
      <c r="CUK1" s="11">
        <f>IF(OR(SwitchPB&lt;&gt;"ON",Universe!$B$1294=""),"",Universe!$B$1294)</f>
        <v/>
      </c>
      <c r="CUM1" s="11">
        <f>IF(OR(SwitchPB&lt;&gt;"ON",Universe!$B$1295=""),"",Universe!$B$1295)</f>
        <v/>
      </c>
      <c r="CUO1" s="11">
        <f>IF(OR(SwitchPB&lt;&gt;"ON",Universe!$B$1296=""),"",Universe!$B$1296)</f>
        <v/>
      </c>
      <c r="CUQ1" s="11">
        <f>IF(OR(SwitchPB&lt;&gt;"ON",Universe!$B$1297=""),"",Universe!$B$1297)</f>
        <v/>
      </c>
      <c r="CUS1" s="11">
        <f>IF(OR(SwitchPB&lt;&gt;"ON",Universe!$B$1298=""),"",Universe!$B$1298)</f>
        <v/>
      </c>
      <c r="CUU1" s="11">
        <f>IF(OR(SwitchPB&lt;&gt;"ON",Universe!$B$1299=""),"",Universe!$B$1299)</f>
        <v/>
      </c>
      <c r="CUW1" s="11">
        <f>IF(OR(SwitchPB&lt;&gt;"ON",Universe!$B$1300=""),"",Universe!$B$1300)</f>
        <v/>
      </c>
      <c r="CUY1" s="11">
        <f>IF(OR(SwitchPB&lt;&gt;"ON",Universe!$B$1301=""),"",Universe!$B$1301)</f>
        <v/>
      </c>
      <c r="CVA1" s="11">
        <f>IF(OR(SwitchPB&lt;&gt;"ON",Universe!$B$1302=""),"",Universe!$B$1302)</f>
        <v/>
      </c>
      <c r="CVC1" s="11">
        <f>IF(OR(SwitchPB&lt;&gt;"ON",Universe!$B$1303=""),"",Universe!$B$1303)</f>
        <v/>
      </c>
      <c r="CVE1" s="11">
        <f>IF(OR(SwitchPB&lt;&gt;"ON",Universe!$B$1304=""),"",Universe!$B$1304)</f>
        <v/>
      </c>
      <c r="CVG1" s="11">
        <f>IF(OR(SwitchPB&lt;&gt;"ON",Universe!$B$1305=""),"",Universe!$B$1305)</f>
        <v/>
      </c>
      <c r="CVI1" s="11">
        <f>IF(OR(SwitchPB&lt;&gt;"ON",Universe!$B$1306=""),"",Universe!$B$1306)</f>
        <v/>
      </c>
      <c r="CVK1" s="11">
        <f>IF(OR(SwitchPB&lt;&gt;"ON",Universe!$B$1307=""),"",Universe!$B$1307)</f>
        <v/>
      </c>
      <c r="CVM1" s="11">
        <f>IF(OR(SwitchPB&lt;&gt;"ON",Universe!$B$1308=""),"",Universe!$B$1308)</f>
        <v/>
      </c>
      <c r="CVO1" s="11">
        <f>IF(OR(SwitchPB&lt;&gt;"ON",Universe!$B$1309=""),"",Universe!$B$1309)</f>
        <v/>
      </c>
      <c r="CVQ1" s="11">
        <f>IF(OR(SwitchPB&lt;&gt;"ON",Universe!$B$1310=""),"",Universe!$B$1310)</f>
        <v/>
      </c>
      <c r="CVS1" s="11">
        <f>IF(OR(SwitchPB&lt;&gt;"ON",Universe!$B$1311=""),"",Universe!$B$1311)</f>
        <v/>
      </c>
      <c r="CVU1" s="11">
        <f>IF(OR(SwitchPB&lt;&gt;"ON",Universe!$B$1312=""),"",Universe!$B$1312)</f>
        <v/>
      </c>
      <c r="CVW1" s="11">
        <f>IF(OR(SwitchPB&lt;&gt;"ON",Universe!$B$1313=""),"",Universe!$B$1313)</f>
        <v/>
      </c>
      <c r="CVY1" s="11">
        <f>IF(OR(SwitchPB&lt;&gt;"ON",Universe!$B$1314=""),"",Universe!$B$1314)</f>
        <v/>
      </c>
      <c r="CWA1" s="11">
        <f>IF(OR(SwitchPB&lt;&gt;"ON",Universe!$B$1315=""),"",Universe!$B$1315)</f>
        <v/>
      </c>
      <c r="CWC1" s="11">
        <f>IF(OR(SwitchPB&lt;&gt;"ON",Universe!$B$1316=""),"",Universe!$B$1316)</f>
        <v/>
      </c>
      <c r="CWE1" s="11">
        <f>IF(OR(SwitchPB&lt;&gt;"ON",Universe!$B$1317=""),"",Universe!$B$1317)</f>
        <v/>
      </c>
      <c r="CWG1" s="11">
        <f>IF(OR(SwitchPB&lt;&gt;"ON",Universe!$B$1318=""),"",Universe!$B$1318)</f>
        <v/>
      </c>
      <c r="CWI1" s="11">
        <f>IF(OR(SwitchPB&lt;&gt;"ON",Universe!$B$1319=""),"",Universe!$B$1319)</f>
        <v/>
      </c>
      <c r="CWK1" s="11">
        <f>IF(OR(SwitchPB&lt;&gt;"ON",Universe!$B$1320=""),"",Universe!$B$1320)</f>
        <v/>
      </c>
      <c r="CWM1" s="11">
        <f>IF(OR(SwitchPB&lt;&gt;"ON",Universe!$B$1321=""),"",Universe!$B$1321)</f>
        <v/>
      </c>
      <c r="CWO1" s="11">
        <f>IF(OR(SwitchPB&lt;&gt;"ON",Universe!$B$1322=""),"",Universe!$B$1322)</f>
        <v/>
      </c>
      <c r="CWQ1" s="11">
        <f>IF(OR(SwitchPB&lt;&gt;"ON",Universe!$B$1323=""),"",Universe!$B$1323)</f>
        <v/>
      </c>
      <c r="CWS1" s="11">
        <f>IF(OR(SwitchPB&lt;&gt;"ON",Universe!$B$1324=""),"",Universe!$B$1324)</f>
        <v/>
      </c>
      <c r="CWU1" s="11">
        <f>IF(OR(SwitchPB&lt;&gt;"ON",Universe!$B$1325=""),"",Universe!$B$1325)</f>
        <v/>
      </c>
      <c r="CWW1" s="11">
        <f>IF(OR(SwitchPB&lt;&gt;"ON",Universe!$B$1326=""),"",Universe!$B$1326)</f>
        <v/>
      </c>
      <c r="CWY1" s="11">
        <f>IF(OR(SwitchPB&lt;&gt;"ON",Universe!$B$1327=""),"",Universe!$B$1327)</f>
        <v/>
      </c>
      <c r="CXA1" s="11">
        <f>IF(OR(SwitchPB&lt;&gt;"ON",Universe!$B$1328=""),"",Universe!$B$1328)</f>
        <v/>
      </c>
      <c r="CXC1" s="11">
        <f>IF(OR(SwitchPB&lt;&gt;"ON",Universe!$B$1329=""),"",Universe!$B$1329)</f>
        <v/>
      </c>
      <c r="CXE1" s="11">
        <f>IF(OR(SwitchPB&lt;&gt;"ON",Universe!$B$1330=""),"",Universe!$B$1330)</f>
        <v/>
      </c>
      <c r="CXG1" s="11">
        <f>IF(OR(SwitchPB&lt;&gt;"ON",Universe!$B$1331=""),"",Universe!$B$1331)</f>
        <v/>
      </c>
      <c r="CXI1" s="11">
        <f>IF(OR(SwitchPB&lt;&gt;"ON",Universe!$B$1332=""),"",Universe!$B$1332)</f>
        <v/>
      </c>
      <c r="CXK1" s="11">
        <f>IF(OR(SwitchPB&lt;&gt;"ON",Universe!$B$1333=""),"",Universe!$B$1333)</f>
        <v/>
      </c>
      <c r="CXM1" s="11">
        <f>IF(OR(SwitchPB&lt;&gt;"ON",Universe!$B$1334=""),"",Universe!$B$1334)</f>
        <v/>
      </c>
      <c r="CXO1" s="11">
        <f>IF(OR(SwitchPB&lt;&gt;"ON",Universe!$B$1335=""),"",Universe!$B$1335)</f>
        <v/>
      </c>
      <c r="CXQ1" s="11">
        <f>IF(OR(SwitchPB&lt;&gt;"ON",Universe!$B$1336=""),"",Universe!$B$1336)</f>
        <v/>
      </c>
      <c r="CXS1" s="11">
        <f>IF(OR(SwitchPB&lt;&gt;"ON",Universe!$B$1337=""),"",Universe!$B$1337)</f>
        <v/>
      </c>
      <c r="CXU1" s="11">
        <f>IF(OR(SwitchPB&lt;&gt;"ON",Universe!$B$1338=""),"",Universe!$B$1338)</f>
        <v/>
      </c>
      <c r="CXW1" s="11">
        <f>IF(OR(SwitchPB&lt;&gt;"ON",Universe!$B$1339=""),"",Universe!$B$1339)</f>
        <v/>
      </c>
      <c r="CXY1" s="11">
        <f>IF(OR(SwitchPB&lt;&gt;"ON",Universe!$B$1340=""),"",Universe!$B$1340)</f>
        <v/>
      </c>
      <c r="CYA1" s="11">
        <f>IF(OR(SwitchPB&lt;&gt;"ON",Universe!$B$1341=""),"",Universe!$B$1341)</f>
        <v/>
      </c>
      <c r="CYC1" s="11">
        <f>IF(OR(SwitchPB&lt;&gt;"ON",Universe!$B$1342=""),"",Universe!$B$1342)</f>
        <v/>
      </c>
      <c r="CYE1" s="11">
        <f>IF(OR(SwitchPB&lt;&gt;"ON",Universe!$B$1343=""),"",Universe!$B$1343)</f>
        <v/>
      </c>
      <c r="CYG1" s="11">
        <f>IF(OR(SwitchPB&lt;&gt;"ON",Universe!$B$1344=""),"",Universe!$B$1344)</f>
        <v/>
      </c>
      <c r="CYI1" s="11">
        <f>IF(OR(SwitchPB&lt;&gt;"ON",Universe!$B$1345=""),"",Universe!$B$1345)</f>
        <v/>
      </c>
      <c r="CYK1" s="11">
        <f>IF(OR(SwitchPB&lt;&gt;"ON",Universe!$B$1346=""),"",Universe!$B$1346)</f>
        <v/>
      </c>
      <c r="CYM1" s="11">
        <f>IF(OR(SwitchPB&lt;&gt;"ON",Universe!$B$1347=""),"",Universe!$B$1347)</f>
        <v/>
      </c>
      <c r="CYO1" s="11">
        <f>IF(OR(SwitchPB&lt;&gt;"ON",Universe!$B$1348=""),"",Universe!$B$1348)</f>
        <v/>
      </c>
      <c r="CYQ1" s="11">
        <f>IF(OR(SwitchPB&lt;&gt;"ON",Universe!$B$1349=""),"",Universe!$B$1349)</f>
        <v/>
      </c>
      <c r="CYS1" s="11">
        <f>IF(OR(SwitchPB&lt;&gt;"ON",Universe!$B$1350=""),"",Universe!$B$1350)</f>
        <v/>
      </c>
      <c r="CYU1" s="11">
        <f>IF(OR(SwitchPB&lt;&gt;"ON",Universe!$B$1351=""),"",Universe!$B$1351)</f>
        <v/>
      </c>
      <c r="CYW1" s="11">
        <f>IF(OR(SwitchPB&lt;&gt;"ON",Universe!$B$1352=""),"",Universe!$B$1352)</f>
        <v/>
      </c>
      <c r="CYY1" s="11">
        <f>IF(OR(SwitchPB&lt;&gt;"ON",Universe!$B$1353=""),"",Universe!$B$1353)</f>
        <v/>
      </c>
      <c r="CZA1" s="11">
        <f>IF(OR(SwitchPB&lt;&gt;"ON",Universe!$B$1354=""),"",Universe!$B$1354)</f>
        <v/>
      </c>
      <c r="CZC1" s="11">
        <f>IF(OR(SwitchPB&lt;&gt;"ON",Universe!$B$1355=""),"",Universe!$B$1355)</f>
        <v/>
      </c>
      <c r="CZE1" s="11">
        <f>IF(OR(SwitchPB&lt;&gt;"ON",Universe!$B$1356=""),"",Universe!$B$1356)</f>
        <v/>
      </c>
      <c r="CZG1" s="11">
        <f>IF(OR(SwitchPB&lt;&gt;"ON",Universe!$B$1357=""),"",Universe!$B$1357)</f>
        <v/>
      </c>
      <c r="CZI1" s="11">
        <f>IF(OR(SwitchPB&lt;&gt;"ON",Universe!$B$1358=""),"",Universe!$B$1358)</f>
        <v/>
      </c>
      <c r="CZK1" s="11">
        <f>IF(OR(SwitchPB&lt;&gt;"ON",Universe!$B$1359=""),"",Universe!$B$1359)</f>
        <v/>
      </c>
      <c r="CZM1" s="11">
        <f>IF(OR(SwitchPB&lt;&gt;"ON",Universe!$B$1360=""),"",Universe!$B$1360)</f>
        <v/>
      </c>
      <c r="CZO1" s="11">
        <f>IF(OR(SwitchPB&lt;&gt;"ON",Universe!$B$1361=""),"",Universe!$B$1361)</f>
        <v/>
      </c>
      <c r="CZQ1" s="11">
        <f>IF(OR(SwitchPB&lt;&gt;"ON",Universe!$B$1362=""),"",Universe!$B$1362)</f>
        <v/>
      </c>
      <c r="CZS1" s="11">
        <f>IF(OR(SwitchPB&lt;&gt;"ON",Universe!$B$1363=""),"",Universe!$B$1363)</f>
        <v/>
      </c>
      <c r="CZU1" s="11">
        <f>IF(OR(SwitchPB&lt;&gt;"ON",Universe!$B$1364=""),"",Universe!$B$1364)</f>
        <v/>
      </c>
      <c r="CZW1" s="11">
        <f>IF(OR(SwitchPB&lt;&gt;"ON",Universe!$B$1365=""),"",Universe!$B$1365)</f>
        <v/>
      </c>
      <c r="CZY1" s="11">
        <f>IF(OR(SwitchPB&lt;&gt;"ON",Universe!$B$1366=""),"",Universe!$B$1366)</f>
        <v/>
      </c>
      <c r="DAA1" s="11">
        <f>IF(OR(SwitchPB&lt;&gt;"ON",Universe!$B$1367=""),"",Universe!$B$1367)</f>
        <v/>
      </c>
      <c r="DAC1" s="11">
        <f>IF(OR(SwitchPB&lt;&gt;"ON",Universe!$B$1368=""),"",Universe!$B$1368)</f>
        <v/>
      </c>
      <c r="DAE1" s="11">
        <f>IF(OR(SwitchPB&lt;&gt;"ON",Universe!$B$1369=""),"",Universe!$B$1369)</f>
        <v/>
      </c>
      <c r="DAG1" s="11">
        <f>IF(OR(SwitchPB&lt;&gt;"ON",Universe!$B$1370=""),"",Universe!$B$1370)</f>
        <v/>
      </c>
      <c r="DAI1" s="11">
        <f>IF(OR(SwitchPB&lt;&gt;"ON",Universe!$B$1371=""),"",Universe!$B$1371)</f>
        <v/>
      </c>
      <c r="DAK1" s="11">
        <f>IF(OR(SwitchPB&lt;&gt;"ON",Universe!$B$1372=""),"",Universe!$B$1372)</f>
        <v/>
      </c>
      <c r="DAM1" s="11">
        <f>IF(OR(SwitchPB&lt;&gt;"ON",Universe!$B$1373=""),"",Universe!$B$1373)</f>
        <v/>
      </c>
      <c r="DAO1" s="11">
        <f>IF(OR(SwitchPB&lt;&gt;"ON",Universe!$B$1374=""),"",Universe!$B$1374)</f>
        <v/>
      </c>
      <c r="DAQ1" s="11">
        <f>IF(OR(SwitchPB&lt;&gt;"ON",Universe!$B$1375=""),"",Universe!$B$1375)</f>
        <v/>
      </c>
      <c r="DAS1" s="11">
        <f>IF(OR(SwitchPB&lt;&gt;"ON",Universe!$B$1376=""),"",Universe!$B$1376)</f>
        <v/>
      </c>
      <c r="DAU1" s="11">
        <f>IF(OR(SwitchPB&lt;&gt;"ON",Universe!$B$1377=""),"",Universe!$B$1377)</f>
        <v/>
      </c>
      <c r="DAW1" s="11">
        <f>IF(OR(SwitchPB&lt;&gt;"ON",Universe!$B$1378=""),"",Universe!$B$1378)</f>
        <v/>
      </c>
      <c r="DAY1" s="11">
        <f>IF(OR(SwitchPB&lt;&gt;"ON",Universe!$B$1379=""),"",Universe!$B$1379)</f>
        <v/>
      </c>
      <c r="DBA1" s="11">
        <f>IF(OR(SwitchPB&lt;&gt;"ON",Universe!$B$1380=""),"",Universe!$B$1380)</f>
        <v/>
      </c>
      <c r="DBC1" s="11">
        <f>IF(OR(SwitchPB&lt;&gt;"ON",Universe!$B$1381=""),"",Universe!$B$1381)</f>
        <v/>
      </c>
      <c r="DBE1" s="11">
        <f>IF(OR(SwitchPB&lt;&gt;"ON",Universe!$B$1382=""),"",Universe!$B$1382)</f>
        <v/>
      </c>
      <c r="DBG1" s="11">
        <f>IF(OR(SwitchPB&lt;&gt;"ON",Universe!$B$1383=""),"",Universe!$B$1383)</f>
        <v/>
      </c>
      <c r="DBI1" s="11">
        <f>IF(OR(SwitchPB&lt;&gt;"ON",Universe!$B$1384=""),"",Universe!$B$1384)</f>
        <v/>
      </c>
      <c r="DBK1" s="11">
        <f>IF(OR(SwitchPB&lt;&gt;"ON",Universe!$B$1385=""),"",Universe!$B$1385)</f>
        <v/>
      </c>
      <c r="DBM1" s="11">
        <f>IF(OR(SwitchPB&lt;&gt;"ON",Universe!$B$1386=""),"",Universe!$B$1386)</f>
        <v/>
      </c>
      <c r="DBO1" s="11">
        <f>IF(OR(SwitchPB&lt;&gt;"ON",Universe!$B$1387=""),"",Universe!$B$1387)</f>
        <v/>
      </c>
      <c r="DBQ1" s="11">
        <f>IF(OR(SwitchPB&lt;&gt;"ON",Universe!$B$1388=""),"",Universe!$B$1388)</f>
        <v/>
      </c>
      <c r="DBS1" s="11">
        <f>IF(OR(SwitchPB&lt;&gt;"ON",Universe!$B$1389=""),"",Universe!$B$1389)</f>
        <v/>
      </c>
      <c r="DBU1" s="11">
        <f>IF(OR(SwitchPB&lt;&gt;"ON",Universe!$B$1390=""),"",Universe!$B$1390)</f>
        <v/>
      </c>
      <c r="DBW1" s="11">
        <f>IF(OR(SwitchPB&lt;&gt;"ON",Universe!$B$1391=""),"",Universe!$B$1391)</f>
        <v/>
      </c>
      <c r="DBY1" s="11">
        <f>IF(OR(SwitchPB&lt;&gt;"ON",Universe!$B$1392=""),"",Universe!$B$1392)</f>
        <v/>
      </c>
      <c r="DCA1" s="11">
        <f>IF(OR(SwitchPB&lt;&gt;"ON",Universe!$B$1393=""),"",Universe!$B$1393)</f>
        <v/>
      </c>
      <c r="DCC1" s="11">
        <f>IF(OR(SwitchPB&lt;&gt;"ON",Universe!$B$1394=""),"",Universe!$B$1394)</f>
        <v/>
      </c>
      <c r="DCE1" s="11">
        <f>IF(OR(SwitchPB&lt;&gt;"ON",Universe!$B$1395=""),"",Universe!$B$1395)</f>
        <v/>
      </c>
      <c r="DCG1" s="11">
        <f>IF(OR(SwitchPB&lt;&gt;"ON",Universe!$B$1396=""),"",Universe!$B$1396)</f>
        <v/>
      </c>
      <c r="DCI1" s="11">
        <f>IF(OR(SwitchPB&lt;&gt;"ON",Universe!$B$1397=""),"",Universe!$B$1397)</f>
        <v/>
      </c>
      <c r="DCK1" s="11">
        <f>IF(OR(SwitchPB&lt;&gt;"ON",Universe!$B$1398=""),"",Universe!$B$1398)</f>
        <v/>
      </c>
      <c r="DCM1" s="11">
        <f>IF(OR(SwitchPB&lt;&gt;"ON",Universe!$B$1399=""),"",Universe!$B$1399)</f>
        <v/>
      </c>
      <c r="DCO1" s="11">
        <f>IF(OR(SwitchPB&lt;&gt;"ON",Universe!$B$1400=""),"",Universe!$B$1400)</f>
        <v/>
      </c>
      <c r="DCQ1" s="11">
        <f>IF(OR(SwitchPB&lt;&gt;"ON",Universe!$B$1401=""),"",Universe!$B$1401)</f>
        <v/>
      </c>
      <c r="DCS1" s="11">
        <f>IF(OR(SwitchPB&lt;&gt;"ON",Universe!$B$1402=""),"",Universe!$B$1402)</f>
        <v/>
      </c>
      <c r="DCU1" s="11">
        <f>IF(OR(SwitchPB&lt;&gt;"ON",Universe!$B$1403=""),"",Universe!$B$1403)</f>
        <v/>
      </c>
      <c r="DCW1" s="11">
        <f>IF(OR(SwitchPB&lt;&gt;"ON",Universe!$B$1404=""),"",Universe!$B$1404)</f>
        <v/>
      </c>
      <c r="DCY1" s="11">
        <f>IF(OR(SwitchPB&lt;&gt;"ON",Universe!$B$1405=""),"",Universe!$B$1405)</f>
        <v/>
      </c>
      <c r="DDA1" s="11">
        <f>IF(OR(SwitchPB&lt;&gt;"ON",Universe!$B$1406=""),"",Universe!$B$1406)</f>
        <v/>
      </c>
      <c r="DDC1" s="11">
        <f>IF(OR(SwitchPB&lt;&gt;"ON",Universe!$B$1407=""),"",Universe!$B$1407)</f>
        <v/>
      </c>
      <c r="DDE1" s="11">
        <f>IF(OR(SwitchPB&lt;&gt;"ON",Universe!$B$1408=""),"",Universe!$B$1408)</f>
        <v/>
      </c>
      <c r="DDG1" s="11">
        <f>IF(OR(SwitchPB&lt;&gt;"ON",Universe!$B$1409=""),"",Universe!$B$1409)</f>
        <v/>
      </c>
      <c r="DDI1" s="11">
        <f>IF(OR(SwitchPB&lt;&gt;"ON",Universe!$B$1410=""),"",Universe!$B$1410)</f>
        <v/>
      </c>
      <c r="DDK1" s="11">
        <f>IF(OR(SwitchPB&lt;&gt;"ON",Universe!$B$1411=""),"",Universe!$B$1411)</f>
        <v/>
      </c>
      <c r="DDM1" s="11">
        <f>IF(OR(SwitchPB&lt;&gt;"ON",Universe!$B$1412=""),"",Universe!$B$1412)</f>
        <v/>
      </c>
      <c r="DDO1" s="11">
        <f>IF(OR(SwitchPB&lt;&gt;"ON",Universe!$B$1413=""),"",Universe!$B$1413)</f>
        <v/>
      </c>
      <c r="DDQ1" s="11">
        <f>IF(OR(SwitchPB&lt;&gt;"ON",Universe!$B$1414=""),"",Universe!$B$1414)</f>
        <v/>
      </c>
      <c r="DDS1" s="11">
        <f>IF(OR(SwitchPB&lt;&gt;"ON",Universe!$B$1415=""),"",Universe!$B$1415)</f>
        <v/>
      </c>
      <c r="DDU1" s="11">
        <f>IF(OR(SwitchPB&lt;&gt;"ON",Universe!$B$1416=""),"",Universe!$B$1416)</f>
        <v/>
      </c>
      <c r="DDW1" s="11">
        <f>IF(OR(SwitchPB&lt;&gt;"ON",Universe!$B$1417=""),"",Universe!$B$1417)</f>
        <v/>
      </c>
      <c r="DDY1" s="11">
        <f>IF(OR(SwitchPB&lt;&gt;"ON",Universe!$B$1418=""),"",Universe!$B$1418)</f>
        <v/>
      </c>
      <c r="DEA1" s="11">
        <f>IF(OR(SwitchPB&lt;&gt;"ON",Universe!$B$1419=""),"",Universe!$B$1419)</f>
        <v/>
      </c>
      <c r="DEC1" s="11">
        <f>IF(OR(SwitchPB&lt;&gt;"ON",Universe!$B$1420=""),"",Universe!$B$1420)</f>
        <v/>
      </c>
      <c r="DEE1" s="11">
        <f>IF(OR(SwitchPB&lt;&gt;"ON",Universe!$B$1421=""),"",Universe!$B$1421)</f>
        <v/>
      </c>
      <c r="DEG1" s="11">
        <f>IF(OR(SwitchPB&lt;&gt;"ON",Universe!$B$1422=""),"",Universe!$B$1422)</f>
        <v/>
      </c>
      <c r="DEI1" s="11">
        <f>IF(OR(SwitchPB&lt;&gt;"ON",Universe!$B$1423=""),"",Universe!$B$1423)</f>
        <v/>
      </c>
      <c r="DEK1" s="11">
        <f>IF(OR(SwitchPB&lt;&gt;"ON",Universe!$B$1424=""),"",Universe!$B$1424)</f>
        <v/>
      </c>
      <c r="DEM1" s="11">
        <f>IF(OR(SwitchPB&lt;&gt;"ON",Universe!$B$1425=""),"",Universe!$B$1425)</f>
        <v/>
      </c>
      <c r="DEO1" s="11">
        <f>IF(OR(SwitchPB&lt;&gt;"ON",Universe!$B$1426=""),"",Universe!$B$1426)</f>
        <v/>
      </c>
      <c r="DEQ1" s="11">
        <f>IF(OR(SwitchPB&lt;&gt;"ON",Universe!$B$1427=""),"",Universe!$B$1427)</f>
        <v/>
      </c>
      <c r="DES1" s="11">
        <f>IF(OR(SwitchPB&lt;&gt;"ON",Universe!$B$1428=""),"",Universe!$B$1428)</f>
        <v/>
      </c>
      <c r="DEU1" s="11">
        <f>IF(OR(SwitchPB&lt;&gt;"ON",Universe!$B$1429=""),"",Universe!$B$1429)</f>
        <v/>
      </c>
      <c r="DEW1" s="11">
        <f>IF(OR(SwitchPB&lt;&gt;"ON",Universe!$B$1430=""),"",Universe!$B$1430)</f>
        <v/>
      </c>
      <c r="DEY1" s="11">
        <f>IF(OR(SwitchPB&lt;&gt;"ON",Universe!$B$1431=""),"",Universe!$B$1431)</f>
        <v/>
      </c>
      <c r="DFA1" s="11">
        <f>IF(OR(SwitchPB&lt;&gt;"ON",Universe!$B$1432=""),"",Universe!$B$1432)</f>
        <v/>
      </c>
      <c r="DFC1" s="11">
        <f>IF(OR(SwitchPB&lt;&gt;"ON",Universe!$B$1433=""),"",Universe!$B$1433)</f>
        <v/>
      </c>
      <c r="DFE1" s="11">
        <f>IF(OR(SwitchPB&lt;&gt;"ON",Universe!$B$1434=""),"",Universe!$B$1434)</f>
        <v/>
      </c>
      <c r="DFG1" s="11">
        <f>IF(OR(SwitchPB&lt;&gt;"ON",Universe!$B$1435=""),"",Universe!$B$1435)</f>
        <v/>
      </c>
      <c r="DFI1" s="11">
        <f>IF(OR(SwitchPB&lt;&gt;"ON",Universe!$B$1436=""),"",Universe!$B$1436)</f>
        <v/>
      </c>
      <c r="DFK1" s="11">
        <f>IF(OR(SwitchPB&lt;&gt;"ON",Universe!$B$1437=""),"",Universe!$B$1437)</f>
        <v/>
      </c>
      <c r="DFM1" s="11">
        <f>IF(OR(SwitchPB&lt;&gt;"ON",Universe!$B$1438=""),"",Universe!$B$1438)</f>
        <v/>
      </c>
      <c r="DFO1" s="11">
        <f>IF(OR(SwitchPB&lt;&gt;"ON",Universe!$B$1439=""),"",Universe!$B$1439)</f>
        <v/>
      </c>
      <c r="DFQ1" s="11">
        <f>IF(OR(SwitchPB&lt;&gt;"ON",Universe!$B$1440=""),"",Universe!$B$1440)</f>
        <v/>
      </c>
      <c r="DFS1" s="11">
        <f>IF(OR(SwitchPB&lt;&gt;"ON",Universe!$B$1441=""),"",Universe!$B$1441)</f>
        <v/>
      </c>
      <c r="DFU1" s="11">
        <f>IF(OR(SwitchPB&lt;&gt;"ON",Universe!$B$1442=""),"",Universe!$B$1442)</f>
        <v/>
      </c>
      <c r="DFW1" s="11">
        <f>IF(OR(SwitchPB&lt;&gt;"ON",Universe!$B$1443=""),"",Universe!$B$1443)</f>
        <v/>
      </c>
      <c r="DFY1" s="11">
        <f>IF(OR(SwitchPB&lt;&gt;"ON",Universe!$B$1444=""),"",Universe!$B$1444)</f>
        <v/>
      </c>
      <c r="DGA1" s="11">
        <f>IF(OR(SwitchPB&lt;&gt;"ON",Universe!$B$1445=""),"",Universe!$B$1445)</f>
        <v/>
      </c>
      <c r="DGC1" s="11">
        <f>IF(OR(SwitchPB&lt;&gt;"ON",Universe!$B$1446=""),"",Universe!$B$1446)</f>
        <v/>
      </c>
      <c r="DGE1" s="11">
        <f>IF(OR(SwitchPB&lt;&gt;"ON",Universe!$B$1447=""),"",Universe!$B$1447)</f>
        <v/>
      </c>
      <c r="DGG1" s="11">
        <f>IF(OR(SwitchPB&lt;&gt;"ON",Universe!$B$1448=""),"",Universe!$B$1448)</f>
        <v/>
      </c>
      <c r="DGI1" s="11">
        <f>IF(OR(SwitchPB&lt;&gt;"ON",Universe!$B$1449=""),"",Universe!$B$1449)</f>
        <v/>
      </c>
      <c r="DGK1" s="11">
        <f>IF(OR(SwitchPB&lt;&gt;"ON",Universe!$B$1450=""),"",Universe!$B$1450)</f>
        <v/>
      </c>
      <c r="DGM1" s="11">
        <f>IF(OR(SwitchPB&lt;&gt;"ON",Universe!$B$1451=""),"",Universe!$B$1451)</f>
        <v/>
      </c>
      <c r="DGO1" s="11">
        <f>IF(OR(SwitchPB&lt;&gt;"ON",Universe!$B$1452=""),"",Universe!$B$1452)</f>
        <v/>
      </c>
      <c r="DGQ1" s="11">
        <f>IF(OR(SwitchPB&lt;&gt;"ON",Universe!$B$1453=""),"",Universe!$B$1453)</f>
        <v/>
      </c>
      <c r="DGS1" s="11">
        <f>IF(OR(SwitchPB&lt;&gt;"ON",Universe!$B$1454=""),"",Universe!$B$1454)</f>
        <v/>
      </c>
      <c r="DGU1" s="11">
        <f>IF(OR(SwitchPB&lt;&gt;"ON",Universe!$B$1455=""),"",Universe!$B$1455)</f>
        <v/>
      </c>
      <c r="DGW1" s="11">
        <f>IF(OR(SwitchPB&lt;&gt;"ON",Universe!$B$1456=""),"",Universe!$B$1456)</f>
        <v/>
      </c>
      <c r="DGY1" s="11">
        <f>IF(OR(SwitchPB&lt;&gt;"ON",Universe!$B$1457=""),"",Universe!$B$1457)</f>
        <v/>
      </c>
      <c r="DHA1" s="11">
        <f>IF(OR(SwitchPB&lt;&gt;"ON",Universe!$B$1458=""),"",Universe!$B$1458)</f>
        <v/>
      </c>
      <c r="DHC1" s="11">
        <f>IF(OR(SwitchPB&lt;&gt;"ON",Universe!$B$1459=""),"",Universe!$B$1459)</f>
        <v/>
      </c>
      <c r="DHE1" s="11">
        <f>IF(OR(SwitchPB&lt;&gt;"ON",Universe!$B$1460=""),"",Universe!$B$1460)</f>
        <v/>
      </c>
      <c r="DHG1" s="11">
        <f>IF(OR(SwitchPB&lt;&gt;"ON",Universe!$B$1461=""),"",Universe!$B$1461)</f>
        <v/>
      </c>
      <c r="DHI1" s="11">
        <f>IF(OR(SwitchPB&lt;&gt;"ON",Universe!$B$1462=""),"",Universe!$B$1462)</f>
        <v/>
      </c>
      <c r="DHK1" s="11">
        <f>IF(OR(SwitchPB&lt;&gt;"ON",Universe!$B$1463=""),"",Universe!$B$1463)</f>
        <v/>
      </c>
      <c r="DHM1" s="11">
        <f>IF(OR(SwitchPB&lt;&gt;"ON",Universe!$B$1464=""),"",Universe!$B$1464)</f>
        <v/>
      </c>
      <c r="DHO1" s="11">
        <f>IF(OR(SwitchPB&lt;&gt;"ON",Universe!$B$1465=""),"",Universe!$B$1465)</f>
        <v/>
      </c>
      <c r="DHQ1" s="11">
        <f>IF(OR(SwitchPB&lt;&gt;"ON",Universe!$B$1466=""),"",Universe!$B$1466)</f>
        <v/>
      </c>
      <c r="DHS1" s="11">
        <f>IF(OR(SwitchPB&lt;&gt;"ON",Universe!$B$1467=""),"",Universe!$B$1467)</f>
        <v/>
      </c>
      <c r="DHU1" s="11">
        <f>IF(OR(SwitchPB&lt;&gt;"ON",Universe!$B$1468=""),"",Universe!$B$1468)</f>
        <v/>
      </c>
      <c r="DHW1" s="11">
        <f>IF(OR(SwitchPB&lt;&gt;"ON",Universe!$B$1469=""),"",Universe!$B$1469)</f>
        <v/>
      </c>
      <c r="DHY1" s="11">
        <f>IF(OR(SwitchPB&lt;&gt;"ON",Universe!$B$1470=""),"",Universe!$B$1470)</f>
        <v/>
      </c>
      <c r="DIA1" s="11">
        <f>IF(OR(SwitchPB&lt;&gt;"ON",Universe!$B$1471=""),"",Universe!$B$1471)</f>
        <v/>
      </c>
      <c r="DIC1" s="11">
        <f>IF(OR(SwitchPB&lt;&gt;"ON",Universe!$B$1472=""),"",Universe!$B$1472)</f>
        <v/>
      </c>
      <c r="DIE1" s="11">
        <f>IF(OR(SwitchPB&lt;&gt;"ON",Universe!$B$1473=""),"",Universe!$B$1473)</f>
        <v/>
      </c>
      <c r="DIG1" s="11">
        <f>IF(OR(SwitchPB&lt;&gt;"ON",Universe!$B$1474=""),"",Universe!$B$1474)</f>
        <v/>
      </c>
      <c r="DII1" s="11">
        <f>IF(OR(SwitchPB&lt;&gt;"ON",Universe!$B$1475=""),"",Universe!$B$1475)</f>
        <v/>
      </c>
      <c r="DIK1" s="11">
        <f>IF(OR(SwitchPB&lt;&gt;"ON",Universe!$B$1476=""),"",Universe!$B$1476)</f>
        <v/>
      </c>
      <c r="DIM1" s="11">
        <f>IF(OR(SwitchPB&lt;&gt;"ON",Universe!$B$1477=""),"",Universe!$B$1477)</f>
        <v/>
      </c>
      <c r="DIO1" s="11">
        <f>IF(OR(SwitchPB&lt;&gt;"ON",Universe!$B$1478=""),"",Universe!$B$1478)</f>
        <v/>
      </c>
      <c r="DIQ1" s="11">
        <f>IF(OR(SwitchPB&lt;&gt;"ON",Universe!$B$1479=""),"",Universe!$B$1479)</f>
        <v/>
      </c>
      <c r="DIS1" s="11">
        <f>IF(OR(SwitchPB&lt;&gt;"ON",Universe!$B$1480=""),"",Universe!$B$1480)</f>
        <v/>
      </c>
      <c r="DIU1" s="11">
        <f>IF(OR(SwitchPB&lt;&gt;"ON",Universe!$B$1481=""),"",Universe!$B$1481)</f>
        <v/>
      </c>
      <c r="DIW1" s="11">
        <f>IF(OR(SwitchPB&lt;&gt;"ON",Universe!$B$1482=""),"",Universe!$B$1482)</f>
        <v/>
      </c>
      <c r="DIY1" s="11">
        <f>IF(OR(SwitchPB&lt;&gt;"ON",Universe!$B$1483=""),"",Universe!$B$1483)</f>
        <v/>
      </c>
      <c r="DJA1" s="11">
        <f>IF(OR(SwitchPB&lt;&gt;"ON",Universe!$B$1484=""),"",Universe!$B$1484)</f>
        <v/>
      </c>
      <c r="DJC1" s="11">
        <f>IF(OR(SwitchPB&lt;&gt;"ON",Universe!$B$1485=""),"",Universe!$B$1485)</f>
        <v/>
      </c>
      <c r="DJE1" s="11">
        <f>IF(OR(SwitchPB&lt;&gt;"ON",Universe!$B$1486=""),"",Universe!$B$1486)</f>
        <v/>
      </c>
      <c r="DJG1" s="11">
        <f>IF(OR(SwitchPB&lt;&gt;"ON",Universe!$B$1487=""),"",Universe!$B$1487)</f>
        <v/>
      </c>
      <c r="DJI1" s="11">
        <f>IF(OR(SwitchPB&lt;&gt;"ON",Universe!$B$1488=""),"",Universe!$B$1488)</f>
        <v/>
      </c>
      <c r="DJK1" s="11">
        <f>IF(OR(SwitchPB&lt;&gt;"ON",Universe!$B$1489=""),"",Universe!$B$1489)</f>
        <v/>
      </c>
      <c r="DJM1" s="11">
        <f>IF(OR(SwitchPB&lt;&gt;"ON",Universe!$B$1490=""),"",Universe!$B$1490)</f>
        <v/>
      </c>
      <c r="DJO1" s="11">
        <f>IF(OR(SwitchPB&lt;&gt;"ON",Universe!$B$1491=""),"",Universe!$B$1491)</f>
        <v/>
      </c>
      <c r="DJQ1" s="11">
        <f>IF(OR(SwitchPB&lt;&gt;"ON",Universe!$B$1492=""),"",Universe!$B$1492)</f>
        <v/>
      </c>
      <c r="DJS1" s="11">
        <f>IF(OR(SwitchPB&lt;&gt;"ON",Universe!$B$1493=""),"",Universe!$B$1493)</f>
        <v/>
      </c>
      <c r="DJU1" s="11">
        <f>IF(OR(SwitchPB&lt;&gt;"ON",Universe!$B$1494=""),"",Universe!$B$1494)</f>
        <v/>
      </c>
      <c r="DJW1" s="11">
        <f>IF(OR(SwitchPB&lt;&gt;"ON",Universe!$B$1495=""),"",Universe!$B$1495)</f>
        <v/>
      </c>
      <c r="DJY1" s="11">
        <f>IF(OR(SwitchPB&lt;&gt;"ON",Universe!$B$1496=""),"",Universe!$B$1496)</f>
        <v/>
      </c>
      <c r="DKA1" s="11">
        <f>IF(OR(SwitchPB&lt;&gt;"ON",Universe!$B$1497=""),"",Universe!$B$1497)</f>
        <v/>
      </c>
      <c r="DKC1" s="11">
        <f>IF(OR(SwitchPB&lt;&gt;"ON",Universe!$B$1498=""),"",Universe!$B$1498)</f>
        <v/>
      </c>
      <c r="DKE1" s="11">
        <f>IF(OR(SwitchPB&lt;&gt;"ON",Universe!$B$1499=""),"",Universe!$B$1499)</f>
        <v/>
      </c>
      <c r="DKG1" s="11">
        <f>IF(OR(SwitchPB&lt;&gt;"ON",Universe!$B$1500=""),"",Universe!$B$1500)</f>
        <v/>
      </c>
      <c r="DKI1" s="11">
        <f>IF(OR(SwitchPB&lt;&gt;"ON",Universe!$B$1501=""),"",Universe!$B$1501)</f>
        <v/>
      </c>
      <c r="DKK1" s="11">
        <f>IF(OR(SwitchPB&lt;&gt;"ON",Universe!$B$1502=""),"",Universe!$B$1502)</f>
        <v/>
      </c>
      <c r="DKM1" s="11">
        <f>IF(OR(SwitchPB&lt;&gt;"ON",Universe!$B$1503=""),"",Universe!$B$1503)</f>
        <v/>
      </c>
      <c r="DKO1" s="11">
        <f>IF(OR(SwitchPB&lt;&gt;"ON",Universe!$B$1504=""),"",Universe!$B$1504)</f>
        <v/>
      </c>
      <c r="DKQ1" s="11">
        <f>IF(OR(SwitchPB&lt;&gt;"ON",Universe!$B$1505=""),"",Universe!$B$1505)</f>
        <v/>
      </c>
      <c r="DKS1" s="11">
        <f>IF(OR(SwitchPB&lt;&gt;"ON",Universe!$B$1506=""),"",Universe!$B$1506)</f>
        <v/>
      </c>
      <c r="DKU1" s="11">
        <f>IF(OR(SwitchPB&lt;&gt;"ON",Universe!$B$1507=""),"",Universe!$B$1507)</f>
        <v/>
      </c>
      <c r="DKW1" s="11">
        <f>IF(OR(SwitchPB&lt;&gt;"ON",Universe!$B$1508=""),"",Universe!$B$1508)</f>
        <v/>
      </c>
      <c r="DKY1" s="11">
        <f>IF(OR(SwitchPB&lt;&gt;"ON",Universe!$B$1509=""),"",Universe!$B$1509)</f>
        <v/>
      </c>
      <c r="DLA1" s="11">
        <f>IF(OR(SwitchPB&lt;&gt;"ON",Universe!$B$1510=""),"",Universe!$B$1510)</f>
        <v/>
      </c>
      <c r="DLC1" s="11">
        <f>IF(OR(SwitchPB&lt;&gt;"ON",Universe!$B$1511=""),"",Universe!$B$1511)</f>
        <v/>
      </c>
      <c r="DLE1" s="11">
        <f>IF(OR(SwitchPB&lt;&gt;"ON",Universe!$B$1512=""),"",Universe!$B$1512)</f>
        <v/>
      </c>
      <c r="DLG1" s="11">
        <f>IF(OR(SwitchPB&lt;&gt;"ON",Universe!$B$1513=""),"",Universe!$B$1513)</f>
        <v/>
      </c>
      <c r="DLI1" s="11">
        <f>IF(OR(SwitchPB&lt;&gt;"ON",Universe!$B$1514=""),"",Universe!$B$1514)</f>
        <v/>
      </c>
      <c r="DLK1" s="11">
        <f>IF(OR(SwitchPB&lt;&gt;"ON",Universe!$B$1515=""),"",Universe!$B$1515)</f>
        <v/>
      </c>
      <c r="DLM1" s="11">
        <f>IF(OR(SwitchPB&lt;&gt;"ON",Universe!$B$1516=""),"",Universe!$B$1516)</f>
        <v/>
      </c>
      <c r="DLO1" s="11">
        <f>IF(OR(SwitchPB&lt;&gt;"ON",Universe!$B$1517=""),"",Universe!$B$1517)</f>
        <v/>
      </c>
      <c r="DLQ1" s="11">
        <f>IF(OR(SwitchPB&lt;&gt;"ON",Universe!$B$1518=""),"",Universe!$B$1518)</f>
        <v/>
      </c>
      <c r="DLS1" s="11">
        <f>IF(OR(SwitchPB&lt;&gt;"ON",Universe!$B$1519=""),"",Universe!$B$1519)</f>
        <v/>
      </c>
      <c r="DLU1" s="11">
        <f>IF(OR(SwitchPB&lt;&gt;"ON",Universe!$B$1520=""),"",Universe!$B$1520)</f>
        <v/>
      </c>
      <c r="DLW1" s="11">
        <f>IF(OR(SwitchPB&lt;&gt;"ON",Universe!$B$1521=""),"",Universe!$B$1521)</f>
        <v/>
      </c>
      <c r="DLY1" s="11">
        <f>IF(OR(SwitchPB&lt;&gt;"ON",Universe!$B$1522=""),"",Universe!$B$1522)</f>
        <v/>
      </c>
      <c r="DMA1" s="11">
        <f>IF(OR(SwitchPB&lt;&gt;"ON",Universe!$B$1523=""),"",Universe!$B$1523)</f>
        <v/>
      </c>
      <c r="DMC1" s="11">
        <f>IF(OR(SwitchPB&lt;&gt;"ON",Universe!$B$1524=""),"",Universe!$B$1524)</f>
        <v/>
      </c>
      <c r="DME1" s="11">
        <f>IF(OR(SwitchPB&lt;&gt;"ON",Universe!$B$1525=""),"",Universe!$B$1525)</f>
        <v/>
      </c>
      <c r="DMG1" s="11">
        <f>IF(OR(SwitchPB&lt;&gt;"ON",Universe!$B$1526=""),"",Universe!$B$1526)</f>
        <v/>
      </c>
      <c r="DMI1" s="11">
        <f>IF(OR(SwitchPB&lt;&gt;"ON",Universe!$B$1527=""),"",Universe!$B$1527)</f>
        <v/>
      </c>
      <c r="DMK1" s="11">
        <f>IF(OR(SwitchPB&lt;&gt;"ON",Universe!$B$1528=""),"",Universe!$B$1528)</f>
        <v/>
      </c>
      <c r="DMM1" s="11">
        <f>IF(OR(SwitchPB&lt;&gt;"ON",Universe!$B$1529=""),"",Universe!$B$1529)</f>
        <v/>
      </c>
      <c r="DMO1" s="11">
        <f>IF(OR(SwitchPB&lt;&gt;"ON",Universe!$B$1530=""),"",Universe!$B$1530)</f>
        <v/>
      </c>
      <c r="DMQ1" s="11">
        <f>IF(OR(SwitchPB&lt;&gt;"ON",Universe!$B$1531=""),"",Universe!$B$1531)</f>
        <v/>
      </c>
      <c r="DMS1" s="11">
        <f>IF(OR(SwitchPB&lt;&gt;"ON",Universe!$B$1532=""),"",Universe!$B$1532)</f>
        <v/>
      </c>
      <c r="DMU1" s="11">
        <f>IF(OR(SwitchPB&lt;&gt;"ON",Universe!$B$1533=""),"",Universe!$B$1533)</f>
        <v/>
      </c>
      <c r="DMW1" s="11">
        <f>IF(OR(SwitchPB&lt;&gt;"ON",Universe!$B$1534=""),"",Universe!$B$1534)</f>
        <v/>
      </c>
      <c r="DMY1" s="11">
        <f>IF(OR(SwitchPB&lt;&gt;"ON",Universe!$B$1535=""),"",Universe!$B$1535)</f>
        <v/>
      </c>
      <c r="DNA1" s="11">
        <f>IF(OR(SwitchPB&lt;&gt;"ON",Universe!$B$1536=""),"",Universe!$B$1536)</f>
        <v/>
      </c>
      <c r="DNC1" s="11">
        <f>IF(OR(SwitchPB&lt;&gt;"ON",Universe!$B$1537=""),"",Universe!$B$1537)</f>
        <v/>
      </c>
      <c r="DNE1" s="11">
        <f>IF(OR(SwitchPB&lt;&gt;"ON",Universe!$B$1538=""),"",Universe!$B$1538)</f>
        <v/>
      </c>
      <c r="DNG1" s="11">
        <f>IF(OR(SwitchPB&lt;&gt;"ON",Universe!$B$1539=""),"",Universe!$B$1539)</f>
        <v/>
      </c>
      <c r="DNI1" s="11">
        <f>IF(OR(SwitchPB&lt;&gt;"ON",Universe!$B$1540=""),"",Universe!$B$1540)</f>
        <v/>
      </c>
      <c r="DNK1" s="11">
        <f>IF(OR(SwitchPB&lt;&gt;"ON",Universe!$B$1541=""),"",Universe!$B$1541)</f>
        <v/>
      </c>
      <c r="DNM1" s="11">
        <f>IF(OR(SwitchPB&lt;&gt;"ON",Universe!$B$1542=""),"",Universe!$B$1542)</f>
        <v/>
      </c>
      <c r="DNO1" s="11">
        <f>IF(OR(SwitchPB&lt;&gt;"ON",Universe!$B$1543=""),"",Universe!$B$1543)</f>
        <v/>
      </c>
      <c r="DNQ1" s="11">
        <f>IF(OR(SwitchPB&lt;&gt;"ON",Universe!$B$1544=""),"",Universe!$B$1544)</f>
        <v/>
      </c>
      <c r="DNS1" s="11">
        <f>IF(OR(SwitchPB&lt;&gt;"ON",Universe!$B$1545=""),"",Universe!$B$1545)</f>
        <v/>
      </c>
      <c r="DNU1" s="11">
        <f>IF(OR(SwitchPB&lt;&gt;"ON",Universe!$B$1546=""),"",Universe!$B$1546)</f>
        <v/>
      </c>
      <c r="DNW1" s="11">
        <f>IF(OR(SwitchPB&lt;&gt;"ON",Universe!$B$1547=""),"",Universe!$B$1547)</f>
        <v/>
      </c>
      <c r="DNY1" s="11">
        <f>IF(OR(SwitchPB&lt;&gt;"ON",Universe!$B$1548=""),"",Universe!$B$1548)</f>
        <v/>
      </c>
      <c r="DOA1" s="11">
        <f>IF(OR(SwitchPB&lt;&gt;"ON",Universe!$B$1549=""),"",Universe!$B$1549)</f>
        <v/>
      </c>
      <c r="DOC1" s="11">
        <f>IF(OR(SwitchPB&lt;&gt;"ON",Universe!$B$1550=""),"",Universe!$B$1550)</f>
        <v/>
      </c>
      <c r="DOE1" s="11">
        <f>IF(OR(SwitchPB&lt;&gt;"ON",Universe!$B$1551=""),"",Universe!$B$1551)</f>
        <v/>
      </c>
      <c r="DOG1" s="11">
        <f>IF(OR(SwitchPB&lt;&gt;"ON",Universe!$B$1552=""),"",Universe!$B$1552)</f>
        <v/>
      </c>
      <c r="DOI1" s="11">
        <f>IF(OR(SwitchPB&lt;&gt;"ON",Universe!$B$1553=""),"",Universe!$B$1553)</f>
        <v/>
      </c>
      <c r="DOK1" s="11">
        <f>IF(OR(SwitchPB&lt;&gt;"ON",Universe!$B$1554=""),"",Universe!$B$1554)</f>
        <v/>
      </c>
      <c r="DOM1" s="11">
        <f>IF(OR(SwitchPB&lt;&gt;"ON",Universe!$B$1555=""),"",Universe!$B$1555)</f>
        <v/>
      </c>
      <c r="DOO1" s="11">
        <f>IF(OR(SwitchPB&lt;&gt;"ON",Universe!$B$1556=""),"",Universe!$B$1556)</f>
        <v/>
      </c>
      <c r="DOQ1" s="11">
        <f>IF(OR(SwitchPB&lt;&gt;"ON",Universe!$B$1557=""),"",Universe!$B$1557)</f>
        <v/>
      </c>
      <c r="DOS1" s="11">
        <f>IF(OR(SwitchPB&lt;&gt;"ON",Universe!$B$1558=""),"",Universe!$B$1558)</f>
        <v/>
      </c>
      <c r="DOU1" s="11">
        <f>IF(OR(SwitchPB&lt;&gt;"ON",Universe!$B$1559=""),"",Universe!$B$1559)</f>
        <v/>
      </c>
      <c r="DOW1" s="11">
        <f>IF(OR(SwitchPB&lt;&gt;"ON",Universe!$B$1560=""),"",Universe!$B$1560)</f>
        <v/>
      </c>
      <c r="DOY1" s="11">
        <f>IF(OR(SwitchPB&lt;&gt;"ON",Universe!$B$1561=""),"",Universe!$B$1561)</f>
        <v/>
      </c>
      <c r="DPA1" s="11">
        <f>IF(OR(SwitchPB&lt;&gt;"ON",Universe!$B$1562=""),"",Universe!$B$1562)</f>
        <v/>
      </c>
      <c r="DPC1" s="11">
        <f>IF(OR(SwitchPB&lt;&gt;"ON",Universe!$B$1563=""),"",Universe!$B$1563)</f>
        <v/>
      </c>
      <c r="DPE1" s="11">
        <f>IF(OR(SwitchPB&lt;&gt;"ON",Universe!$B$1564=""),"",Universe!$B$1564)</f>
        <v/>
      </c>
      <c r="DPG1" s="11">
        <f>IF(OR(SwitchPB&lt;&gt;"ON",Universe!$B$1565=""),"",Universe!$B$1565)</f>
        <v/>
      </c>
      <c r="DPI1" s="11">
        <f>IF(OR(SwitchPB&lt;&gt;"ON",Universe!$B$1566=""),"",Universe!$B$1566)</f>
        <v/>
      </c>
      <c r="DPK1" s="11">
        <f>IF(OR(SwitchPB&lt;&gt;"ON",Universe!$B$1567=""),"",Universe!$B$1567)</f>
        <v/>
      </c>
      <c r="DPM1" s="11">
        <f>IF(OR(SwitchPB&lt;&gt;"ON",Universe!$B$1568=""),"",Universe!$B$1568)</f>
        <v/>
      </c>
      <c r="DPO1" s="11">
        <f>IF(OR(SwitchPB&lt;&gt;"ON",Universe!$B$1569=""),"",Universe!$B$1569)</f>
        <v/>
      </c>
      <c r="DPQ1" s="11">
        <f>IF(OR(SwitchPB&lt;&gt;"ON",Universe!$B$1570=""),"",Universe!$B$1570)</f>
        <v/>
      </c>
      <c r="DPS1" s="11">
        <f>IF(OR(SwitchPB&lt;&gt;"ON",Universe!$B$1571=""),"",Universe!$B$1571)</f>
        <v/>
      </c>
      <c r="DPU1" s="11">
        <f>IF(OR(SwitchPB&lt;&gt;"ON",Universe!$B$1572=""),"",Universe!$B$1572)</f>
        <v/>
      </c>
      <c r="DPW1" s="11">
        <f>IF(OR(SwitchPB&lt;&gt;"ON",Universe!$B$1573=""),"",Universe!$B$1573)</f>
        <v/>
      </c>
      <c r="DPY1" s="11">
        <f>IF(OR(SwitchPB&lt;&gt;"ON",Universe!$B$1574=""),"",Universe!$B$1574)</f>
        <v/>
      </c>
      <c r="DQA1" s="11">
        <f>IF(OR(SwitchPB&lt;&gt;"ON",Universe!$B$1575=""),"",Universe!$B$1575)</f>
        <v/>
      </c>
      <c r="DQC1" s="11">
        <f>IF(OR(SwitchPB&lt;&gt;"ON",Universe!$B$1576=""),"",Universe!$B$1576)</f>
        <v/>
      </c>
      <c r="DQE1" s="11">
        <f>IF(OR(SwitchPB&lt;&gt;"ON",Universe!$B$1577=""),"",Universe!$B$1577)</f>
        <v/>
      </c>
      <c r="DQG1" s="11">
        <f>IF(OR(SwitchPB&lt;&gt;"ON",Universe!$B$1578=""),"",Universe!$B$1578)</f>
        <v/>
      </c>
      <c r="DQI1" s="11">
        <f>IF(OR(SwitchPB&lt;&gt;"ON",Universe!$B$1579=""),"",Universe!$B$1579)</f>
        <v/>
      </c>
      <c r="DQK1" s="11">
        <f>IF(OR(SwitchPB&lt;&gt;"ON",Universe!$B$1580=""),"",Universe!$B$1580)</f>
        <v/>
      </c>
      <c r="DQM1" s="11">
        <f>IF(OR(SwitchPB&lt;&gt;"ON",Universe!$B$1581=""),"",Universe!$B$1581)</f>
        <v/>
      </c>
      <c r="DQO1" s="11">
        <f>IF(OR(SwitchPB&lt;&gt;"ON",Universe!$B$1582=""),"",Universe!$B$1582)</f>
        <v/>
      </c>
      <c r="DQQ1" s="11">
        <f>IF(OR(SwitchPB&lt;&gt;"ON",Universe!$B$1583=""),"",Universe!$B$1583)</f>
        <v/>
      </c>
      <c r="DQS1" s="11">
        <f>IF(OR(SwitchPB&lt;&gt;"ON",Universe!$B$1584=""),"",Universe!$B$1584)</f>
        <v/>
      </c>
      <c r="DQU1" s="11">
        <f>IF(OR(SwitchPB&lt;&gt;"ON",Universe!$B$1585=""),"",Universe!$B$1585)</f>
        <v/>
      </c>
      <c r="DQW1" s="11">
        <f>IF(OR(SwitchPB&lt;&gt;"ON",Universe!$B$1586=""),"",Universe!$B$1586)</f>
        <v/>
      </c>
      <c r="DQY1" s="11">
        <f>IF(OR(SwitchPB&lt;&gt;"ON",Universe!$B$1587=""),"",Universe!$B$1587)</f>
        <v/>
      </c>
      <c r="DRA1" s="11">
        <f>IF(OR(SwitchPB&lt;&gt;"ON",Universe!$B$1588=""),"",Universe!$B$1588)</f>
        <v/>
      </c>
      <c r="DRC1" s="11">
        <f>IF(OR(SwitchPB&lt;&gt;"ON",Universe!$B$1589=""),"",Universe!$B$1589)</f>
        <v/>
      </c>
      <c r="DRE1" s="11">
        <f>IF(OR(SwitchPB&lt;&gt;"ON",Universe!$B$1590=""),"",Universe!$B$1590)</f>
        <v/>
      </c>
      <c r="DRG1" s="11">
        <f>IF(OR(SwitchPB&lt;&gt;"ON",Universe!$B$1591=""),"",Universe!$B$1591)</f>
        <v/>
      </c>
      <c r="DRI1" s="11">
        <f>IF(OR(SwitchPB&lt;&gt;"ON",Universe!$B$1592=""),"",Universe!$B$1592)</f>
        <v/>
      </c>
      <c r="DRK1" s="11">
        <f>IF(OR(SwitchPB&lt;&gt;"ON",Universe!$B$1593=""),"",Universe!$B$1593)</f>
        <v/>
      </c>
      <c r="DRM1" s="11">
        <f>IF(OR(SwitchPB&lt;&gt;"ON",Universe!$B$1594=""),"",Universe!$B$1594)</f>
        <v/>
      </c>
      <c r="DRO1" s="11">
        <f>IF(OR(SwitchPB&lt;&gt;"ON",Universe!$B$1595=""),"",Universe!$B$1595)</f>
        <v/>
      </c>
      <c r="DRQ1" s="11">
        <f>IF(OR(SwitchPB&lt;&gt;"ON",Universe!$B$1596=""),"",Universe!$B$1596)</f>
        <v/>
      </c>
      <c r="DRS1" s="11">
        <f>IF(OR(SwitchPB&lt;&gt;"ON",Universe!$B$1597=""),"",Universe!$B$1597)</f>
        <v/>
      </c>
      <c r="DRU1" s="11">
        <f>IF(OR(SwitchPB&lt;&gt;"ON",Universe!$B$1598=""),"",Universe!$B$1598)</f>
        <v/>
      </c>
      <c r="DRW1" s="11">
        <f>IF(OR(SwitchPB&lt;&gt;"ON",Universe!$B$1599=""),"",Universe!$B$1599)</f>
        <v/>
      </c>
      <c r="DRY1" s="11">
        <f>IF(OR(SwitchPB&lt;&gt;"ON",Universe!$B$1600=""),"",Universe!$B$1600)</f>
        <v/>
      </c>
      <c r="DSA1" s="11">
        <f>IF(OR(SwitchPB&lt;&gt;"ON",Universe!$B$1601=""),"",Universe!$B$1601)</f>
        <v/>
      </c>
      <c r="DSC1" s="11">
        <f>IF(OR(SwitchPB&lt;&gt;"ON",Universe!$B$1602=""),"",Universe!$B$1602)</f>
        <v/>
      </c>
      <c r="DSE1" s="11">
        <f>IF(OR(SwitchPB&lt;&gt;"ON",Universe!$B$1603=""),"",Universe!$B$1603)</f>
        <v/>
      </c>
      <c r="DSG1" s="11">
        <f>IF(OR(SwitchPB&lt;&gt;"ON",Universe!$B$1604=""),"",Universe!$B$1604)</f>
        <v/>
      </c>
      <c r="DSI1" s="11">
        <f>IF(OR(SwitchPB&lt;&gt;"ON",Universe!$B$1605=""),"",Universe!$B$1605)</f>
        <v/>
      </c>
      <c r="DSK1" s="11">
        <f>IF(OR(SwitchPB&lt;&gt;"ON",Universe!$B$1606=""),"",Universe!$B$1606)</f>
        <v/>
      </c>
      <c r="DSM1" s="11">
        <f>IF(OR(SwitchPB&lt;&gt;"ON",Universe!$B$1607=""),"",Universe!$B$1607)</f>
        <v/>
      </c>
      <c r="DSO1" s="11">
        <f>IF(OR(SwitchPB&lt;&gt;"ON",Universe!$B$1608=""),"",Universe!$B$1608)</f>
        <v/>
      </c>
      <c r="DSQ1" s="11">
        <f>IF(OR(SwitchPB&lt;&gt;"ON",Universe!$B$1609=""),"",Universe!$B$1609)</f>
        <v/>
      </c>
      <c r="DSS1" s="11">
        <f>IF(OR(SwitchPB&lt;&gt;"ON",Universe!$B$1610=""),"",Universe!$B$1610)</f>
        <v/>
      </c>
      <c r="DSU1" s="11">
        <f>IF(OR(SwitchPB&lt;&gt;"ON",Universe!$B$1611=""),"",Universe!$B$1611)</f>
        <v/>
      </c>
      <c r="DSW1" s="11">
        <f>IF(OR(SwitchPB&lt;&gt;"ON",Universe!$B$1612=""),"",Universe!$B$1612)</f>
        <v/>
      </c>
      <c r="DSY1" s="11">
        <f>IF(OR(SwitchPB&lt;&gt;"ON",Universe!$B$1613=""),"",Universe!$B$1613)</f>
        <v/>
      </c>
      <c r="DTA1" s="11">
        <f>IF(OR(SwitchPB&lt;&gt;"ON",Universe!$B$1614=""),"",Universe!$B$1614)</f>
        <v/>
      </c>
      <c r="DTC1" s="11">
        <f>IF(OR(SwitchPB&lt;&gt;"ON",Universe!$B$1615=""),"",Universe!$B$1615)</f>
        <v/>
      </c>
      <c r="DTE1" s="11">
        <f>IF(OR(SwitchPB&lt;&gt;"ON",Universe!$B$1616=""),"",Universe!$B$1616)</f>
        <v/>
      </c>
      <c r="DTG1" s="11">
        <f>IF(OR(SwitchPB&lt;&gt;"ON",Universe!$B$1617=""),"",Universe!$B$1617)</f>
        <v/>
      </c>
      <c r="DTI1" s="11">
        <f>IF(OR(SwitchPB&lt;&gt;"ON",Universe!$B$1618=""),"",Universe!$B$1618)</f>
        <v/>
      </c>
      <c r="DTK1" s="11">
        <f>IF(OR(SwitchPB&lt;&gt;"ON",Universe!$B$1619=""),"",Universe!$B$1619)</f>
        <v/>
      </c>
      <c r="DTM1" s="11">
        <f>IF(OR(SwitchPB&lt;&gt;"ON",Universe!$B$1620=""),"",Universe!$B$1620)</f>
        <v/>
      </c>
      <c r="DTO1" s="11">
        <f>IF(OR(SwitchPB&lt;&gt;"ON",Universe!$B$1621=""),"",Universe!$B$1621)</f>
        <v/>
      </c>
      <c r="DTQ1" s="11">
        <f>IF(OR(SwitchPB&lt;&gt;"ON",Universe!$B$1622=""),"",Universe!$B$1622)</f>
        <v/>
      </c>
      <c r="DTS1" s="11">
        <f>IF(OR(SwitchPB&lt;&gt;"ON",Universe!$B$1623=""),"",Universe!$B$1623)</f>
        <v/>
      </c>
      <c r="DTU1" s="11">
        <f>IF(OR(SwitchPB&lt;&gt;"ON",Universe!$B$1624=""),"",Universe!$B$1624)</f>
        <v/>
      </c>
      <c r="DTW1" s="11">
        <f>IF(OR(SwitchPB&lt;&gt;"ON",Universe!$B$1625=""),"",Universe!$B$1625)</f>
        <v/>
      </c>
      <c r="DTY1" s="11">
        <f>IF(OR(SwitchPB&lt;&gt;"ON",Universe!$B$1626=""),"",Universe!$B$1626)</f>
        <v/>
      </c>
      <c r="DUA1" s="11">
        <f>IF(OR(SwitchPB&lt;&gt;"ON",Universe!$B$1627=""),"",Universe!$B$1627)</f>
        <v/>
      </c>
      <c r="DUC1" s="11">
        <f>IF(OR(SwitchPB&lt;&gt;"ON",Universe!$B$1628=""),"",Universe!$B$1628)</f>
        <v/>
      </c>
      <c r="DUE1" s="11">
        <f>IF(OR(SwitchPB&lt;&gt;"ON",Universe!$B$1629=""),"",Universe!$B$1629)</f>
        <v/>
      </c>
      <c r="DUG1" s="11">
        <f>IF(OR(SwitchPB&lt;&gt;"ON",Universe!$B$1630=""),"",Universe!$B$1630)</f>
        <v/>
      </c>
      <c r="DUI1" s="11">
        <f>IF(OR(SwitchPB&lt;&gt;"ON",Universe!$B$1631=""),"",Universe!$B$1631)</f>
        <v/>
      </c>
      <c r="DUK1" s="11">
        <f>IF(OR(SwitchPB&lt;&gt;"ON",Universe!$B$1632=""),"",Universe!$B$1632)</f>
        <v/>
      </c>
      <c r="DUM1" s="11">
        <f>IF(OR(SwitchPB&lt;&gt;"ON",Universe!$B$1633=""),"",Universe!$B$1633)</f>
        <v/>
      </c>
      <c r="DUO1" s="11">
        <f>IF(OR(SwitchPB&lt;&gt;"ON",Universe!$B$1634=""),"",Universe!$B$1634)</f>
        <v/>
      </c>
      <c r="DUQ1" s="11">
        <f>IF(OR(SwitchPB&lt;&gt;"ON",Universe!$B$1635=""),"",Universe!$B$1635)</f>
        <v/>
      </c>
      <c r="DUS1" s="11">
        <f>IF(OR(SwitchPB&lt;&gt;"ON",Universe!$B$1636=""),"",Universe!$B$1636)</f>
        <v/>
      </c>
      <c r="DUU1" s="11">
        <f>IF(OR(SwitchPB&lt;&gt;"ON",Universe!$B$1637=""),"",Universe!$B$1637)</f>
        <v/>
      </c>
      <c r="DUW1" s="11">
        <f>IF(OR(SwitchPB&lt;&gt;"ON",Universe!$B$1638=""),"",Universe!$B$1638)</f>
        <v/>
      </c>
      <c r="DUY1" s="11">
        <f>IF(OR(SwitchPB&lt;&gt;"ON",Universe!$B$1639=""),"",Universe!$B$1639)</f>
        <v/>
      </c>
      <c r="DVA1" s="11">
        <f>IF(OR(SwitchPB&lt;&gt;"ON",Universe!$B$1640=""),"",Universe!$B$1640)</f>
        <v/>
      </c>
      <c r="DVC1" s="11">
        <f>IF(OR(SwitchPB&lt;&gt;"ON",Universe!$B$1641=""),"",Universe!$B$1641)</f>
        <v/>
      </c>
      <c r="DVE1" s="11">
        <f>IF(OR(SwitchPB&lt;&gt;"ON",Universe!$B$1642=""),"",Universe!$B$1642)</f>
        <v/>
      </c>
      <c r="DVG1" s="11">
        <f>IF(OR(SwitchPB&lt;&gt;"ON",Universe!$B$1643=""),"",Universe!$B$1643)</f>
        <v/>
      </c>
      <c r="DVI1" s="11">
        <f>IF(OR(SwitchPB&lt;&gt;"ON",Universe!$B$1644=""),"",Universe!$B$1644)</f>
        <v/>
      </c>
      <c r="DVK1" s="11">
        <f>IF(OR(SwitchPB&lt;&gt;"ON",Universe!$B$1645=""),"",Universe!$B$1645)</f>
        <v/>
      </c>
      <c r="DVM1" s="11">
        <f>IF(OR(SwitchPB&lt;&gt;"ON",Universe!$B$1646=""),"",Universe!$B$1646)</f>
        <v/>
      </c>
      <c r="DVO1" s="11">
        <f>IF(OR(SwitchPB&lt;&gt;"ON",Universe!$B$1647=""),"",Universe!$B$1647)</f>
        <v/>
      </c>
      <c r="DVQ1" s="11">
        <f>IF(OR(SwitchPB&lt;&gt;"ON",Universe!$B$1648=""),"",Universe!$B$1648)</f>
        <v/>
      </c>
      <c r="DVS1" s="11">
        <f>IF(OR(SwitchPB&lt;&gt;"ON",Universe!$B$1649=""),"",Universe!$B$1649)</f>
        <v/>
      </c>
      <c r="DVU1" s="11">
        <f>IF(OR(SwitchPB&lt;&gt;"ON",Universe!$B$1650=""),"",Universe!$B$1650)</f>
        <v/>
      </c>
      <c r="DVW1" s="11">
        <f>IF(OR(SwitchPB&lt;&gt;"ON",Universe!$B$1651=""),"",Universe!$B$1651)</f>
        <v/>
      </c>
      <c r="DVY1" s="11">
        <f>IF(OR(SwitchPB&lt;&gt;"ON",Universe!$B$1652=""),"",Universe!$B$1652)</f>
        <v/>
      </c>
      <c r="DWA1" s="11">
        <f>IF(OR(SwitchPB&lt;&gt;"ON",Universe!$B$1653=""),"",Universe!$B$1653)</f>
        <v/>
      </c>
      <c r="DWC1" s="11">
        <f>IF(OR(SwitchPB&lt;&gt;"ON",Universe!$B$1654=""),"",Universe!$B$1654)</f>
        <v/>
      </c>
      <c r="DWE1" s="11">
        <f>IF(OR(SwitchPB&lt;&gt;"ON",Universe!$B$1655=""),"",Universe!$B$1655)</f>
        <v/>
      </c>
      <c r="DWG1" s="11">
        <f>IF(OR(SwitchPB&lt;&gt;"ON",Universe!$B$1656=""),"",Universe!$B$1656)</f>
        <v/>
      </c>
      <c r="DWI1" s="11">
        <f>IF(OR(SwitchPB&lt;&gt;"ON",Universe!$B$1657=""),"",Universe!$B$1657)</f>
        <v/>
      </c>
      <c r="DWK1" s="11">
        <f>IF(OR(SwitchPB&lt;&gt;"ON",Universe!$B$1658=""),"",Universe!$B$1658)</f>
        <v/>
      </c>
      <c r="DWM1" s="11">
        <f>IF(OR(SwitchPB&lt;&gt;"ON",Universe!$B$1659=""),"",Universe!$B$1659)</f>
        <v/>
      </c>
      <c r="DWO1" s="11">
        <f>IF(OR(SwitchPB&lt;&gt;"ON",Universe!$B$1660=""),"",Universe!$B$1660)</f>
        <v/>
      </c>
      <c r="DWQ1" s="11">
        <f>IF(OR(SwitchPB&lt;&gt;"ON",Universe!$B$1661=""),"",Universe!$B$1661)</f>
        <v/>
      </c>
      <c r="DWS1" s="11">
        <f>IF(OR(SwitchPB&lt;&gt;"ON",Universe!$B$1662=""),"",Universe!$B$1662)</f>
        <v/>
      </c>
      <c r="DWU1" s="11">
        <f>IF(OR(SwitchPB&lt;&gt;"ON",Universe!$B$1663=""),"",Universe!$B$1663)</f>
        <v/>
      </c>
      <c r="DWW1" s="11">
        <f>IF(OR(SwitchPB&lt;&gt;"ON",Universe!$B$1664=""),"",Universe!$B$1664)</f>
        <v/>
      </c>
      <c r="DWY1" s="11">
        <f>IF(OR(SwitchPB&lt;&gt;"ON",Universe!$B$1665=""),"",Universe!$B$1665)</f>
        <v/>
      </c>
      <c r="DXA1" s="11">
        <f>IF(OR(SwitchPB&lt;&gt;"ON",Universe!$B$1666=""),"",Universe!$B$1666)</f>
        <v/>
      </c>
      <c r="DXC1" s="11">
        <f>IF(OR(SwitchPB&lt;&gt;"ON",Universe!$B$1667=""),"",Universe!$B$1667)</f>
        <v/>
      </c>
      <c r="DXE1" s="11">
        <f>IF(OR(SwitchPB&lt;&gt;"ON",Universe!$B$1668=""),"",Universe!$B$1668)</f>
        <v/>
      </c>
      <c r="DXG1" s="11">
        <f>IF(OR(SwitchPB&lt;&gt;"ON",Universe!$B$1669=""),"",Universe!$B$1669)</f>
        <v/>
      </c>
      <c r="DXI1" s="11">
        <f>IF(OR(SwitchPB&lt;&gt;"ON",Universe!$B$1670=""),"",Universe!$B$1670)</f>
        <v/>
      </c>
      <c r="DXK1" s="11">
        <f>IF(OR(SwitchPB&lt;&gt;"ON",Universe!$B$1671=""),"",Universe!$B$1671)</f>
        <v/>
      </c>
      <c r="DXM1" s="11">
        <f>IF(OR(SwitchPB&lt;&gt;"ON",Universe!$B$1672=""),"",Universe!$B$1672)</f>
        <v/>
      </c>
      <c r="DXO1" s="11">
        <f>IF(OR(SwitchPB&lt;&gt;"ON",Universe!$B$1673=""),"",Universe!$B$1673)</f>
        <v/>
      </c>
      <c r="DXQ1" s="11">
        <f>IF(OR(SwitchPB&lt;&gt;"ON",Universe!$B$1674=""),"",Universe!$B$1674)</f>
        <v/>
      </c>
      <c r="DXS1" s="11">
        <f>IF(OR(SwitchPB&lt;&gt;"ON",Universe!$B$1675=""),"",Universe!$B$1675)</f>
        <v/>
      </c>
      <c r="DXU1" s="11">
        <f>IF(OR(SwitchPB&lt;&gt;"ON",Universe!$B$1676=""),"",Universe!$B$1676)</f>
        <v/>
      </c>
      <c r="DXW1" s="11">
        <f>IF(OR(SwitchPB&lt;&gt;"ON",Universe!$B$1677=""),"",Universe!$B$1677)</f>
        <v/>
      </c>
      <c r="DXY1" s="11">
        <f>IF(OR(SwitchPB&lt;&gt;"ON",Universe!$B$1678=""),"",Universe!$B$1678)</f>
        <v/>
      </c>
      <c r="DYA1" s="11">
        <f>IF(OR(SwitchPB&lt;&gt;"ON",Universe!$B$1679=""),"",Universe!$B$1679)</f>
        <v/>
      </c>
      <c r="DYC1" s="11">
        <f>IF(OR(SwitchPB&lt;&gt;"ON",Universe!$B$1680=""),"",Universe!$B$1680)</f>
        <v/>
      </c>
      <c r="DYE1" s="11">
        <f>IF(OR(SwitchPB&lt;&gt;"ON",Universe!$B$1681=""),"",Universe!$B$1681)</f>
        <v/>
      </c>
      <c r="DYG1" s="11">
        <f>IF(OR(SwitchPB&lt;&gt;"ON",Universe!$B$1682=""),"",Universe!$B$1682)</f>
        <v/>
      </c>
      <c r="DYI1" s="11">
        <f>IF(OR(SwitchPB&lt;&gt;"ON",Universe!$B$1683=""),"",Universe!$B$1683)</f>
        <v/>
      </c>
      <c r="DYK1" s="11">
        <f>IF(OR(SwitchPB&lt;&gt;"ON",Universe!$B$1684=""),"",Universe!$B$1684)</f>
        <v/>
      </c>
      <c r="DYM1" s="11">
        <f>IF(OR(SwitchPB&lt;&gt;"ON",Universe!$B$1685=""),"",Universe!$B$1685)</f>
        <v/>
      </c>
      <c r="DYO1" s="11">
        <f>IF(OR(SwitchPB&lt;&gt;"ON",Universe!$B$1686=""),"",Universe!$B$1686)</f>
        <v/>
      </c>
      <c r="DYQ1" s="11">
        <f>IF(OR(SwitchPB&lt;&gt;"ON",Universe!$B$1687=""),"",Universe!$B$1687)</f>
        <v/>
      </c>
      <c r="DYS1" s="11">
        <f>IF(OR(SwitchPB&lt;&gt;"ON",Universe!$B$1688=""),"",Universe!$B$1688)</f>
        <v/>
      </c>
      <c r="DYU1" s="11">
        <f>IF(OR(SwitchPB&lt;&gt;"ON",Universe!$B$1689=""),"",Universe!$B$1689)</f>
        <v/>
      </c>
      <c r="DYW1" s="11">
        <f>IF(OR(SwitchPB&lt;&gt;"ON",Universe!$B$1690=""),"",Universe!$B$1690)</f>
        <v/>
      </c>
      <c r="DYY1" s="11">
        <f>IF(OR(SwitchPB&lt;&gt;"ON",Universe!$B$1691=""),"",Universe!$B$1691)</f>
        <v/>
      </c>
      <c r="DZA1" s="11">
        <f>IF(OR(SwitchPB&lt;&gt;"ON",Universe!$B$1692=""),"",Universe!$B$1692)</f>
        <v/>
      </c>
      <c r="DZC1" s="11">
        <f>IF(OR(SwitchPB&lt;&gt;"ON",Universe!$B$1693=""),"",Universe!$B$1693)</f>
        <v/>
      </c>
      <c r="DZE1" s="11">
        <f>IF(OR(SwitchPB&lt;&gt;"ON",Universe!$B$1694=""),"",Universe!$B$1694)</f>
        <v/>
      </c>
      <c r="DZG1" s="11">
        <f>IF(OR(SwitchPB&lt;&gt;"ON",Universe!$B$1695=""),"",Universe!$B$1695)</f>
        <v/>
      </c>
      <c r="DZI1" s="11">
        <f>IF(OR(SwitchPB&lt;&gt;"ON",Universe!$B$1696=""),"",Universe!$B$1696)</f>
        <v/>
      </c>
      <c r="DZK1" s="11">
        <f>IF(OR(SwitchPB&lt;&gt;"ON",Universe!$B$1697=""),"",Universe!$B$1697)</f>
        <v/>
      </c>
      <c r="DZM1" s="11">
        <f>IF(OR(SwitchPB&lt;&gt;"ON",Universe!$B$1698=""),"",Universe!$B$1698)</f>
        <v/>
      </c>
      <c r="DZO1" s="11">
        <f>IF(OR(SwitchPB&lt;&gt;"ON",Universe!$B$1699=""),"",Universe!$B$1699)</f>
        <v/>
      </c>
      <c r="DZQ1" s="11">
        <f>IF(OR(SwitchPB&lt;&gt;"ON",Universe!$B$1700=""),"",Universe!$B$1700)</f>
        <v/>
      </c>
      <c r="DZS1" s="11">
        <f>IF(OR(SwitchPB&lt;&gt;"ON",Universe!$B$1701=""),"",Universe!$B$1701)</f>
        <v/>
      </c>
      <c r="DZU1" s="11">
        <f>IF(OR(SwitchPB&lt;&gt;"ON",Universe!$B$1702=""),"",Universe!$B$1702)</f>
        <v/>
      </c>
      <c r="DZW1" s="11">
        <f>IF(OR(SwitchPB&lt;&gt;"ON",Universe!$B$1703=""),"",Universe!$B$1703)</f>
        <v/>
      </c>
      <c r="DZY1" s="11">
        <f>IF(OR(SwitchPB&lt;&gt;"ON",Universe!$B$1704=""),"",Universe!$B$1704)</f>
        <v/>
      </c>
      <c r="EAA1" s="11">
        <f>IF(OR(SwitchPB&lt;&gt;"ON",Universe!$B$1705=""),"",Universe!$B$1705)</f>
        <v/>
      </c>
      <c r="EAC1" s="11">
        <f>IF(OR(SwitchPB&lt;&gt;"ON",Universe!$B$1706=""),"",Universe!$B$1706)</f>
        <v/>
      </c>
      <c r="EAE1" s="11">
        <f>IF(OR(SwitchPB&lt;&gt;"ON",Universe!$B$1707=""),"",Universe!$B$1707)</f>
        <v/>
      </c>
      <c r="EAG1" s="11">
        <f>IF(OR(SwitchPB&lt;&gt;"ON",Universe!$B$1708=""),"",Universe!$B$1708)</f>
        <v/>
      </c>
      <c r="EAI1" s="11">
        <f>IF(OR(SwitchPB&lt;&gt;"ON",Universe!$B$1709=""),"",Universe!$B$1709)</f>
        <v/>
      </c>
      <c r="EAK1" s="11">
        <f>IF(OR(SwitchPB&lt;&gt;"ON",Universe!$B$1710=""),"",Universe!$B$1710)</f>
        <v/>
      </c>
      <c r="EAM1" s="11">
        <f>IF(OR(SwitchPB&lt;&gt;"ON",Universe!$B$1711=""),"",Universe!$B$1711)</f>
        <v/>
      </c>
      <c r="EAO1" s="11">
        <f>IF(OR(SwitchPB&lt;&gt;"ON",Universe!$B$1712=""),"",Universe!$B$1712)</f>
        <v/>
      </c>
      <c r="EAQ1" s="11">
        <f>IF(OR(SwitchPB&lt;&gt;"ON",Universe!$B$1713=""),"",Universe!$B$1713)</f>
        <v/>
      </c>
      <c r="EAS1" s="11">
        <f>IF(OR(SwitchPB&lt;&gt;"ON",Universe!$B$1714=""),"",Universe!$B$1714)</f>
        <v/>
      </c>
      <c r="EAU1" s="11">
        <f>IF(OR(SwitchPB&lt;&gt;"ON",Universe!$B$1715=""),"",Universe!$B$1715)</f>
        <v/>
      </c>
      <c r="EAW1" s="11">
        <f>IF(OR(SwitchPB&lt;&gt;"ON",Universe!$B$1716=""),"",Universe!$B$1716)</f>
        <v/>
      </c>
      <c r="EAY1" s="11">
        <f>IF(OR(SwitchPB&lt;&gt;"ON",Universe!$B$1717=""),"",Universe!$B$1717)</f>
        <v/>
      </c>
      <c r="EBA1" s="11">
        <f>IF(OR(SwitchPB&lt;&gt;"ON",Universe!$B$1718=""),"",Universe!$B$1718)</f>
        <v/>
      </c>
      <c r="EBC1" s="11">
        <f>IF(OR(SwitchPB&lt;&gt;"ON",Universe!$B$1719=""),"",Universe!$B$1719)</f>
        <v/>
      </c>
      <c r="EBE1" s="11">
        <f>IF(OR(SwitchPB&lt;&gt;"ON",Universe!$B$1720=""),"",Universe!$B$1720)</f>
        <v/>
      </c>
      <c r="EBG1" s="11">
        <f>IF(OR(SwitchPB&lt;&gt;"ON",Universe!$B$1721=""),"",Universe!$B$1721)</f>
        <v/>
      </c>
      <c r="EBI1" s="11">
        <f>IF(OR(SwitchPB&lt;&gt;"ON",Universe!$B$1722=""),"",Universe!$B$1722)</f>
        <v/>
      </c>
      <c r="EBK1" s="11">
        <f>IF(OR(SwitchPB&lt;&gt;"ON",Universe!$B$1723=""),"",Universe!$B$1723)</f>
        <v/>
      </c>
      <c r="EBM1" s="11">
        <f>IF(OR(SwitchPB&lt;&gt;"ON",Universe!$B$1724=""),"",Universe!$B$1724)</f>
        <v/>
      </c>
      <c r="EBO1" s="11">
        <f>IF(OR(SwitchPB&lt;&gt;"ON",Universe!$B$1725=""),"",Universe!$B$1725)</f>
        <v/>
      </c>
      <c r="EBQ1" s="11">
        <f>IF(OR(SwitchPB&lt;&gt;"ON",Universe!$B$1726=""),"",Universe!$B$1726)</f>
        <v/>
      </c>
      <c r="EBS1" s="11">
        <f>IF(OR(SwitchPB&lt;&gt;"ON",Universe!$B$1727=""),"",Universe!$B$1727)</f>
        <v/>
      </c>
      <c r="EBU1" s="11">
        <f>IF(OR(SwitchPB&lt;&gt;"ON",Universe!$B$1728=""),"",Universe!$B$1728)</f>
        <v/>
      </c>
      <c r="EBW1" s="11">
        <f>IF(OR(SwitchPB&lt;&gt;"ON",Universe!$B$1729=""),"",Universe!$B$1729)</f>
        <v/>
      </c>
      <c r="EBY1" s="11">
        <f>IF(OR(SwitchPB&lt;&gt;"ON",Universe!$B$1730=""),"",Universe!$B$1730)</f>
        <v/>
      </c>
      <c r="ECA1" s="11">
        <f>IF(OR(SwitchPB&lt;&gt;"ON",Universe!$B$1731=""),"",Universe!$B$1731)</f>
        <v/>
      </c>
      <c r="ECC1" s="11">
        <f>IF(OR(SwitchPB&lt;&gt;"ON",Universe!$B$1732=""),"",Universe!$B$1732)</f>
        <v/>
      </c>
      <c r="ECE1" s="11">
        <f>IF(OR(SwitchPB&lt;&gt;"ON",Universe!$B$1733=""),"",Universe!$B$1733)</f>
        <v/>
      </c>
      <c r="ECG1" s="11">
        <f>IF(OR(SwitchPB&lt;&gt;"ON",Universe!$B$1734=""),"",Universe!$B$1734)</f>
        <v/>
      </c>
      <c r="ECI1" s="11">
        <f>IF(OR(SwitchPB&lt;&gt;"ON",Universe!$B$1735=""),"",Universe!$B$1735)</f>
        <v/>
      </c>
      <c r="ECK1" s="11">
        <f>IF(OR(SwitchPB&lt;&gt;"ON",Universe!$B$1736=""),"",Universe!$B$1736)</f>
        <v/>
      </c>
      <c r="ECM1" s="11">
        <f>IF(OR(SwitchPB&lt;&gt;"ON",Universe!$B$1737=""),"",Universe!$B$1737)</f>
        <v/>
      </c>
      <c r="ECO1" s="11">
        <f>IF(OR(SwitchPB&lt;&gt;"ON",Universe!$B$1738=""),"",Universe!$B$1738)</f>
        <v/>
      </c>
      <c r="ECQ1" s="11">
        <f>IF(OR(SwitchPB&lt;&gt;"ON",Universe!$B$1739=""),"",Universe!$B$1739)</f>
        <v/>
      </c>
      <c r="ECS1" s="11">
        <f>IF(OR(SwitchPB&lt;&gt;"ON",Universe!$B$1740=""),"",Universe!$B$1740)</f>
        <v/>
      </c>
      <c r="ECU1" s="11">
        <f>IF(OR(SwitchPB&lt;&gt;"ON",Universe!$B$1741=""),"",Universe!$B$1741)</f>
        <v/>
      </c>
      <c r="ECW1" s="11">
        <f>IF(OR(SwitchPB&lt;&gt;"ON",Universe!$B$1742=""),"",Universe!$B$1742)</f>
        <v/>
      </c>
      <c r="ECY1" s="11">
        <f>IF(OR(SwitchPB&lt;&gt;"ON",Universe!$B$1743=""),"",Universe!$B$1743)</f>
        <v/>
      </c>
      <c r="EDA1" s="11">
        <f>IF(OR(SwitchPB&lt;&gt;"ON",Universe!$B$1744=""),"",Universe!$B$1744)</f>
        <v/>
      </c>
      <c r="EDC1" s="11">
        <f>IF(OR(SwitchPB&lt;&gt;"ON",Universe!$B$1745=""),"",Universe!$B$1745)</f>
        <v/>
      </c>
      <c r="EDE1" s="11">
        <f>IF(OR(SwitchPB&lt;&gt;"ON",Universe!$B$1746=""),"",Universe!$B$1746)</f>
        <v/>
      </c>
      <c r="EDG1" s="11">
        <f>IF(OR(SwitchPB&lt;&gt;"ON",Universe!$B$1747=""),"",Universe!$B$1747)</f>
        <v/>
      </c>
      <c r="EDI1" s="11">
        <f>IF(OR(SwitchPB&lt;&gt;"ON",Universe!$B$1748=""),"",Universe!$B$1748)</f>
        <v/>
      </c>
      <c r="EDK1" s="11">
        <f>IF(OR(SwitchPB&lt;&gt;"ON",Universe!$B$1749=""),"",Universe!$B$1749)</f>
        <v/>
      </c>
      <c r="EDM1" s="11">
        <f>IF(OR(SwitchPB&lt;&gt;"ON",Universe!$B$1750=""),"",Universe!$B$1750)</f>
        <v/>
      </c>
      <c r="EDO1" s="11">
        <f>IF(OR(SwitchPB&lt;&gt;"ON",Universe!$B$1751=""),"",Universe!$B$1751)</f>
        <v/>
      </c>
      <c r="EDQ1" s="11">
        <f>IF(OR(SwitchPB&lt;&gt;"ON",Universe!$B$1752=""),"",Universe!$B$1752)</f>
        <v/>
      </c>
      <c r="EDS1" s="11">
        <f>IF(OR(SwitchPB&lt;&gt;"ON",Universe!$B$1753=""),"",Universe!$B$1753)</f>
        <v/>
      </c>
      <c r="EDU1" s="11">
        <f>IF(OR(SwitchPB&lt;&gt;"ON",Universe!$B$1754=""),"",Universe!$B$1754)</f>
        <v/>
      </c>
      <c r="EDW1" s="11">
        <f>IF(OR(SwitchPB&lt;&gt;"ON",Universe!$B$1755=""),"",Universe!$B$1755)</f>
        <v/>
      </c>
      <c r="EDY1" s="11">
        <f>IF(OR(SwitchPB&lt;&gt;"ON",Universe!$B$1756=""),"",Universe!$B$1756)</f>
        <v/>
      </c>
      <c r="EEA1" s="11">
        <f>IF(OR(SwitchPB&lt;&gt;"ON",Universe!$B$1757=""),"",Universe!$B$1757)</f>
        <v/>
      </c>
      <c r="EEC1" s="11">
        <f>IF(OR(SwitchPB&lt;&gt;"ON",Universe!$B$1758=""),"",Universe!$B$1758)</f>
        <v/>
      </c>
      <c r="EEE1" s="11">
        <f>IF(OR(SwitchPB&lt;&gt;"ON",Universe!$B$1759=""),"",Universe!$B$1759)</f>
        <v/>
      </c>
      <c r="EEG1" s="11">
        <f>IF(OR(SwitchPB&lt;&gt;"ON",Universe!$B$1760=""),"",Universe!$B$1760)</f>
        <v/>
      </c>
      <c r="EEI1" s="11">
        <f>IF(OR(SwitchPB&lt;&gt;"ON",Universe!$B$1761=""),"",Universe!$B$1761)</f>
        <v/>
      </c>
      <c r="EEK1" s="11">
        <f>IF(OR(SwitchPB&lt;&gt;"ON",Universe!$B$1762=""),"",Universe!$B$1762)</f>
        <v/>
      </c>
      <c r="EEM1" s="11">
        <f>IF(OR(SwitchPB&lt;&gt;"ON",Universe!$B$1763=""),"",Universe!$B$1763)</f>
        <v/>
      </c>
      <c r="EEO1" s="11">
        <f>IF(OR(SwitchPB&lt;&gt;"ON",Universe!$B$1764=""),"",Universe!$B$1764)</f>
        <v/>
      </c>
      <c r="EEQ1" s="11">
        <f>IF(OR(SwitchPB&lt;&gt;"ON",Universe!$B$1765=""),"",Universe!$B$1765)</f>
        <v/>
      </c>
      <c r="EES1" s="11">
        <f>IF(OR(SwitchPB&lt;&gt;"ON",Universe!$B$1766=""),"",Universe!$B$1766)</f>
        <v/>
      </c>
      <c r="EEU1" s="11">
        <f>IF(OR(SwitchPB&lt;&gt;"ON",Universe!$B$1767=""),"",Universe!$B$1767)</f>
        <v/>
      </c>
      <c r="EEW1" s="11">
        <f>IF(OR(SwitchPB&lt;&gt;"ON",Universe!$B$1768=""),"",Universe!$B$1768)</f>
        <v/>
      </c>
      <c r="EEY1" s="11">
        <f>IF(OR(SwitchPB&lt;&gt;"ON",Universe!$B$1769=""),"",Universe!$B$1769)</f>
        <v/>
      </c>
      <c r="EFA1" s="11">
        <f>IF(OR(SwitchPB&lt;&gt;"ON",Universe!$B$1770=""),"",Universe!$B$1770)</f>
        <v/>
      </c>
      <c r="EFC1" s="11">
        <f>IF(OR(SwitchPB&lt;&gt;"ON",Universe!$B$1771=""),"",Universe!$B$1771)</f>
        <v/>
      </c>
      <c r="EFE1" s="11">
        <f>IF(OR(SwitchPB&lt;&gt;"ON",Universe!$B$1772=""),"",Universe!$B$1772)</f>
        <v/>
      </c>
      <c r="EFG1" s="11">
        <f>IF(OR(SwitchPB&lt;&gt;"ON",Universe!$B$1773=""),"",Universe!$B$1773)</f>
        <v/>
      </c>
      <c r="EFI1" s="11">
        <f>IF(OR(SwitchPB&lt;&gt;"ON",Universe!$B$1774=""),"",Universe!$B$1774)</f>
        <v/>
      </c>
      <c r="EFK1" s="11">
        <f>IF(OR(SwitchPB&lt;&gt;"ON",Universe!$B$1775=""),"",Universe!$B$1775)</f>
        <v/>
      </c>
      <c r="EFM1" s="11">
        <f>IF(OR(SwitchPB&lt;&gt;"ON",Universe!$B$1776=""),"",Universe!$B$1776)</f>
        <v/>
      </c>
      <c r="EFO1" s="11">
        <f>IF(OR(SwitchPB&lt;&gt;"ON",Universe!$B$1777=""),"",Universe!$B$1777)</f>
        <v/>
      </c>
      <c r="EFQ1" s="11">
        <f>IF(OR(SwitchPB&lt;&gt;"ON",Universe!$B$1778=""),"",Universe!$B$1778)</f>
        <v/>
      </c>
      <c r="EFS1" s="11">
        <f>IF(OR(SwitchPB&lt;&gt;"ON",Universe!$B$1779=""),"",Universe!$B$1779)</f>
        <v/>
      </c>
      <c r="EFU1" s="11">
        <f>IF(OR(SwitchPB&lt;&gt;"ON",Universe!$B$1780=""),"",Universe!$B$1780)</f>
        <v/>
      </c>
      <c r="EFW1" s="11">
        <f>IF(OR(SwitchPB&lt;&gt;"ON",Universe!$B$1781=""),"",Universe!$B$1781)</f>
        <v/>
      </c>
      <c r="EFY1" s="11">
        <f>IF(OR(SwitchPB&lt;&gt;"ON",Universe!$B$1782=""),"",Universe!$B$1782)</f>
        <v/>
      </c>
      <c r="EGA1" s="11">
        <f>IF(OR(SwitchPB&lt;&gt;"ON",Universe!$B$1783=""),"",Universe!$B$1783)</f>
        <v/>
      </c>
      <c r="EGC1" s="11">
        <f>IF(OR(SwitchPB&lt;&gt;"ON",Universe!$B$1784=""),"",Universe!$B$1784)</f>
        <v/>
      </c>
      <c r="EGE1" s="11">
        <f>IF(OR(SwitchPB&lt;&gt;"ON",Universe!$B$1785=""),"",Universe!$B$1785)</f>
        <v/>
      </c>
      <c r="EGG1" s="11">
        <f>IF(OR(SwitchPB&lt;&gt;"ON",Universe!$B$1786=""),"",Universe!$B$1786)</f>
        <v/>
      </c>
      <c r="EGI1" s="11">
        <f>IF(OR(SwitchPB&lt;&gt;"ON",Universe!$B$1787=""),"",Universe!$B$1787)</f>
        <v/>
      </c>
      <c r="EGK1" s="11">
        <f>IF(OR(SwitchPB&lt;&gt;"ON",Universe!$B$1788=""),"",Universe!$B$1788)</f>
        <v/>
      </c>
      <c r="EGM1" s="11">
        <f>IF(OR(SwitchPB&lt;&gt;"ON",Universe!$B$1789=""),"",Universe!$B$1789)</f>
        <v/>
      </c>
      <c r="EGO1" s="11">
        <f>IF(OR(SwitchPB&lt;&gt;"ON",Universe!$B$1790=""),"",Universe!$B$1790)</f>
        <v/>
      </c>
      <c r="EGQ1" s="11">
        <f>IF(OR(SwitchPB&lt;&gt;"ON",Universe!$B$1791=""),"",Universe!$B$1791)</f>
        <v/>
      </c>
      <c r="EGS1" s="11">
        <f>IF(OR(SwitchPB&lt;&gt;"ON",Universe!$B$1792=""),"",Universe!$B$1792)</f>
        <v/>
      </c>
      <c r="EGU1" s="11">
        <f>IF(OR(SwitchPB&lt;&gt;"ON",Universe!$B$1793=""),"",Universe!$B$1793)</f>
        <v/>
      </c>
      <c r="EGW1" s="11">
        <f>IF(OR(SwitchPB&lt;&gt;"ON",Universe!$B$1794=""),"",Universe!$B$1794)</f>
        <v/>
      </c>
      <c r="EGY1" s="11">
        <f>IF(OR(SwitchPB&lt;&gt;"ON",Universe!$B$1795=""),"",Universe!$B$1795)</f>
        <v/>
      </c>
      <c r="EHA1" s="11">
        <f>IF(OR(SwitchPB&lt;&gt;"ON",Universe!$B$1796=""),"",Universe!$B$1796)</f>
        <v/>
      </c>
      <c r="EHC1" s="11">
        <f>IF(OR(SwitchPB&lt;&gt;"ON",Universe!$B$1797=""),"",Universe!$B$1797)</f>
        <v/>
      </c>
      <c r="EHE1" s="11">
        <f>IF(OR(SwitchPB&lt;&gt;"ON",Universe!$B$1798=""),"",Universe!$B$1798)</f>
        <v/>
      </c>
      <c r="EHG1" s="11">
        <f>IF(OR(SwitchPB&lt;&gt;"ON",Universe!$B$1799=""),"",Universe!$B$1799)</f>
        <v/>
      </c>
      <c r="EHI1" s="11">
        <f>IF(OR(SwitchPB&lt;&gt;"ON",Universe!$B$1800=""),"",Universe!$B$1800)</f>
        <v/>
      </c>
      <c r="EHK1" s="11">
        <f>IF(OR(SwitchPB&lt;&gt;"ON",Universe!$B$1801=""),"",Universe!$B$1801)</f>
        <v/>
      </c>
      <c r="EHM1" s="11">
        <f>IF(OR(SwitchPB&lt;&gt;"ON",Universe!$B$1802=""),"",Universe!$B$1802)</f>
        <v/>
      </c>
      <c r="EHO1" s="11">
        <f>IF(OR(SwitchPB&lt;&gt;"ON",Universe!$B$1803=""),"",Universe!$B$1803)</f>
        <v/>
      </c>
      <c r="EHQ1" s="11">
        <f>IF(OR(SwitchPB&lt;&gt;"ON",Universe!$B$1804=""),"",Universe!$B$1804)</f>
        <v/>
      </c>
      <c r="EHS1" s="11">
        <f>IF(OR(SwitchPB&lt;&gt;"ON",Universe!$B$1805=""),"",Universe!$B$1805)</f>
        <v/>
      </c>
      <c r="EHU1" s="11">
        <f>IF(OR(SwitchPB&lt;&gt;"ON",Universe!$B$1806=""),"",Universe!$B$1806)</f>
        <v/>
      </c>
      <c r="EHW1" s="11">
        <f>IF(OR(SwitchPB&lt;&gt;"ON",Universe!$B$1807=""),"",Universe!$B$1807)</f>
        <v/>
      </c>
      <c r="EHY1" s="11">
        <f>IF(OR(SwitchPB&lt;&gt;"ON",Universe!$B$1808=""),"",Universe!$B$1808)</f>
        <v/>
      </c>
      <c r="EIA1" s="11">
        <f>IF(OR(SwitchPB&lt;&gt;"ON",Universe!$B$1809=""),"",Universe!$B$1809)</f>
        <v/>
      </c>
      <c r="EIC1" s="11">
        <f>IF(OR(SwitchPB&lt;&gt;"ON",Universe!$B$1810=""),"",Universe!$B$1810)</f>
        <v/>
      </c>
      <c r="EIE1" s="11">
        <f>IF(OR(SwitchPB&lt;&gt;"ON",Universe!$B$1811=""),"",Universe!$B$1811)</f>
        <v/>
      </c>
      <c r="EIG1" s="11">
        <f>IF(OR(SwitchPB&lt;&gt;"ON",Universe!$B$1812=""),"",Universe!$B$1812)</f>
        <v/>
      </c>
      <c r="EII1" s="11">
        <f>IF(OR(SwitchPB&lt;&gt;"ON",Universe!$B$1813=""),"",Universe!$B$1813)</f>
        <v/>
      </c>
      <c r="EIK1" s="11">
        <f>IF(OR(SwitchPB&lt;&gt;"ON",Universe!$B$1814=""),"",Universe!$B$1814)</f>
        <v/>
      </c>
      <c r="EIM1" s="11">
        <f>IF(OR(SwitchPB&lt;&gt;"ON",Universe!$B$1815=""),"",Universe!$B$1815)</f>
        <v/>
      </c>
      <c r="EIO1" s="11">
        <f>IF(OR(SwitchPB&lt;&gt;"ON",Universe!$B$1816=""),"",Universe!$B$1816)</f>
        <v/>
      </c>
      <c r="EIQ1" s="11">
        <f>IF(OR(SwitchPB&lt;&gt;"ON",Universe!$B$1817=""),"",Universe!$B$1817)</f>
        <v/>
      </c>
      <c r="EIS1" s="11">
        <f>IF(OR(SwitchPB&lt;&gt;"ON",Universe!$B$1818=""),"",Universe!$B$1818)</f>
        <v/>
      </c>
      <c r="EIU1" s="11">
        <f>IF(OR(SwitchPB&lt;&gt;"ON",Universe!$B$1819=""),"",Universe!$B$1819)</f>
        <v/>
      </c>
      <c r="EIW1" s="11">
        <f>IF(OR(SwitchPB&lt;&gt;"ON",Universe!$B$1820=""),"",Universe!$B$1820)</f>
        <v/>
      </c>
      <c r="EIY1" s="11">
        <f>IF(OR(SwitchPB&lt;&gt;"ON",Universe!$B$1821=""),"",Universe!$B$1821)</f>
        <v/>
      </c>
      <c r="EJA1" s="11">
        <f>IF(OR(SwitchPB&lt;&gt;"ON",Universe!$B$1822=""),"",Universe!$B$1822)</f>
        <v/>
      </c>
      <c r="EJC1" s="11">
        <f>IF(OR(SwitchPB&lt;&gt;"ON",Universe!$B$1823=""),"",Universe!$B$1823)</f>
        <v/>
      </c>
      <c r="EJE1" s="11">
        <f>IF(OR(SwitchPB&lt;&gt;"ON",Universe!$B$1824=""),"",Universe!$B$1824)</f>
        <v/>
      </c>
      <c r="EJG1" s="11">
        <f>IF(OR(SwitchPB&lt;&gt;"ON",Universe!$B$1825=""),"",Universe!$B$1825)</f>
        <v/>
      </c>
      <c r="EJI1" s="11">
        <f>IF(OR(SwitchPB&lt;&gt;"ON",Universe!$B$1826=""),"",Universe!$B$1826)</f>
        <v/>
      </c>
      <c r="EJK1" s="11">
        <f>IF(OR(SwitchPB&lt;&gt;"ON",Universe!$B$1827=""),"",Universe!$B$1827)</f>
        <v/>
      </c>
      <c r="EJM1" s="11">
        <f>IF(OR(SwitchPB&lt;&gt;"ON",Universe!$B$1828=""),"",Universe!$B$1828)</f>
        <v/>
      </c>
      <c r="EJO1" s="11">
        <f>IF(OR(SwitchPB&lt;&gt;"ON",Universe!$B$1829=""),"",Universe!$B$1829)</f>
        <v/>
      </c>
      <c r="EJQ1" s="11">
        <f>IF(OR(SwitchPB&lt;&gt;"ON",Universe!$B$1830=""),"",Universe!$B$1830)</f>
        <v/>
      </c>
      <c r="EJS1" s="11">
        <f>IF(OR(SwitchPB&lt;&gt;"ON",Universe!$B$1831=""),"",Universe!$B$1831)</f>
        <v/>
      </c>
      <c r="EJU1" s="11">
        <f>IF(OR(SwitchPB&lt;&gt;"ON",Universe!$B$1832=""),"",Universe!$B$1832)</f>
        <v/>
      </c>
      <c r="EJW1" s="11">
        <f>IF(OR(SwitchPB&lt;&gt;"ON",Universe!$B$1833=""),"",Universe!$B$1833)</f>
        <v/>
      </c>
      <c r="EJY1" s="11">
        <f>IF(OR(SwitchPB&lt;&gt;"ON",Universe!$B$1834=""),"",Universe!$B$1834)</f>
        <v/>
      </c>
      <c r="EKA1" s="11">
        <f>IF(OR(SwitchPB&lt;&gt;"ON",Universe!$B$1835=""),"",Universe!$B$1835)</f>
        <v/>
      </c>
      <c r="EKC1" s="11">
        <f>IF(OR(SwitchPB&lt;&gt;"ON",Universe!$B$1836=""),"",Universe!$B$1836)</f>
        <v/>
      </c>
      <c r="EKE1" s="11">
        <f>IF(OR(SwitchPB&lt;&gt;"ON",Universe!$B$1837=""),"",Universe!$B$1837)</f>
        <v/>
      </c>
      <c r="EKG1" s="11">
        <f>IF(OR(SwitchPB&lt;&gt;"ON",Universe!$B$1838=""),"",Universe!$B$1838)</f>
        <v/>
      </c>
      <c r="EKI1" s="11">
        <f>IF(OR(SwitchPB&lt;&gt;"ON",Universe!$B$1839=""),"",Universe!$B$1839)</f>
        <v/>
      </c>
      <c r="EKK1" s="11">
        <f>IF(OR(SwitchPB&lt;&gt;"ON",Universe!$B$1840=""),"",Universe!$B$1840)</f>
        <v/>
      </c>
      <c r="EKM1" s="11">
        <f>IF(OR(SwitchPB&lt;&gt;"ON",Universe!$B$1841=""),"",Universe!$B$1841)</f>
        <v/>
      </c>
      <c r="EKO1" s="11">
        <f>IF(OR(SwitchPB&lt;&gt;"ON",Universe!$B$1842=""),"",Universe!$B$1842)</f>
        <v/>
      </c>
      <c r="EKQ1" s="11">
        <f>IF(OR(SwitchPB&lt;&gt;"ON",Universe!$B$1843=""),"",Universe!$B$1843)</f>
        <v/>
      </c>
      <c r="EKS1" s="11">
        <f>IF(OR(SwitchPB&lt;&gt;"ON",Universe!$B$1844=""),"",Universe!$B$1844)</f>
        <v/>
      </c>
      <c r="EKU1" s="11">
        <f>IF(OR(SwitchPB&lt;&gt;"ON",Universe!$B$1845=""),"",Universe!$B$1845)</f>
        <v/>
      </c>
      <c r="EKW1" s="11">
        <f>IF(OR(SwitchPB&lt;&gt;"ON",Universe!$B$1846=""),"",Universe!$B$1846)</f>
        <v/>
      </c>
      <c r="EKY1" s="11">
        <f>IF(OR(SwitchPB&lt;&gt;"ON",Universe!$B$1847=""),"",Universe!$B$1847)</f>
        <v/>
      </c>
      <c r="ELA1" s="11">
        <f>IF(OR(SwitchPB&lt;&gt;"ON",Universe!$B$1848=""),"",Universe!$B$1848)</f>
        <v/>
      </c>
      <c r="ELC1" s="11">
        <f>IF(OR(SwitchPB&lt;&gt;"ON",Universe!$B$1849=""),"",Universe!$B$1849)</f>
        <v/>
      </c>
      <c r="ELE1" s="11">
        <f>IF(OR(SwitchPB&lt;&gt;"ON",Universe!$B$1850=""),"",Universe!$B$1850)</f>
        <v/>
      </c>
      <c r="ELG1" s="11">
        <f>IF(OR(SwitchPB&lt;&gt;"ON",Universe!$B$1851=""),"",Universe!$B$1851)</f>
        <v/>
      </c>
      <c r="ELI1" s="11">
        <f>IF(OR(SwitchPB&lt;&gt;"ON",Universe!$B$1852=""),"",Universe!$B$1852)</f>
        <v/>
      </c>
      <c r="ELK1" s="11">
        <f>IF(OR(SwitchPB&lt;&gt;"ON",Universe!$B$1853=""),"",Universe!$B$1853)</f>
        <v/>
      </c>
      <c r="ELM1" s="11">
        <f>IF(OR(SwitchPB&lt;&gt;"ON",Universe!$B$1854=""),"",Universe!$B$1854)</f>
        <v/>
      </c>
      <c r="ELO1" s="11">
        <f>IF(OR(SwitchPB&lt;&gt;"ON",Universe!$B$1855=""),"",Universe!$B$1855)</f>
        <v/>
      </c>
      <c r="ELQ1" s="11">
        <f>IF(OR(SwitchPB&lt;&gt;"ON",Universe!$B$1856=""),"",Universe!$B$1856)</f>
        <v/>
      </c>
      <c r="ELS1" s="11">
        <f>IF(OR(SwitchPB&lt;&gt;"ON",Universe!$B$1857=""),"",Universe!$B$1857)</f>
        <v/>
      </c>
      <c r="ELU1" s="11">
        <f>IF(OR(SwitchPB&lt;&gt;"ON",Universe!$B$1858=""),"",Universe!$B$1858)</f>
        <v/>
      </c>
      <c r="ELW1" s="11">
        <f>IF(OR(SwitchPB&lt;&gt;"ON",Universe!$B$1859=""),"",Universe!$B$1859)</f>
        <v/>
      </c>
      <c r="ELY1" s="11">
        <f>IF(OR(SwitchPB&lt;&gt;"ON",Universe!$B$1860=""),"",Universe!$B$1860)</f>
        <v/>
      </c>
      <c r="EMA1" s="11">
        <f>IF(OR(SwitchPB&lt;&gt;"ON",Universe!$B$1861=""),"",Universe!$B$1861)</f>
        <v/>
      </c>
      <c r="EMC1" s="11">
        <f>IF(OR(SwitchPB&lt;&gt;"ON",Universe!$B$1862=""),"",Universe!$B$1862)</f>
        <v/>
      </c>
      <c r="EME1" s="11">
        <f>IF(OR(SwitchPB&lt;&gt;"ON",Universe!$B$1863=""),"",Universe!$B$1863)</f>
        <v/>
      </c>
      <c r="EMG1" s="11">
        <f>IF(OR(SwitchPB&lt;&gt;"ON",Universe!$B$1864=""),"",Universe!$B$1864)</f>
        <v/>
      </c>
      <c r="EMI1" s="11">
        <f>IF(OR(SwitchPB&lt;&gt;"ON",Universe!$B$1865=""),"",Universe!$B$1865)</f>
        <v/>
      </c>
      <c r="EMK1" s="11">
        <f>IF(OR(SwitchPB&lt;&gt;"ON",Universe!$B$1866=""),"",Universe!$B$1866)</f>
        <v/>
      </c>
      <c r="EMM1" s="11">
        <f>IF(OR(SwitchPB&lt;&gt;"ON",Universe!$B$1867=""),"",Universe!$B$1867)</f>
        <v/>
      </c>
      <c r="EMO1" s="11">
        <f>IF(OR(SwitchPB&lt;&gt;"ON",Universe!$B$1868=""),"",Universe!$B$1868)</f>
        <v/>
      </c>
      <c r="EMQ1" s="11">
        <f>IF(OR(SwitchPB&lt;&gt;"ON",Universe!$B$1869=""),"",Universe!$B$1869)</f>
        <v/>
      </c>
      <c r="EMS1" s="11">
        <f>IF(OR(SwitchPB&lt;&gt;"ON",Universe!$B$1870=""),"",Universe!$B$1870)</f>
        <v/>
      </c>
      <c r="EMU1" s="11">
        <f>IF(OR(SwitchPB&lt;&gt;"ON",Universe!$B$1871=""),"",Universe!$B$1871)</f>
        <v/>
      </c>
      <c r="EMW1" s="11">
        <f>IF(OR(SwitchPB&lt;&gt;"ON",Universe!$B$1872=""),"",Universe!$B$1872)</f>
        <v/>
      </c>
      <c r="EMY1" s="11">
        <f>IF(OR(SwitchPB&lt;&gt;"ON",Universe!$B$1873=""),"",Universe!$B$1873)</f>
        <v/>
      </c>
      <c r="ENA1" s="11">
        <f>IF(OR(SwitchPB&lt;&gt;"ON",Universe!$B$1874=""),"",Universe!$B$1874)</f>
        <v/>
      </c>
      <c r="ENC1" s="11">
        <f>IF(OR(SwitchPB&lt;&gt;"ON",Universe!$B$1875=""),"",Universe!$B$1875)</f>
        <v/>
      </c>
      <c r="ENE1" s="11">
        <f>IF(OR(SwitchPB&lt;&gt;"ON",Universe!$B$1876=""),"",Universe!$B$1876)</f>
        <v/>
      </c>
      <c r="ENG1" s="11">
        <f>IF(OR(SwitchPB&lt;&gt;"ON",Universe!$B$1877=""),"",Universe!$B$1877)</f>
        <v/>
      </c>
      <c r="ENI1" s="11">
        <f>IF(OR(SwitchPB&lt;&gt;"ON",Universe!$B$1878=""),"",Universe!$B$1878)</f>
        <v/>
      </c>
      <c r="ENK1" s="11">
        <f>IF(OR(SwitchPB&lt;&gt;"ON",Universe!$B$1879=""),"",Universe!$B$1879)</f>
        <v/>
      </c>
      <c r="ENM1" s="11">
        <f>IF(OR(SwitchPB&lt;&gt;"ON",Universe!$B$1880=""),"",Universe!$B$1880)</f>
        <v/>
      </c>
      <c r="ENO1" s="11">
        <f>IF(OR(SwitchPB&lt;&gt;"ON",Universe!$B$1881=""),"",Universe!$B$1881)</f>
        <v/>
      </c>
      <c r="ENQ1" s="11">
        <f>IF(OR(SwitchPB&lt;&gt;"ON",Universe!$B$1882=""),"",Universe!$B$1882)</f>
        <v/>
      </c>
      <c r="ENS1" s="11">
        <f>IF(OR(SwitchPB&lt;&gt;"ON",Universe!$B$1883=""),"",Universe!$B$1883)</f>
        <v/>
      </c>
      <c r="ENU1" s="11">
        <f>IF(OR(SwitchPB&lt;&gt;"ON",Universe!$B$1884=""),"",Universe!$B$1884)</f>
        <v/>
      </c>
      <c r="ENW1" s="11">
        <f>IF(OR(SwitchPB&lt;&gt;"ON",Universe!$B$1885=""),"",Universe!$B$1885)</f>
        <v/>
      </c>
      <c r="ENY1" s="11">
        <f>IF(OR(SwitchPB&lt;&gt;"ON",Universe!$B$1886=""),"",Universe!$B$1886)</f>
        <v/>
      </c>
      <c r="EOA1" s="11">
        <f>IF(OR(SwitchPB&lt;&gt;"ON",Universe!$B$1887=""),"",Universe!$B$1887)</f>
        <v/>
      </c>
      <c r="EOC1" s="11">
        <f>IF(OR(SwitchPB&lt;&gt;"ON",Universe!$B$1888=""),"",Universe!$B$1888)</f>
        <v/>
      </c>
      <c r="EOE1" s="11">
        <f>IF(OR(SwitchPB&lt;&gt;"ON",Universe!$B$1889=""),"",Universe!$B$1889)</f>
        <v/>
      </c>
      <c r="EOG1" s="11">
        <f>IF(OR(SwitchPB&lt;&gt;"ON",Universe!$B$1890=""),"",Universe!$B$1890)</f>
        <v/>
      </c>
      <c r="EOI1" s="11">
        <f>IF(OR(SwitchPB&lt;&gt;"ON",Universe!$B$1891=""),"",Universe!$B$1891)</f>
        <v/>
      </c>
      <c r="EOK1" s="11">
        <f>IF(OR(SwitchPB&lt;&gt;"ON",Universe!$B$1892=""),"",Universe!$B$1892)</f>
        <v/>
      </c>
      <c r="EOM1" s="11">
        <f>IF(OR(SwitchPB&lt;&gt;"ON",Universe!$B$1893=""),"",Universe!$B$1893)</f>
        <v/>
      </c>
      <c r="EOO1" s="11">
        <f>IF(OR(SwitchPB&lt;&gt;"ON",Universe!$B$1894=""),"",Universe!$B$1894)</f>
        <v/>
      </c>
      <c r="EOQ1" s="11">
        <f>IF(OR(SwitchPB&lt;&gt;"ON",Universe!$B$1895=""),"",Universe!$B$1895)</f>
        <v/>
      </c>
      <c r="EOS1" s="11">
        <f>IF(OR(SwitchPB&lt;&gt;"ON",Universe!$B$1896=""),"",Universe!$B$1896)</f>
        <v/>
      </c>
      <c r="EOU1" s="11">
        <f>IF(OR(SwitchPB&lt;&gt;"ON",Universe!$B$1897=""),"",Universe!$B$1897)</f>
        <v/>
      </c>
      <c r="EOW1" s="11">
        <f>IF(OR(SwitchPB&lt;&gt;"ON",Universe!$B$1898=""),"",Universe!$B$1898)</f>
        <v/>
      </c>
      <c r="EOY1" s="11">
        <f>IF(OR(SwitchPB&lt;&gt;"ON",Universe!$B$1899=""),"",Universe!$B$1899)</f>
        <v/>
      </c>
      <c r="EPA1" s="11">
        <f>IF(OR(SwitchPB&lt;&gt;"ON",Universe!$B$1900=""),"",Universe!$B$1900)</f>
        <v/>
      </c>
      <c r="EPC1" s="11">
        <f>IF(OR(SwitchPB&lt;&gt;"ON",Universe!$B$1901=""),"",Universe!$B$1901)</f>
        <v/>
      </c>
      <c r="EPE1" s="11">
        <f>IF(OR(SwitchPB&lt;&gt;"ON",Universe!$B$1902=""),"",Universe!$B$1902)</f>
        <v/>
      </c>
      <c r="EPG1" s="11">
        <f>IF(OR(SwitchPB&lt;&gt;"ON",Universe!$B$1903=""),"",Universe!$B$1903)</f>
        <v/>
      </c>
      <c r="EPI1" s="11">
        <f>IF(OR(SwitchPB&lt;&gt;"ON",Universe!$B$1904=""),"",Universe!$B$1904)</f>
        <v/>
      </c>
      <c r="EPK1" s="11">
        <f>IF(OR(SwitchPB&lt;&gt;"ON",Universe!$B$1905=""),"",Universe!$B$1905)</f>
        <v/>
      </c>
      <c r="EPM1" s="11">
        <f>IF(OR(SwitchPB&lt;&gt;"ON",Universe!$B$1906=""),"",Universe!$B$1906)</f>
        <v/>
      </c>
      <c r="EPO1" s="11">
        <f>IF(OR(SwitchPB&lt;&gt;"ON",Universe!$B$1907=""),"",Universe!$B$1907)</f>
        <v/>
      </c>
      <c r="EPQ1" s="11">
        <f>IF(OR(SwitchPB&lt;&gt;"ON",Universe!$B$1908=""),"",Universe!$B$1908)</f>
        <v/>
      </c>
      <c r="EPS1" s="11">
        <f>IF(OR(SwitchPB&lt;&gt;"ON",Universe!$B$1909=""),"",Universe!$B$1909)</f>
        <v/>
      </c>
      <c r="EPU1" s="11">
        <f>IF(OR(SwitchPB&lt;&gt;"ON",Universe!$B$1910=""),"",Universe!$B$1910)</f>
        <v/>
      </c>
      <c r="EPW1" s="11">
        <f>IF(OR(SwitchPB&lt;&gt;"ON",Universe!$B$1911=""),"",Universe!$B$1911)</f>
        <v/>
      </c>
      <c r="EPY1" s="11">
        <f>IF(OR(SwitchPB&lt;&gt;"ON",Universe!$B$1912=""),"",Universe!$B$1912)</f>
        <v/>
      </c>
      <c r="EQA1" s="11">
        <f>IF(OR(SwitchPB&lt;&gt;"ON",Universe!$B$1913=""),"",Universe!$B$1913)</f>
        <v/>
      </c>
      <c r="EQC1" s="11">
        <f>IF(OR(SwitchPB&lt;&gt;"ON",Universe!$B$1914=""),"",Universe!$B$1914)</f>
        <v/>
      </c>
      <c r="EQE1" s="11">
        <f>IF(OR(SwitchPB&lt;&gt;"ON",Universe!$B$1915=""),"",Universe!$B$1915)</f>
        <v/>
      </c>
      <c r="EQG1" s="11">
        <f>IF(OR(SwitchPB&lt;&gt;"ON",Universe!$B$1916=""),"",Universe!$B$1916)</f>
        <v/>
      </c>
      <c r="EQI1" s="11">
        <f>IF(OR(SwitchPB&lt;&gt;"ON",Universe!$B$1917=""),"",Universe!$B$1917)</f>
        <v/>
      </c>
      <c r="EQK1" s="11">
        <f>IF(OR(SwitchPB&lt;&gt;"ON",Universe!$B$1918=""),"",Universe!$B$1918)</f>
        <v/>
      </c>
      <c r="EQM1" s="11">
        <f>IF(OR(SwitchPB&lt;&gt;"ON",Universe!$B$1919=""),"",Universe!$B$1919)</f>
        <v/>
      </c>
      <c r="EQO1" s="11">
        <f>IF(OR(SwitchPB&lt;&gt;"ON",Universe!$B$1920=""),"",Universe!$B$1920)</f>
        <v/>
      </c>
      <c r="EQQ1" s="11">
        <f>IF(OR(SwitchPB&lt;&gt;"ON",Universe!$B$1921=""),"",Universe!$B$1921)</f>
        <v/>
      </c>
      <c r="EQS1" s="11">
        <f>IF(OR(SwitchPB&lt;&gt;"ON",Universe!$B$1922=""),"",Universe!$B$1922)</f>
        <v/>
      </c>
      <c r="EQU1" s="11">
        <f>IF(OR(SwitchPB&lt;&gt;"ON",Universe!$B$1923=""),"",Universe!$B$1923)</f>
        <v/>
      </c>
      <c r="EQW1" s="11">
        <f>IF(OR(SwitchPB&lt;&gt;"ON",Universe!$B$1924=""),"",Universe!$B$1924)</f>
        <v/>
      </c>
      <c r="EQY1" s="11">
        <f>IF(OR(SwitchPB&lt;&gt;"ON",Universe!$B$1925=""),"",Universe!$B$1925)</f>
        <v/>
      </c>
      <c r="ERA1" s="11">
        <f>IF(OR(SwitchPB&lt;&gt;"ON",Universe!$B$1926=""),"",Universe!$B$1926)</f>
        <v/>
      </c>
      <c r="ERC1" s="11">
        <f>IF(OR(SwitchPB&lt;&gt;"ON",Universe!$B$1927=""),"",Universe!$B$1927)</f>
        <v/>
      </c>
      <c r="ERE1" s="11">
        <f>IF(OR(SwitchPB&lt;&gt;"ON",Universe!$B$1928=""),"",Universe!$B$1928)</f>
        <v/>
      </c>
      <c r="ERG1" s="11">
        <f>IF(OR(SwitchPB&lt;&gt;"ON",Universe!$B$1929=""),"",Universe!$B$1929)</f>
        <v/>
      </c>
      <c r="ERI1" s="11">
        <f>IF(OR(SwitchPB&lt;&gt;"ON",Universe!$B$1930=""),"",Universe!$B$1930)</f>
        <v/>
      </c>
      <c r="ERK1" s="11">
        <f>IF(OR(SwitchPB&lt;&gt;"ON",Universe!$B$1931=""),"",Universe!$B$1931)</f>
        <v/>
      </c>
      <c r="ERM1" s="11">
        <f>IF(OR(SwitchPB&lt;&gt;"ON",Universe!$B$1932=""),"",Universe!$B$1932)</f>
        <v/>
      </c>
      <c r="ERO1" s="11">
        <f>IF(OR(SwitchPB&lt;&gt;"ON",Universe!$B$1933=""),"",Universe!$B$1933)</f>
        <v/>
      </c>
      <c r="ERQ1" s="11">
        <f>IF(OR(SwitchPB&lt;&gt;"ON",Universe!$B$1934=""),"",Universe!$B$1934)</f>
        <v/>
      </c>
      <c r="ERS1" s="11">
        <f>IF(OR(SwitchPB&lt;&gt;"ON",Universe!$B$1935=""),"",Universe!$B$1935)</f>
        <v/>
      </c>
      <c r="ERU1" s="11">
        <f>IF(OR(SwitchPB&lt;&gt;"ON",Universe!$B$1936=""),"",Universe!$B$1936)</f>
        <v/>
      </c>
      <c r="ERW1" s="11">
        <f>IF(OR(SwitchPB&lt;&gt;"ON",Universe!$B$1937=""),"",Universe!$B$1937)</f>
        <v/>
      </c>
      <c r="ERY1" s="11">
        <f>IF(OR(SwitchPB&lt;&gt;"ON",Universe!$B$1938=""),"",Universe!$B$1938)</f>
        <v/>
      </c>
      <c r="ESA1" s="11">
        <f>IF(OR(SwitchPB&lt;&gt;"ON",Universe!$B$1939=""),"",Universe!$B$1939)</f>
        <v/>
      </c>
      <c r="ESC1" s="11">
        <f>IF(OR(SwitchPB&lt;&gt;"ON",Universe!$B$1940=""),"",Universe!$B$1940)</f>
        <v/>
      </c>
      <c r="ESE1" s="11">
        <f>IF(OR(SwitchPB&lt;&gt;"ON",Universe!$B$1941=""),"",Universe!$B$1941)</f>
        <v/>
      </c>
      <c r="ESG1" s="11">
        <f>IF(OR(SwitchPB&lt;&gt;"ON",Universe!$B$1942=""),"",Universe!$B$1942)</f>
        <v/>
      </c>
      <c r="ESI1" s="11">
        <f>IF(OR(SwitchPB&lt;&gt;"ON",Universe!$B$1943=""),"",Universe!$B$1943)</f>
        <v/>
      </c>
      <c r="ESK1" s="11">
        <f>IF(OR(SwitchPB&lt;&gt;"ON",Universe!$B$1944=""),"",Universe!$B$1944)</f>
        <v/>
      </c>
      <c r="ESM1" s="11">
        <f>IF(OR(SwitchPB&lt;&gt;"ON",Universe!$B$1945=""),"",Universe!$B$1945)</f>
        <v/>
      </c>
      <c r="ESO1" s="11">
        <f>IF(OR(SwitchPB&lt;&gt;"ON",Universe!$B$1946=""),"",Universe!$B$1946)</f>
        <v/>
      </c>
      <c r="ESQ1" s="11">
        <f>IF(OR(SwitchPB&lt;&gt;"ON",Universe!$B$1947=""),"",Universe!$B$1947)</f>
        <v/>
      </c>
      <c r="ESS1" s="11">
        <f>IF(OR(SwitchPB&lt;&gt;"ON",Universe!$B$1948=""),"",Universe!$B$1948)</f>
        <v/>
      </c>
      <c r="ESU1" s="11">
        <f>IF(OR(SwitchPB&lt;&gt;"ON",Universe!$B$1949=""),"",Universe!$B$1949)</f>
        <v/>
      </c>
      <c r="ESW1" s="11">
        <f>IF(OR(SwitchPB&lt;&gt;"ON",Universe!$B$1950=""),"",Universe!$B$1950)</f>
        <v/>
      </c>
      <c r="ESY1" s="11">
        <f>IF(OR(SwitchPB&lt;&gt;"ON",Universe!$B$1951=""),"",Universe!$B$1951)</f>
        <v/>
      </c>
      <c r="ETA1" s="11">
        <f>IF(OR(SwitchPB&lt;&gt;"ON",Universe!$B$1952=""),"",Universe!$B$1952)</f>
        <v/>
      </c>
      <c r="ETC1" s="11">
        <f>IF(OR(SwitchPB&lt;&gt;"ON",Universe!$B$1953=""),"",Universe!$B$1953)</f>
        <v/>
      </c>
      <c r="ETE1" s="11">
        <f>IF(OR(SwitchPB&lt;&gt;"ON",Universe!$B$1954=""),"",Universe!$B$1954)</f>
        <v/>
      </c>
      <c r="ETG1" s="11">
        <f>IF(OR(SwitchPB&lt;&gt;"ON",Universe!$B$1955=""),"",Universe!$B$1955)</f>
        <v/>
      </c>
      <c r="ETI1" s="11">
        <f>IF(OR(SwitchPB&lt;&gt;"ON",Universe!$B$1956=""),"",Universe!$B$1956)</f>
        <v/>
      </c>
      <c r="ETK1" s="11">
        <f>IF(OR(SwitchPB&lt;&gt;"ON",Universe!$B$1957=""),"",Universe!$B$1957)</f>
        <v/>
      </c>
      <c r="ETM1" s="11">
        <f>IF(OR(SwitchPB&lt;&gt;"ON",Universe!$B$1958=""),"",Universe!$B$1958)</f>
        <v/>
      </c>
      <c r="ETO1" s="11">
        <f>IF(OR(SwitchPB&lt;&gt;"ON",Universe!$B$1959=""),"",Universe!$B$1959)</f>
        <v/>
      </c>
      <c r="ETQ1" s="11">
        <f>IF(OR(SwitchPB&lt;&gt;"ON",Universe!$B$1960=""),"",Universe!$B$1960)</f>
        <v/>
      </c>
      <c r="ETS1" s="11">
        <f>IF(OR(SwitchPB&lt;&gt;"ON",Universe!$B$1961=""),"",Universe!$B$1961)</f>
        <v/>
      </c>
      <c r="ETU1" s="11">
        <f>IF(OR(SwitchPB&lt;&gt;"ON",Universe!$B$1962=""),"",Universe!$B$1962)</f>
        <v/>
      </c>
      <c r="ETW1" s="11">
        <f>IF(OR(SwitchPB&lt;&gt;"ON",Universe!$B$1963=""),"",Universe!$B$1963)</f>
        <v/>
      </c>
      <c r="ETY1" s="11">
        <f>IF(OR(SwitchPB&lt;&gt;"ON",Universe!$B$1964=""),"",Universe!$B$1964)</f>
        <v/>
      </c>
      <c r="EUA1" s="11">
        <f>IF(OR(SwitchPB&lt;&gt;"ON",Universe!$B$1965=""),"",Universe!$B$1965)</f>
        <v/>
      </c>
      <c r="EUC1" s="11">
        <f>IF(OR(SwitchPB&lt;&gt;"ON",Universe!$B$1966=""),"",Universe!$B$1966)</f>
        <v/>
      </c>
      <c r="EUE1" s="11">
        <f>IF(OR(SwitchPB&lt;&gt;"ON",Universe!$B$1967=""),"",Universe!$B$1967)</f>
        <v/>
      </c>
      <c r="EUG1" s="11">
        <f>IF(OR(SwitchPB&lt;&gt;"ON",Universe!$B$1968=""),"",Universe!$B$1968)</f>
        <v/>
      </c>
      <c r="EUI1" s="11">
        <f>IF(OR(SwitchPB&lt;&gt;"ON",Universe!$B$1969=""),"",Universe!$B$1969)</f>
        <v/>
      </c>
      <c r="EUK1" s="11">
        <f>IF(OR(SwitchPB&lt;&gt;"ON",Universe!$B$1970=""),"",Universe!$B$1970)</f>
        <v/>
      </c>
      <c r="EUM1" s="11">
        <f>IF(OR(SwitchPB&lt;&gt;"ON",Universe!$B$1971=""),"",Universe!$B$1971)</f>
        <v/>
      </c>
      <c r="EUO1" s="11">
        <f>IF(OR(SwitchPB&lt;&gt;"ON",Universe!$B$1972=""),"",Universe!$B$1972)</f>
        <v/>
      </c>
      <c r="EUQ1" s="11">
        <f>IF(OR(SwitchPB&lt;&gt;"ON",Universe!$B$1973=""),"",Universe!$B$1973)</f>
        <v/>
      </c>
      <c r="EUS1" s="11">
        <f>IF(OR(SwitchPB&lt;&gt;"ON",Universe!$B$1974=""),"",Universe!$B$1974)</f>
        <v/>
      </c>
      <c r="EUU1" s="11">
        <f>IF(OR(SwitchPB&lt;&gt;"ON",Universe!$B$1975=""),"",Universe!$B$1975)</f>
        <v/>
      </c>
      <c r="EUW1" s="11">
        <f>IF(OR(SwitchPB&lt;&gt;"ON",Universe!$B$1976=""),"",Universe!$B$1976)</f>
        <v/>
      </c>
      <c r="EUY1" s="11">
        <f>IF(OR(SwitchPB&lt;&gt;"ON",Universe!$B$1977=""),"",Universe!$B$1977)</f>
        <v/>
      </c>
      <c r="EVA1" s="11">
        <f>IF(OR(SwitchPB&lt;&gt;"ON",Universe!$B$1978=""),"",Universe!$B$1978)</f>
        <v/>
      </c>
      <c r="EVC1" s="11">
        <f>IF(OR(SwitchPB&lt;&gt;"ON",Universe!$B$1979=""),"",Universe!$B$1979)</f>
        <v/>
      </c>
      <c r="EVE1" s="11">
        <f>IF(OR(SwitchPB&lt;&gt;"ON",Universe!$B$1980=""),"",Universe!$B$1980)</f>
        <v/>
      </c>
      <c r="EVG1" s="11">
        <f>IF(OR(SwitchPB&lt;&gt;"ON",Universe!$B$1981=""),"",Universe!$B$1981)</f>
        <v/>
      </c>
      <c r="EVI1" s="11">
        <f>IF(OR(SwitchPB&lt;&gt;"ON",Universe!$B$1982=""),"",Universe!$B$1982)</f>
        <v/>
      </c>
      <c r="EVK1" s="11">
        <f>IF(OR(SwitchPB&lt;&gt;"ON",Universe!$B$1983=""),"",Universe!$B$1983)</f>
        <v/>
      </c>
      <c r="EVM1" s="11">
        <f>IF(OR(SwitchPB&lt;&gt;"ON",Universe!$B$1984=""),"",Universe!$B$1984)</f>
        <v/>
      </c>
      <c r="EVO1" s="11">
        <f>IF(OR(SwitchPB&lt;&gt;"ON",Universe!$B$1985=""),"",Universe!$B$1985)</f>
        <v/>
      </c>
      <c r="EVQ1" s="11">
        <f>IF(OR(SwitchPB&lt;&gt;"ON",Universe!$B$1986=""),"",Universe!$B$1986)</f>
        <v/>
      </c>
      <c r="EVS1" s="11">
        <f>IF(OR(SwitchPB&lt;&gt;"ON",Universe!$B$1987=""),"",Universe!$B$1987)</f>
        <v/>
      </c>
      <c r="EVU1" s="11">
        <f>IF(OR(SwitchPB&lt;&gt;"ON",Universe!$B$1988=""),"",Universe!$B$1988)</f>
        <v/>
      </c>
      <c r="EVW1" s="11">
        <f>IF(OR(SwitchPB&lt;&gt;"ON",Universe!$B$1989=""),"",Universe!$B$1989)</f>
        <v/>
      </c>
      <c r="EVY1" s="11">
        <f>IF(OR(SwitchPB&lt;&gt;"ON",Universe!$B$1990=""),"",Universe!$B$1990)</f>
        <v/>
      </c>
      <c r="EWA1" s="11">
        <f>IF(OR(SwitchPB&lt;&gt;"ON",Universe!$B$1991=""),"",Universe!$B$1991)</f>
        <v/>
      </c>
      <c r="EWC1" s="11">
        <f>IF(OR(SwitchPB&lt;&gt;"ON",Universe!$B$1992=""),"",Universe!$B$1992)</f>
        <v/>
      </c>
      <c r="EWE1" s="11">
        <f>IF(OR(SwitchPB&lt;&gt;"ON",Universe!$B$1993=""),"",Universe!$B$1993)</f>
        <v/>
      </c>
      <c r="EWG1" s="11">
        <f>IF(OR(SwitchPB&lt;&gt;"ON",Universe!$B$1994=""),"",Universe!$B$1994)</f>
        <v/>
      </c>
      <c r="EWI1" s="11">
        <f>IF(OR(SwitchPB&lt;&gt;"ON",Universe!$B$1995=""),"",Universe!$B$1995)</f>
        <v/>
      </c>
      <c r="EWK1" s="11">
        <f>IF(OR(SwitchPB&lt;&gt;"ON",Universe!$B$1996=""),"",Universe!$B$1996)</f>
        <v/>
      </c>
      <c r="EWM1" s="11">
        <f>IF(OR(SwitchPB&lt;&gt;"ON",Universe!$B$1997=""),"",Universe!$B$1997)</f>
        <v/>
      </c>
      <c r="EWO1" s="11">
        <f>IF(OR(SwitchPB&lt;&gt;"ON",Universe!$B$1998=""),"",Universe!$B$1998)</f>
        <v/>
      </c>
      <c r="EWQ1" s="11">
        <f>IF(OR(SwitchPB&lt;&gt;"ON",Universe!$B$1999=""),"",Universe!$B$1999)</f>
        <v/>
      </c>
      <c r="EWS1" s="11">
        <f>IF(OR(SwitchPB&lt;&gt;"ON",Universe!$B$2000=""),"",Universe!$B$2000)</f>
        <v/>
      </c>
      <c r="EWU1" s="11">
        <f>IF(OR(SwitchPB&lt;&gt;"ON",Universe!$B$2001=""),"",Universe!$B$2001)</f>
        <v/>
      </c>
    </row>
    <row r="2" spans="1:4000">
      <c r="A2" s="8">
        <f>COUNT(B4:B400)</f>
        <v>0</v>
      </c>
      <c r="C2" s="8">
        <f>COUNT(D4:D400)</f>
        <v>0</v>
      </c>
      <c r="E2" s="8">
        <f>COUNT(F4:F400)</f>
        <v>0</v>
      </c>
      <c r="G2" s="8">
        <f>COUNT(H4:H400)</f>
        <v>0</v>
      </c>
      <c r="I2" s="8">
        <f>COUNT(J4:J400)</f>
        <v>0</v>
      </c>
      <c r="K2" s="8">
        <f>COUNT(L4:L400)</f>
        <v>0</v>
      </c>
      <c r="M2" s="8">
        <f>COUNT(N4:N400)</f>
        <v>0</v>
      </c>
      <c r="O2" s="8">
        <f>COUNT(P4:P400)</f>
        <v>0</v>
      </c>
      <c r="Q2" s="8">
        <f>COUNT(R4:R400)</f>
        <v>0</v>
      </c>
      <c r="S2" s="8">
        <f>COUNT(T4:T400)</f>
        <v>0</v>
      </c>
      <c r="U2" s="8">
        <f>COUNT(V4:V400)</f>
        <v>0</v>
      </c>
      <c r="W2" s="8">
        <f>COUNT(X4:X400)</f>
        <v>0</v>
      </c>
      <c r="Y2" s="8">
        <f>COUNT(Z4:Z400)</f>
        <v>0</v>
      </c>
      <c r="AA2" s="8">
        <f>COUNT(AB4:AB400)</f>
        <v>0</v>
      </c>
      <c r="AC2" s="8">
        <f>COUNT(AD4:AD400)</f>
        <v>0</v>
      </c>
      <c r="AE2" s="8">
        <f>COUNT(AF4:AF400)</f>
        <v>0</v>
      </c>
      <c r="AG2" s="8">
        <f>COUNT(AH4:AH400)</f>
        <v>0</v>
      </c>
      <c r="AI2" s="8">
        <f>COUNT(AJ4:AJ400)</f>
        <v>0</v>
      </c>
      <c r="AK2" s="8">
        <f>COUNT(AL4:AL400)</f>
        <v>0</v>
      </c>
      <c r="AM2" s="8">
        <f>COUNT(AN4:AN400)</f>
        <v>0</v>
      </c>
      <c r="AO2" s="8">
        <f>COUNT(AP4:AP400)</f>
        <v>0</v>
      </c>
      <c r="AQ2" s="8">
        <f>COUNT(AR4:AR400)</f>
        <v>0</v>
      </c>
      <c r="AS2" s="8">
        <f>COUNT(AT4:AT400)</f>
        <v>0</v>
      </c>
      <c r="AU2" s="8">
        <f>COUNT(AV4:AV400)</f>
        <v>0</v>
      </c>
      <c r="AW2" s="8">
        <f>COUNT(AX4:AX400)</f>
        <v>0</v>
      </c>
      <c r="AY2" s="8">
        <f>COUNT(AZ4:AZ400)</f>
        <v>0</v>
      </c>
      <c r="BA2" s="8">
        <f>COUNT(BB4:BB400)</f>
        <v>0</v>
      </c>
      <c r="BC2" s="8">
        <f>COUNT(BD4:BD400)</f>
        <v>0</v>
      </c>
      <c r="BE2" s="8">
        <f>COUNT(BF4:BF400)</f>
        <v>0</v>
      </c>
      <c r="BG2" s="8">
        <f>COUNT(BH4:BH400)</f>
        <v>0</v>
      </c>
      <c r="BI2" s="8">
        <f>COUNT(BJ4:BJ400)</f>
        <v>0</v>
      </c>
      <c r="BK2" s="8">
        <f>COUNT(BL4:BL400)</f>
        <v>0</v>
      </c>
      <c r="BM2" s="8">
        <f>COUNT(BN4:BN400)</f>
        <v>0</v>
      </c>
      <c r="BO2" s="8">
        <f>COUNT(BP4:BP400)</f>
        <v>0</v>
      </c>
      <c r="BQ2" s="8">
        <f>COUNT(BR4:BR400)</f>
        <v>0</v>
      </c>
      <c r="BS2" s="8">
        <f>COUNT(BT4:BT400)</f>
        <v>0</v>
      </c>
      <c r="BU2" s="8">
        <f>COUNT(BV4:BV400)</f>
        <v>0</v>
      </c>
      <c r="BW2" s="8">
        <f>COUNT(BX4:BX400)</f>
        <v>0</v>
      </c>
      <c r="BY2" s="8">
        <f>COUNT(BZ4:BZ400)</f>
        <v>0</v>
      </c>
      <c r="CA2" s="8">
        <f>COUNT(CB4:CB400)</f>
        <v>0</v>
      </c>
      <c r="CC2" s="8">
        <f>COUNT(CD4:CD400)</f>
        <v>0</v>
      </c>
      <c r="CE2" s="8">
        <f>COUNT(CF4:CF400)</f>
        <v>0</v>
      </c>
      <c r="CG2" s="8">
        <f>COUNT(CH4:CH400)</f>
        <v>0</v>
      </c>
      <c r="CI2" s="8">
        <f>COUNT(CJ4:CJ400)</f>
        <v>0</v>
      </c>
      <c r="CK2" s="8">
        <f>COUNT(CL4:CL400)</f>
        <v>0</v>
      </c>
      <c r="CM2" s="8">
        <f>COUNT(CN4:CN400)</f>
        <v>0</v>
      </c>
      <c r="CO2" s="8">
        <f>COUNT(CP4:CP400)</f>
        <v>0</v>
      </c>
      <c r="CQ2" s="8">
        <f>COUNT(CR4:CR400)</f>
        <v>0</v>
      </c>
      <c r="CS2" s="8">
        <f>COUNT(CT4:CT400)</f>
        <v>0</v>
      </c>
      <c r="CU2" s="8">
        <f>COUNT(CV4:CV400)</f>
        <v>0</v>
      </c>
      <c r="CW2" s="8">
        <f>COUNT(CX4:CX400)</f>
        <v>0</v>
      </c>
      <c r="CY2" s="8">
        <f>COUNT(CZ4:CZ400)</f>
        <v>0</v>
      </c>
      <c r="DA2" s="8">
        <f>COUNT(DB4:DB400)</f>
        <v>0</v>
      </c>
      <c r="DC2" s="8">
        <f>COUNT(DD4:DD400)</f>
        <v>0</v>
      </c>
      <c r="DE2" s="8">
        <f>COUNT(DF4:DF400)</f>
        <v>0</v>
      </c>
      <c r="DG2" s="8">
        <f>COUNT(DH4:DH400)</f>
        <v>0</v>
      </c>
      <c r="DI2" s="8">
        <f>COUNT(DJ4:DJ400)</f>
        <v>0</v>
      </c>
      <c r="DK2" s="8">
        <f>COUNT(DL4:DL400)</f>
        <v>0</v>
      </c>
      <c r="DM2" s="8">
        <f>COUNT(DN4:DN400)</f>
        <v>0</v>
      </c>
      <c r="DO2" s="8">
        <f>COUNT(DP4:DP400)</f>
        <v>0</v>
      </c>
      <c r="DQ2" s="8">
        <f>COUNT(DR4:DR400)</f>
        <v>0</v>
      </c>
      <c r="DS2" s="8">
        <f>COUNT(DT4:DT400)</f>
        <v>0</v>
      </c>
      <c r="DU2" s="8">
        <f>COUNT(DV4:DV400)</f>
        <v>0</v>
      </c>
      <c r="DW2" s="8">
        <f>COUNT(DX4:DX400)</f>
        <v>0</v>
      </c>
      <c r="DY2" s="8">
        <f>COUNT(DZ4:DZ400)</f>
        <v>0</v>
      </c>
      <c r="EA2" s="8">
        <f>COUNT(EB4:EB400)</f>
        <v>0</v>
      </c>
      <c r="EC2" s="8">
        <f>COUNT(ED4:ED400)</f>
        <v>0</v>
      </c>
      <c r="EE2" s="8">
        <f>COUNT(EF4:EF400)</f>
        <v>0</v>
      </c>
      <c r="EG2" s="8">
        <f>COUNT(EH4:EH400)</f>
        <v>0</v>
      </c>
      <c r="EI2" s="8">
        <f>COUNT(EJ4:EJ400)</f>
        <v>0</v>
      </c>
      <c r="EK2" s="8">
        <f>COUNT(EL4:EL400)</f>
        <v>0</v>
      </c>
      <c r="EM2" s="8">
        <f>COUNT(EN4:EN400)</f>
        <v>0</v>
      </c>
      <c r="EO2" s="8">
        <f>COUNT(EP4:EP400)</f>
        <v>0</v>
      </c>
      <c r="EQ2" s="8">
        <f>COUNT(ER4:ER400)</f>
        <v>0</v>
      </c>
      <c r="ES2" s="8">
        <f>COUNT(ET4:ET400)</f>
        <v>0</v>
      </c>
      <c r="EU2" s="8">
        <f>COUNT(EV4:EV400)</f>
        <v>0</v>
      </c>
      <c r="EW2" s="8">
        <f>COUNT(EX4:EX400)</f>
        <v>0</v>
      </c>
      <c r="EY2" s="8">
        <f>COUNT(EZ4:EZ400)</f>
        <v>0</v>
      </c>
      <c r="FA2" s="8">
        <f>COUNT(FB4:FB400)</f>
        <v>0</v>
      </c>
      <c r="FC2" s="8">
        <f>COUNT(FD4:FD400)</f>
        <v>0</v>
      </c>
      <c r="FE2" s="8">
        <f>COUNT(FF4:FF400)</f>
        <v>0</v>
      </c>
      <c r="FG2" s="8">
        <f>COUNT(FH4:FH400)</f>
        <v>0</v>
      </c>
      <c r="FI2" s="8">
        <f>COUNT(FJ4:FJ400)</f>
        <v>0</v>
      </c>
      <c r="FK2" s="8">
        <f>COUNT(FL4:FL400)</f>
        <v>0</v>
      </c>
      <c r="FM2" s="8">
        <f>COUNT(FN4:FN400)</f>
        <v>0</v>
      </c>
      <c r="FO2" s="8">
        <f>COUNT(FP4:FP400)</f>
        <v>0</v>
      </c>
      <c r="FQ2" s="8">
        <f>COUNT(FR4:FR400)</f>
        <v>0</v>
      </c>
      <c r="FS2" s="8">
        <f>COUNT(FT4:FT400)</f>
        <v>0</v>
      </c>
      <c r="FU2" s="8">
        <f>COUNT(FV4:FV400)</f>
        <v>0</v>
      </c>
      <c r="FW2" s="8">
        <f>COUNT(FX4:FX400)</f>
        <v>0</v>
      </c>
      <c r="FY2" s="8">
        <f>COUNT(FZ4:FZ400)</f>
        <v>0</v>
      </c>
      <c r="GA2" s="8">
        <f>COUNT(GB4:GB400)</f>
        <v>0</v>
      </c>
      <c r="GC2" s="8">
        <f>COUNT(GD4:GD400)</f>
        <v>0</v>
      </c>
      <c r="GE2" s="8">
        <f>COUNT(GF4:GF400)</f>
        <v>0</v>
      </c>
      <c r="GG2" s="8">
        <f>COUNT(GH4:GH400)</f>
        <v>0</v>
      </c>
      <c r="GI2" s="8">
        <f>COUNT(GJ4:GJ400)</f>
        <v>0</v>
      </c>
      <c r="GK2" s="8">
        <f>COUNT(GL4:GL400)</f>
        <v>0</v>
      </c>
      <c r="GM2" s="8">
        <f>COUNT(GN4:GN400)</f>
        <v>0</v>
      </c>
      <c r="GO2" s="8">
        <f>COUNT(GP4:GP400)</f>
        <v>0</v>
      </c>
      <c r="GQ2" s="8">
        <f>COUNT(GR4:GR400)</f>
        <v>0</v>
      </c>
      <c r="GS2" s="8">
        <f>COUNT(GT4:GT400)</f>
        <v>0</v>
      </c>
      <c r="GU2" s="8">
        <f>COUNT(GV4:GV400)</f>
        <v>0</v>
      </c>
      <c r="GW2" s="8">
        <f>COUNT(GX4:GX400)</f>
        <v>0</v>
      </c>
      <c r="GY2" s="8">
        <f>COUNT(GZ4:GZ400)</f>
        <v>0</v>
      </c>
      <c r="HA2" s="8">
        <f>COUNT(HB4:HB400)</f>
        <v>0</v>
      </c>
      <c r="HC2" s="8">
        <f>COUNT(HD4:HD400)</f>
        <v>0</v>
      </c>
      <c r="HE2" s="8">
        <f>COUNT(HF4:HF400)</f>
        <v>0</v>
      </c>
      <c r="HG2" s="8">
        <f>COUNT(HH4:HH400)</f>
        <v>0</v>
      </c>
      <c r="HI2" s="8">
        <f>COUNT(HJ4:HJ400)</f>
        <v>0</v>
      </c>
      <c r="HK2" s="8">
        <f>COUNT(HL4:HL400)</f>
        <v>0</v>
      </c>
      <c r="HM2" s="8">
        <f>COUNT(HN4:HN400)</f>
        <v>0</v>
      </c>
      <c r="HO2" s="8">
        <f>COUNT(HP4:HP400)</f>
        <v>0</v>
      </c>
      <c r="HQ2" s="8">
        <f>COUNT(HR4:HR400)</f>
        <v>0</v>
      </c>
      <c r="HS2" s="8">
        <f>COUNT(HT4:HT400)</f>
        <v>0</v>
      </c>
      <c r="HU2" s="8">
        <f>COUNT(HV4:HV400)</f>
        <v>0</v>
      </c>
      <c r="HW2" s="8">
        <f>COUNT(HX4:HX400)</f>
        <v>0</v>
      </c>
      <c r="HY2" s="8">
        <f>COUNT(HZ4:HZ400)</f>
        <v>0</v>
      </c>
      <c r="IA2" s="8">
        <f>COUNT(IB4:IB400)</f>
        <v>0</v>
      </c>
      <c r="IC2" s="8">
        <f>COUNT(ID4:ID400)</f>
        <v>0</v>
      </c>
      <c r="IE2" s="8">
        <f>COUNT(IF4:IF400)</f>
        <v>0</v>
      </c>
      <c r="IG2" s="8">
        <f>COUNT(IH4:IH400)</f>
        <v>0</v>
      </c>
      <c r="II2" s="8">
        <f>COUNT(IJ4:IJ400)</f>
        <v>0</v>
      </c>
      <c r="IK2" s="8">
        <f>COUNT(IL4:IL400)</f>
        <v>0</v>
      </c>
      <c r="IM2" s="8">
        <f>COUNT(IN4:IN400)</f>
        <v>0</v>
      </c>
      <c r="IO2" s="8">
        <f>COUNT(IP4:IP400)</f>
        <v>0</v>
      </c>
      <c r="IQ2" s="8">
        <f>COUNT(IR4:IR400)</f>
        <v>0</v>
      </c>
      <c r="IS2" s="8">
        <f>COUNT(IT4:IT400)</f>
        <v>0</v>
      </c>
      <c r="IU2" s="8">
        <f>COUNT(IV4:IV400)</f>
        <v>0</v>
      </c>
      <c r="IW2" s="8">
        <f>COUNT(IX4:IX400)</f>
        <v>0</v>
      </c>
      <c r="IY2" s="8">
        <f>COUNT(IZ4:IZ400)</f>
        <v>0</v>
      </c>
      <c r="JA2" s="8">
        <f>COUNT(JB4:JB400)</f>
        <v>0</v>
      </c>
      <c r="JC2" s="8">
        <f>COUNT(JD4:JD400)</f>
        <v>0</v>
      </c>
      <c r="JE2" s="8">
        <f>COUNT(JF4:JF400)</f>
        <v>0</v>
      </c>
      <c r="JG2" s="8">
        <f>COUNT(JH4:JH400)</f>
        <v>0</v>
      </c>
      <c r="JI2" s="8">
        <f>COUNT(JJ4:JJ400)</f>
        <v>0</v>
      </c>
      <c r="JK2" s="8">
        <f>COUNT(JL4:JL400)</f>
        <v>0</v>
      </c>
      <c r="JM2" s="8">
        <f>COUNT(JN4:JN400)</f>
        <v>0</v>
      </c>
      <c r="JO2" s="8">
        <f>COUNT(JP4:JP400)</f>
        <v>0</v>
      </c>
      <c r="JQ2" s="8">
        <f>COUNT(JR4:JR400)</f>
        <v>0</v>
      </c>
      <c r="JS2" s="8">
        <f>COUNT(JT4:JT400)</f>
        <v>0</v>
      </c>
      <c r="JU2" s="8">
        <f>COUNT(JV4:JV400)</f>
        <v>0</v>
      </c>
      <c r="JW2" s="8">
        <f>COUNT(JX4:JX400)</f>
        <v>0</v>
      </c>
      <c r="JY2" s="8">
        <f>COUNT(JZ4:JZ400)</f>
        <v>0</v>
      </c>
      <c r="KA2" s="8">
        <f>COUNT(KB4:KB400)</f>
        <v>0</v>
      </c>
      <c r="KC2" s="8">
        <f>COUNT(KD4:KD400)</f>
        <v>0</v>
      </c>
      <c r="KE2" s="8">
        <f>COUNT(KF4:KF400)</f>
        <v>0</v>
      </c>
      <c r="KG2" s="8">
        <f>COUNT(KH4:KH400)</f>
        <v>0</v>
      </c>
      <c r="KI2" s="8">
        <f>COUNT(KJ4:KJ400)</f>
        <v>0</v>
      </c>
      <c r="KK2" s="8">
        <f>COUNT(KL4:KL400)</f>
        <v>0</v>
      </c>
      <c r="KM2" s="8">
        <f>COUNT(KN4:KN400)</f>
        <v>0</v>
      </c>
      <c r="KO2" s="8">
        <f>COUNT(KP4:KP400)</f>
        <v>0</v>
      </c>
      <c r="KQ2" s="8">
        <f>COUNT(KR4:KR400)</f>
        <v>0</v>
      </c>
      <c r="KS2" s="8">
        <f>COUNT(KT4:KT400)</f>
        <v>0</v>
      </c>
      <c r="KU2" s="8">
        <f>COUNT(KV4:KV400)</f>
        <v>0</v>
      </c>
      <c r="KW2" s="8">
        <f>COUNT(KX4:KX400)</f>
        <v>0</v>
      </c>
      <c r="KY2" s="8">
        <f>COUNT(KZ4:KZ400)</f>
        <v>0</v>
      </c>
      <c r="LA2" s="8">
        <f>COUNT(LB4:LB400)</f>
        <v>0</v>
      </c>
      <c r="LC2" s="8">
        <f>COUNT(LD4:LD400)</f>
        <v>0</v>
      </c>
      <c r="LE2" s="8">
        <f>COUNT(LF4:LF400)</f>
        <v>0</v>
      </c>
      <c r="LG2" s="8">
        <f>COUNT(LH4:LH400)</f>
        <v>0</v>
      </c>
      <c r="LI2" s="8">
        <f>COUNT(LJ4:LJ400)</f>
        <v>0</v>
      </c>
      <c r="LK2" s="8">
        <f>COUNT(LL4:LL400)</f>
        <v>0</v>
      </c>
      <c r="LM2" s="8">
        <f>COUNT(LN4:LN400)</f>
        <v>0</v>
      </c>
      <c r="LO2" s="8">
        <f>COUNT(LP4:LP400)</f>
        <v>0</v>
      </c>
      <c r="LQ2" s="8">
        <f>COUNT(LR4:LR400)</f>
        <v>0</v>
      </c>
      <c r="LS2" s="8">
        <f>COUNT(LT4:LT400)</f>
        <v>0</v>
      </c>
      <c r="LU2" s="8">
        <f>COUNT(LV4:LV400)</f>
        <v>0</v>
      </c>
      <c r="LW2" s="8">
        <f>COUNT(LX4:LX400)</f>
        <v>0</v>
      </c>
      <c r="LY2" s="8">
        <f>COUNT(LZ4:LZ400)</f>
        <v>0</v>
      </c>
      <c r="MA2" s="8">
        <f>COUNT(MB4:MB400)</f>
        <v>0</v>
      </c>
      <c r="MC2" s="8">
        <f>COUNT(MD4:MD400)</f>
        <v>0</v>
      </c>
      <c r="ME2" s="8">
        <f>COUNT(MF4:MF400)</f>
        <v>0</v>
      </c>
      <c r="MG2" s="8">
        <f>COUNT(MH4:MH400)</f>
        <v>0</v>
      </c>
      <c r="MI2" s="8">
        <f>COUNT(MJ4:MJ400)</f>
        <v>0</v>
      </c>
      <c r="MK2" s="8">
        <f>COUNT(ML4:ML400)</f>
        <v>0</v>
      </c>
      <c r="MM2" s="8">
        <f>COUNT(MN4:MN400)</f>
        <v>0</v>
      </c>
      <c r="MO2" s="8">
        <f>COUNT(MP4:MP400)</f>
        <v>0</v>
      </c>
      <c r="MQ2" s="8">
        <f>COUNT(MR4:MR400)</f>
        <v>0</v>
      </c>
      <c r="MS2" s="8">
        <f>COUNT(MT4:MT400)</f>
        <v>0</v>
      </c>
      <c r="MU2" s="8">
        <f>COUNT(MV4:MV400)</f>
        <v>0</v>
      </c>
      <c r="MW2" s="8">
        <f>COUNT(MX4:MX400)</f>
        <v>0</v>
      </c>
      <c r="MY2" s="8">
        <f>COUNT(MZ4:MZ400)</f>
        <v>0</v>
      </c>
      <c r="NA2" s="8">
        <f>COUNT(NB4:NB400)</f>
        <v>0</v>
      </c>
      <c r="NC2" s="8">
        <f>COUNT(ND4:ND400)</f>
        <v>0</v>
      </c>
      <c r="NE2" s="8">
        <f>COUNT(NF4:NF400)</f>
        <v>0</v>
      </c>
      <c r="NG2" s="8">
        <f>COUNT(NH4:NH400)</f>
        <v>0</v>
      </c>
      <c r="NI2" s="8">
        <f>COUNT(NJ4:NJ400)</f>
        <v>0</v>
      </c>
      <c r="NK2" s="8">
        <f>COUNT(NL4:NL400)</f>
        <v>0</v>
      </c>
      <c r="NM2" s="8">
        <f>COUNT(NN4:NN400)</f>
        <v>0</v>
      </c>
      <c r="NO2" s="8">
        <f>COUNT(NP4:NP400)</f>
        <v>0</v>
      </c>
      <c r="NQ2" s="8">
        <f>COUNT(NR4:NR400)</f>
        <v>0</v>
      </c>
      <c r="NS2" s="8">
        <f>COUNT(NT4:NT400)</f>
        <v>0</v>
      </c>
      <c r="NU2" s="8">
        <f>COUNT(NV4:NV400)</f>
        <v>0</v>
      </c>
      <c r="NW2" s="8">
        <f>COUNT(NX4:NX400)</f>
        <v>0</v>
      </c>
      <c r="NY2" s="8">
        <f>COUNT(NZ4:NZ400)</f>
        <v>0</v>
      </c>
      <c r="OA2" s="8">
        <f>COUNT(OB4:OB400)</f>
        <v>0</v>
      </c>
      <c r="OC2" s="8">
        <f>COUNT(OD4:OD400)</f>
        <v>0</v>
      </c>
      <c r="OE2" s="8">
        <f>COUNT(OF4:OF400)</f>
        <v>0</v>
      </c>
      <c r="OG2" s="8">
        <f>COUNT(OH4:OH400)</f>
        <v>0</v>
      </c>
      <c r="OI2" s="8">
        <f>COUNT(OJ4:OJ400)</f>
        <v>0</v>
      </c>
      <c r="OK2" s="8">
        <f>COUNT(OL4:OL400)</f>
        <v>0</v>
      </c>
      <c r="OM2" s="8">
        <f>COUNT(ON4:ON400)</f>
        <v>0</v>
      </c>
      <c r="OO2" s="8">
        <f>COUNT(OP4:OP400)</f>
        <v>0</v>
      </c>
      <c r="OQ2" s="8">
        <f>COUNT(OR4:OR400)</f>
        <v>0</v>
      </c>
      <c r="OS2" s="8">
        <f>COUNT(OT4:OT400)</f>
        <v>0</v>
      </c>
      <c r="OU2" s="8">
        <f>COUNT(OV4:OV400)</f>
        <v>0</v>
      </c>
      <c r="OW2" s="8">
        <f>COUNT(OX4:OX400)</f>
        <v>0</v>
      </c>
      <c r="OY2" s="8">
        <f>COUNT(OZ4:OZ400)</f>
        <v>0</v>
      </c>
      <c r="PA2" s="8">
        <f>COUNT(PB4:PB400)</f>
        <v>0</v>
      </c>
      <c r="PC2" s="8">
        <f>COUNT(PD4:PD400)</f>
        <v>0</v>
      </c>
      <c r="PE2" s="8">
        <f>COUNT(PF4:PF400)</f>
        <v>0</v>
      </c>
      <c r="PG2" s="8">
        <f>COUNT(PH4:PH400)</f>
        <v>0</v>
      </c>
      <c r="PI2" s="8">
        <f>COUNT(PJ4:PJ400)</f>
        <v>0</v>
      </c>
      <c r="PK2" s="8">
        <f>COUNT(PL4:PL400)</f>
        <v>0</v>
      </c>
      <c r="PM2" s="8">
        <f>COUNT(PN4:PN400)</f>
        <v>0</v>
      </c>
      <c r="PO2" s="8">
        <f>COUNT(PP4:PP400)</f>
        <v>0</v>
      </c>
      <c r="PQ2" s="8">
        <f>COUNT(PR4:PR400)</f>
        <v>0</v>
      </c>
      <c r="PS2" s="8">
        <f>COUNT(PT4:PT400)</f>
        <v>0</v>
      </c>
      <c r="PU2" s="8">
        <f>COUNT(PV4:PV400)</f>
        <v>0</v>
      </c>
      <c r="PW2" s="8">
        <f>COUNT(PX4:PX400)</f>
        <v>0</v>
      </c>
      <c r="PY2" s="8">
        <f>COUNT(PZ4:PZ400)</f>
        <v>0</v>
      </c>
      <c r="QA2" s="8">
        <f>COUNT(QB4:QB400)</f>
        <v>0</v>
      </c>
      <c r="QC2" s="8">
        <f>COUNT(QD4:QD400)</f>
        <v>0</v>
      </c>
      <c r="QE2" s="8">
        <f>COUNT(QF4:QF400)</f>
        <v>0</v>
      </c>
      <c r="QG2" s="8">
        <f>COUNT(QH4:QH400)</f>
        <v>0</v>
      </c>
      <c r="QI2" s="8">
        <f>COUNT(QJ4:QJ400)</f>
        <v>0</v>
      </c>
      <c r="QK2" s="8">
        <f>COUNT(QL4:QL400)</f>
        <v>0</v>
      </c>
      <c r="QM2" s="8">
        <f>COUNT(QN4:QN400)</f>
        <v>0</v>
      </c>
      <c r="QO2" s="8">
        <f>COUNT(QP4:QP400)</f>
        <v>0</v>
      </c>
      <c r="QQ2" s="8">
        <f>COUNT(QR4:QR400)</f>
        <v>0</v>
      </c>
      <c r="QS2" s="8">
        <f>COUNT(QT4:QT400)</f>
        <v>0</v>
      </c>
      <c r="QU2" s="8">
        <f>COUNT(QV4:QV400)</f>
        <v>0</v>
      </c>
      <c r="QW2" s="8">
        <f>COUNT(QX4:QX400)</f>
        <v>0</v>
      </c>
      <c r="QY2" s="8">
        <f>COUNT(QZ4:QZ400)</f>
        <v>0</v>
      </c>
      <c r="RA2" s="8">
        <f>COUNT(RB4:RB400)</f>
        <v>0</v>
      </c>
      <c r="RC2" s="8">
        <f>COUNT(RD4:RD400)</f>
        <v>0</v>
      </c>
      <c r="RE2" s="8">
        <f>COUNT(RF4:RF400)</f>
        <v>0</v>
      </c>
      <c r="RG2" s="8">
        <f>COUNT(RH4:RH400)</f>
        <v>0</v>
      </c>
      <c r="RI2" s="8">
        <f>COUNT(RJ4:RJ400)</f>
        <v>0</v>
      </c>
      <c r="RK2" s="8">
        <f>COUNT(RL4:RL400)</f>
        <v>0</v>
      </c>
      <c r="RM2" s="8">
        <f>COUNT(RN4:RN400)</f>
        <v>0</v>
      </c>
      <c r="RO2" s="8">
        <f>COUNT(RP4:RP400)</f>
        <v>0</v>
      </c>
      <c r="RQ2" s="8">
        <f>COUNT(RR4:RR400)</f>
        <v>0</v>
      </c>
      <c r="RS2" s="8">
        <f>COUNT(RT4:RT400)</f>
        <v>0</v>
      </c>
      <c r="RU2" s="8">
        <f>COUNT(RV4:RV400)</f>
        <v>0</v>
      </c>
      <c r="RW2" s="8">
        <f>COUNT(RX4:RX400)</f>
        <v>0</v>
      </c>
      <c r="RY2" s="8">
        <f>COUNT(RZ4:RZ400)</f>
        <v>0</v>
      </c>
      <c r="SA2" s="8">
        <f>COUNT(SB4:SB400)</f>
        <v>0</v>
      </c>
      <c r="SC2" s="8">
        <f>COUNT(SD4:SD400)</f>
        <v>0</v>
      </c>
      <c r="SE2" s="8">
        <f>COUNT(SF4:SF400)</f>
        <v>0</v>
      </c>
      <c r="SG2" s="8">
        <f>COUNT(SH4:SH400)</f>
        <v>0</v>
      </c>
      <c r="SI2" s="8">
        <f>COUNT(SJ4:SJ400)</f>
        <v>0</v>
      </c>
      <c r="SK2" s="8">
        <f>COUNT(SL4:SL400)</f>
        <v>0</v>
      </c>
      <c r="SM2" s="8">
        <f>COUNT(SN4:SN400)</f>
        <v>0</v>
      </c>
      <c r="SO2" s="8">
        <f>COUNT(SP4:SP400)</f>
        <v>0</v>
      </c>
      <c r="SQ2" s="8">
        <f>COUNT(SR4:SR400)</f>
        <v>0</v>
      </c>
      <c r="SS2" s="8">
        <f>COUNT(ST4:ST400)</f>
        <v>0</v>
      </c>
      <c r="SU2" s="8">
        <f>COUNT(SV4:SV400)</f>
        <v>0</v>
      </c>
      <c r="SW2" s="8">
        <f>COUNT(SX4:SX400)</f>
        <v>0</v>
      </c>
      <c r="SY2" s="8">
        <f>COUNT(SZ4:SZ400)</f>
        <v>0</v>
      </c>
      <c r="TA2" s="8">
        <f>COUNT(TB4:TB400)</f>
        <v>0</v>
      </c>
      <c r="TC2" s="8">
        <f>COUNT(TD4:TD400)</f>
        <v>0</v>
      </c>
      <c r="TE2" s="8">
        <f>COUNT(TF4:TF400)</f>
        <v>0</v>
      </c>
      <c r="TG2" s="8">
        <f>COUNT(TH4:TH400)</f>
        <v>0</v>
      </c>
      <c r="TI2" s="8">
        <f>COUNT(TJ4:TJ400)</f>
        <v>0</v>
      </c>
      <c r="TK2" s="8">
        <f>COUNT(TL4:TL400)</f>
        <v>0</v>
      </c>
      <c r="TM2" s="8">
        <f>COUNT(TN4:TN400)</f>
        <v>0</v>
      </c>
      <c r="TO2" s="8">
        <f>COUNT(TP4:TP400)</f>
        <v>0</v>
      </c>
      <c r="TQ2" s="8">
        <f>COUNT(TR4:TR400)</f>
        <v>0</v>
      </c>
      <c r="TS2" s="8">
        <f>COUNT(TT4:TT400)</f>
        <v>0</v>
      </c>
      <c r="TU2" s="8">
        <f>COUNT(TV4:TV400)</f>
        <v>0</v>
      </c>
      <c r="TW2" s="8">
        <f>COUNT(TX4:TX400)</f>
        <v>0</v>
      </c>
      <c r="TY2" s="8">
        <f>COUNT(TZ4:TZ400)</f>
        <v>0</v>
      </c>
      <c r="UA2" s="8">
        <f>COUNT(UB4:UB400)</f>
        <v>0</v>
      </c>
      <c r="UC2" s="8">
        <f>COUNT(UD4:UD400)</f>
        <v>0</v>
      </c>
      <c r="UE2" s="8">
        <f>COUNT(UF4:UF400)</f>
        <v>0</v>
      </c>
      <c r="UG2" s="8">
        <f>COUNT(UH4:UH400)</f>
        <v>0</v>
      </c>
      <c r="UI2" s="8">
        <f>COUNT(UJ4:UJ400)</f>
        <v>0</v>
      </c>
      <c r="UK2" s="8">
        <f>COUNT(UL4:UL400)</f>
        <v>0</v>
      </c>
      <c r="UM2" s="8">
        <f>COUNT(UN4:UN400)</f>
        <v>0</v>
      </c>
      <c r="UO2" s="8">
        <f>COUNT(UP4:UP400)</f>
        <v>0</v>
      </c>
      <c r="UQ2" s="8">
        <f>COUNT(UR4:UR400)</f>
        <v>0</v>
      </c>
      <c r="US2" s="8">
        <f>COUNT(UT4:UT400)</f>
        <v>0</v>
      </c>
      <c r="UU2" s="8">
        <f>COUNT(UV4:UV400)</f>
        <v>0</v>
      </c>
      <c r="UW2" s="8">
        <f>COUNT(UX4:UX400)</f>
        <v>0</v>
      </c>
      <c r="UY2" s="8">
        <f>COUNT(UZ4:UZ400)</f>
        <v>0</v>
      </c>
      <c r="VA2" s="8">
        <f>COUNT(VB4:VB400)</f>
        <v>0</v>
      </c>
      <c r="VC2" s="8">
        <f>COUNT(VD4:VD400)</f>
        <v>0</v>
      </c>
      <c r="VE2" s="8">
        <f>COUNT(VF4:VF400)</f>
        <v>0</v>
      </c>
      <c r="VG2" s="8">
        <f>COUNT(VH4:VH400)</f>
        <v>0</v>
      </c>
      <c r="VI2" s="8">
        <f>COUNT(VJ4:VJ400)</f>
        <v>0</v>
      </c>
      <c r="VK2" s="8">
        <f>COUNT(VL4:VL400)</f>
        <v>0</v>
      </c>
      <c r="VM2" s="8">
        <f>COUNT(VN4:VN400)</f>
        <v>0</v>
      </c>
      <c r="VO2" s="8">
        <f>COUNT(VP4:VP400)</f>
        <v>0</v>
      </c>
      <c r="VQ2" s="8">
        <f>COUNT(VR4:VR400)</f>
        <v>0</v>
      </c>
      <c r="VS2" s="8">
        <f>COUNT(VT4:VT400)</f>
        <v>0</v>
      </c>
      <c r="VU2" s="8">
        <f>COUNT(VV4:VV400)</f>
        <v>0</v>
      </c>
      <c r="VW2" s="8">
        <f>COUNT(VX4:VX400)</f>
        <v>0</v>
      </c>
      <c r="VY2" s="8">
        <f>COUNT(VZ4:VZ400)</f>
        <v>0</v>
      </c>
      <c r="WA2" s="8">
        <f>COUNT(WB4:WB400)</f>
        <v>0</v>
      </c>
      <c r="WC2" s="8">
        <f>COUNT(WD4:WD400)</f>
        <v>0</v>
      </c>
      <c r="WE2" s="8">
        <f>COUNT(WF4:WF400)</f>
        <v>0</v>
      </c>
      <c r="WG2" s="8">
        <f>COUNT(WH4:WH400)</f>
        <v>0</v>
      </c>
      <c r="WI2" s="8">
        <f>COUNT(WJ4:WJ400)</f>
        <v>0</v>
      </c>
      <c r="WK2" s="8">
        <f>COUNT(WL4:WL400)</f>
        <v>0</v>
      </c>
      <c r="WM2" s="8">
        <f>COUNT(WN4:WN400)</f>
        <v>0</v>
      </c>
      <c r="WO2" s="8">
        <f>COUNT(WP4:WP400)</f>
        <v>0</v>
      </c>
      <c r="WQ2" s="8">
        <f>COUNT(WR4:WR400)</f>
        <v>0</v>
      </c>
      <c r="WS2" s="8">
        <f>COUNT(WT4:WT400)</f>
        <v>0</v>
      </c>
      <c r="WU2" s="8">
        <f>COUNT(WV4:WV400)</f>
        <v>0</v>
      </c>
      <c r="WW2" s="8">
        <f>COUNT(WX4:WX400)</f>
        <v>0</v>
      </c>
      <c r="WY2" s="8">
        <f>COUNT(WZ4:WZ400)</f>
        <v>0</v>
      </c>
      <c r="XA2" s="8">
        <f>COUNT(XB4:XB400)</f>
        <v>0</v>
      </c>
      <c r="XC2" s="8">
        <f>COUNT(XD4:XD400)</f>
        <v>0</v>
      </c>
      <c r="XE2" s="8">
        <f>COUNT(XF4:XF400)</f>
        <v>0</v>
      </c>
      <c r="XG2" s="8">
        <f>COUNT(XH4:XH400)</f>
        <v>0</v>
      </c>
      <c r="XI2" s="8">
        <f>COUNT(XJ4:XJ400)</f>
        <v>0</v>
      </c>
      <c r="XK2" s="8">
        <f>COUNT(XL4:XL400)</f>
        <v>0</v>
      </c>
      <c r="XM2" s="8">
        <f>COUNT(XN4:XN400)</f>
        <v>0</v>
      </c>
      <c r="XO2" s="8">
        <f>COUNT(XP4:XP400)</f>
        <v>0</v>
      </c>
      <c r="XQ2" s="8">
        <f>COUNT(XR4:XR400)</f>
        <v>0</v>
      </c>
      <c r="XS2" s="8">
        <f>COUNT(XT4:XT400)</f>
        <v>0</v>
      </c>
      <c r="XU2" s="8">
        <f>COUNT(XV4:XV400)</f>
        <v>0</v>
      </c>
      <c r="XW2" s="8">
        <f>COUNT(XX4:XX400)</f>
        <v>0</v>
      </c>
      <c r="XY2" s="8">
        <f>COUNT(XZ4:XZ400)</f>
        <v>0</v>
      </c>
      <c r="YA2" s="8">
        <f>COUNT(YB4:YB400)</f>
        <v>0</v>
      </c>
      <c r="YC2" s="8">
        <f>COUNT(YD4:YD400)</f>
        <v>0</v>
      </c>
      <c r="YE2" s="8">
        <f>COUNT(YF4:YF400)</f>
        <v>0</v>
      </c>
      <c r="YG2" s="8">
        <f>COUNT(YH4:YH400)</f>
        <v>0</v>
      </c>
      <c r="YI2" s="8">
        <f>COUNT(YJ4:YJ400)</f>
        <v>0</v>
      </c>
      <c r="YK2" s="8">
        <f>COUNT(YL4:YL400)</f>
        <v>0</v>
      </c>
      <c r="YM2" s="8">
        <f>COUNT(YN4:YN400)</f>
        <v>0</v>
      </c>
      <c r="YO2" s="8">
        <f>COUNT(YP4:YP400)</f>
        <v>0</v>
      </c>
      <c r="YQ2" s="8">
        <f>COUNT(YR4:YR400)</f>
        <v>0</v>
      </c>
      <c r="YS2" s="8">
        <f>COUNT(YT4:YT400)</f>
        <v>0</v>
      </c>
      <c r="YU2" s="8">
        <f>COUNT(YV4:YV400)</f>
        <v>0</v>
      </c>
      <c r="YW2" s="8">
        <f>COUNT(YX4:YX400)</f>
        <v>0</v>
      </c>
      <c r="YY2" s="8">
        <f>COUNT(YZ4:YZ400)</f>
        <v>0</v>
      </c>
      <c r="ZA2" s="8">
        <f>COUNT(ZB4:ZB400)</f>
        <v>0</v>
      </c>
      <c r="ZC2" s="8">
        <f>COUNT(ZD4:ZD400)</f>
        <v>0</v>
      </c>
      <c r="ZE2" s="8">
        <f>COUNT(ZF4:ZF400)</f>
        <v>0</v>
      </c>
      <c r="ZG2" s="8">
        <f>COUNT(ZH4:ZH400)</f>
        <v>0</v>
      </c>
      <c r="ZI2" s="8">
        <f>COUNT(ZJ4:ZJ400)</f>
        <v>0</v>
      </c>
      <c r="ZK2" s="8">
        <f>COUNT(ZL4:ZL400)</f>
        <v>0</v>
      </c>
      <c r="ZM2" s="8">
        <f>COUNT(ZN4:ZN400)</f>
        <v>0</v>
      </c>
      <c r="ZO2" s="8">
        <f>COUNT(ZP4:ZP400)</f>
        <v>0</v>
      </c>
      <c r="ZQ2" s="8">
        <f>COUNT(ZR4:ZR400)</f>
        <v>0</v>
      </c>
      <c r="ZS2" s="8">
        <f>COUNT(ZT4:ZT400)</f>
        <v>0</v>
      </c>
      <c r="ZU2" s="8">
        <f>COUNT(ZV4:ZV400)</f>
        <v>0</v>
      </c>
      <c r="ZW2" s="8">
        <f>COUNT(ZX4:ZX400)</f>
        <v>0</v>
      </c>
      <c r="ZY2" s="8">
        <f>COUNT(ZZ4:ZZ400)</f>
        <v>0</v>
      </c>
      <c r="AAA2" s="8">
        <f>COUNT(AAB4:AAB400)</f>
        <v>0</v>
      </c>
      <c r="AAC2" s="8">
        <f>COUNT(AAD4:AAD400)</f>
        <v>0</v>
      </c>
      <c r="AAE2" s="8">
        <f>COUNT(AAF4:AAF400)</f>
        <v>0</v>
      </c>
      <c r="AAG2" s="8">
        <f>COUNT(AAH4:AAH400)</f>
        <v>0</v>
      </c>
      <c r="AAI2" s="8">
        <f>COUNT(AAJ4:AAJ400)</f>
        <v>0</v>
      </c>
      <c r="AAK2" s="8">
        <f>COUNT(AAL4:AAL400)</f>
        <v>0</v>
      </c>
      <c r="AAM2" s="8">
        <f>COUNT(AAN4:AAN400)</f>
        <v>0</v>
      </c>
      <c r="AAO2" s="8">
        <f>COUNT(AAP4:AAP400)</f>
        <v>0</v>
      </c>
      <c r="AAQ2" s="8">
        <f>COUNT(AAR4:AAR400)</f>
        <v>0</v>
      </c>
      <c r="AAS2" s="8">
        <f>COUNT(AAT4:AAT400)</f>
        <v>0</v>
      </c>
      <c r="AAU2" s="8">
        <f>COUNT(AAV4:AAV400)</f>
        <v>0</v>
      </c>
      <c r="AAW2" s="8">
        <f>COUNT(AAX4:AAX400)</f>
        <v>0</v>
      </c>
      <c r="AAY2" s="8">
        <f>COUNT(AAZ4:AAZ400)</f>
        <v>0</v>
      </c>
      <c r="ABA2" s="8">
        <f>COUNT(ABB4:ABB400)</f>
        <v>0</v>
      </c>
      <c r="ABC2" s="8">
        <f>COUNT(ABD4:ABD400)</f>
        <v>0</v>
      </c>
      <c r="ABE2" s="8">
        <f>COUNT(ABF4:ABF400)</f>
        <v>0</v>
      </c>
      <c r="ABG2" s="8">
        <f>COUNT(ABH4:ABH400)</f>
        <v>0</v>
      </c>
      <c r="ABI2" s="8">
        <f>COUNT(ABJ4:ABJ400)</f>
        <v>0</v>
      </c>
      <c r="ABK2" s="8">
        <f>COUNT(ABL4:ABL400)</f>
        <v>0</v>
      </c>
      <c r="ABM2" s="8">
        <f>COUNT(ABN4:ABN400)</f>
        <v>0</v>
      </c>
      <c r="ABO2" s="8">
        <f>COUNT(ABP4:ABP400)</f>
        <v>0</v>
      </c>
      <c r="ABQ2" s="8">
        <f>COUNT(ABR4:ABR400)</f>
        <v>0</v>
      </c>
      <c r="ABS2" s="8">
        <f>COUNT(ABT4:ABT400)</f>
        <v>0</v>
      </c>
      <c r="ABU2" s="8">
        <f>COUNT(ABV4:ABV400)</f>
        <v>0</v>
      </c>
      <c r="ABW2" s="8">
        <f>COUNT(ABX4:ABX400)</f>
        <v>0</v>
      </c>
      <c r="ABY2" s="8">
        <f>COUNT(ABZ4:ABZ400)</f>
        <v>0</v>
      </c>
      <c r="ACA2" s="8">
        <f>COUNT(ACB4:ACB400)</f>
        <v>0</v>
      </c>
      <c r="ACC2" s="8">
        <f>COUNT(ACD4:ACD400)</f>
        <v>0</v>
      </c>
      <c r="ACE2" s="8">
        <f>COUNT(ACF4:ACF400)</f>
        <v>0</v>
      </c>
      <c r="ACG2" s="8">
        <f>COUNT(ACH4:ACH400)</f>
        <v>0</v>
      </c>
      <c r="ACI2" s="8">
        <f>COUNT(ACJ4:ACJ400)</f>
        <v>0</v>
      </c>
      <c r="ACK2" s="8">
        <f>COUNT(ACL4:ACL400)</f>
        <v>0</v>
      </c>
      <c r="ACM2" s="8">
        <f>COUNT(ACN4:ACN400)</f>
        <v>0</v>
      </c>
      <c r="ACO2" s="8">
        <f>COUNT(ACP4:ACP400)</f>
        <v>0</v>
      </c>
      <c r="ACQ2" s="8">
        <f>COUNT(ACR4:ACR400)</f>
        <v>0</v>
      </c>
      <c r="ACS2" s="8">
        <f>COUNT(ACT4:ACT400)</f>
        <v>0</v>
      </c>
      <c r="ACU2" s="8">
        <f>COUNT(ACV4:ACV400)</f>
        <v>0</v>
      </c>
      <c r="ACW2" s="8">
        <f>COUNT(ACX4:ACX400)</f>
        <v>0</v>
      </c>
      <c r="ACY2" s="8">
        <f>COUNT(ACZ4:ACZ400)</f>
        <v>0</v>
      </c>
      <c r="ADA2" s="8">
        <f>COUNT(ADB4:ADB400)</f>
        <v>0</v>
      </c>
      <c r="ADC2" s="8">
        <f>COUNT(ADD4:ADD400)</f>
        <v>0</v>
      </c>
      <c r="ADE2" s="8">
        <f>COUNT(ADF4:ADF400)</f>
        <v>0</v>
      </c>
      <c r="ADG2" s="8">
        <f>COUNT(ADH4:ADH400)</f>
        <v>0</v>
      </c>
      <c r="ADI2" s="8">
        <f>COUNT(ADJ4:ADJ400)</f>
        <v>0</v>
      </c>
      <c r="ADK2" s="8">
        <f>COUNT(ADL4:ADL400)</f>
        <v>0</v>
      </c>
      <c r="ADM2" s="8">
        <f>COUNT(ADN4:ADN400)</f>
        <v>0</v>
      </c>
      <c r="ADO2" s="8">
        <f>COUNT(ADP4:ADP400)</f>
        <v>0</v>
      </c>
      <c r="ADQ2" s="8">
        <f>COUNT(ADR4:ADR400)</f>
        <v>0</v>
      </c>
      <c r="ADS2" s="8">
        <f>COUNT(ADT4:ADT400)</f>
        <v>0</v>
      </c>
      <c r="ADU2" s="8">
        <f>COUNT(ADV4:ADV400)</f>
        <v>0</v>
      </c>
      <c r="ADW2" s="8">
        <f>COUNT(ADX4:ADX400)</f>
        <v>0</v>
      </c>
      <c r="ADY2" s="8">
        <f>COUNT(ADZ4:ADZ400)</f>
        <v>0</v>
      </c>
      <c r="AEA2" s="8">
        <f>COUNT(AEB4:AEB400)</f>
        <v>0</v>
      </c>
      <c r="AEC2" s="8">
        <f>COUNT(AED4:AED400)</f>
        <v>0</v>
      </c>
      <c r="AEE2" s="8">
        <f>COUNT(AEF4:AEF400)</f>
        <v>0</v>
      </c>
      <c r="AEG2" s="8">
        <f>COUNT(AEH4:AEH400)</f>
        <v>0</v>
      </c>
      <c r="AEI2" s="8">
        <f>COUNT(AEJ4:AEJ400)</f>
        <v>0</v>
      </c>
      <c r="AEK2" s="8">
        <f>COUNT(AEL4:AEL400)</f>
        <v>0</v>
      </c>
      <c r="AEM2" s="8">
        <f>COUNT(AEN4:AEN400)</f>
        <v>0</v>
      </c>
      <c r="AEO2" s="8">
        <f>COUNT(AEP4:AEP400)</f>
        <v>0</v>
      </c>
      <c r="AEQ2" s="8">
        <f>COUNT(AER4:AER400)</f>
        <v>0</v>
      </c>
      <c r="AES2" s="8">
        <f>COUNT(AET4:AET400)</f>
        <v>0</v>
      </c>
      <c r="AEU2" s="8">
        <f>COUNT(AEV4:AEV400)</f>
        <v>0</v>
      </c>
      <c r="AEW2" s="8">
        <f>COUNT(AEX4:AEX400)</f>
        <v>0</v>
      </c>
      <c r="AEY2" s="8">
        <f>COUNT(AEZ4:AEZ400)</f>
        <v>0</v>
      </c>
      <c r="AFA2" s="8">
        <f>COUNT(AFB4:AFB400)</f>
        <v>0</v>
      </c>
      <c r="AFC2" s="8">
        <f>COUNT(AFD4:AFD400)</f>
        <v>0</v>
      </c>
      <c r="AFE2" s="8">
        <f>COUNT(AFF4:AFF400)</f>
        <v>0</v>
      </c>
      <c r="AFG2" s="8">
        <f>COUNT(AFH4:AFH400)</f>
        <v>0</v>
      </c>
      <c r="AFI2" s="8">
        <f>COUNT(AFJ4:AFJ400)</f>
        <v>0</v>
      </c>
      <c r="AFK2" s="8">
        <f>COUNT(AFL4:AFL400)</f>
        <v>0</v>
      </c>
      <c r="AFM2" s="8">
        <f>COUNT(AFN4:AFN400)</f>
        <v>0</v>
      </c>
      <c r="AFO2" s="8">
        <f>COUNT(AFP4:AFP400)</f>
        <v>0</v>
      </c>
      <c r="AFQ2" s="8">
        <f>COUNT(AFR4:AFR400)</f>
        <v>0</v>
      </c>
      <c r="AFS2" s="8">
        <f>COUNT(AFT4:AFT400)</f>
        <v>0</v>
      </c>
      <c r="AFU2" s="8">
        <f>COUNT(AFV4:AFV400)</f>
        <v>0</v>
      </c>
      <c r="AFW2" s="8">
        <f>COUNT(AFX4:AFX400)</f>
        <v>0</v>
      </c>
      <c r="AFY2" s="8">
        <f>COUNT(AFZ4:AFZ400)</f>
        <v>0</v>
      </c>
      <c r="AGA2" s="8">
        <f>COUNT(AGB4:AGB400)</f>
        <v>0</v>
      </c>
      <c r="AGC2" s="8">
        <f>COUNT(AGD4:AGD400)</f>
        <v>0</v>
      </c>
      <c r="AGE2" s="8">
        <f>COUNT(AGF4:AGF400)</f>
        <v>0</v>
      </c>
      <c r="AGG2" s="8">
        <f>COUNT(AGH4:AGH400)</f>
        <v>0</v>
      </c>
      <c r="AGI2" s="8">
        <f>COUNT(AGJ4:AGJ400)</f>
        <v>0</v>
      </c>
      <c r="AGK2" s="8">
        <f>COUNT(AGL4:AGL400)</f>
        <v>0</v>
      </c>
      <c r="AGM2" s="8">
        <f>COUNT(AGN4:AGN400)</f>
        <v>0</v>
      </c>
      <c r="AGO2" s="8">
        <f>COUNT(AGP4:AGP400)</f>
        <v>0</v>
      </c>
      <c r="AGQ2" s="8">
        <f>COUNT(AGR4:AGR400)</f>
        <v>0</v>
      </c>
      <c r="AGS2" s="8">
        <f>COUNT(AGT4:AGT400)</f>
        <v>0</v>
      </c>
      <c r="AGU2" s="8">
        <f>COUNT(AGV4:AGV400)</f>
        <v>0</v>
      </c>
      <c r="AGW2" s="8">
        <f>COUNT(AGX4:AGX400)</f>
        <v>0</v>
      </c>
      <c r="AGY2" s="8">
        <f>COUNT(AGZ4:AGZ400)</f>
        <v>0</v>
      </c>
      <c r="AHA2" s="8">
        <f>COUNT(AHB4:AHB400)</f>
        <v>0</v>
      </c>
      <c r="AHC2" s="8">
        <f>COUNT(AHD4:AHD400)</f>
        <v>0</v>
      </c>
      <c r="AHE2" s="8">
        <f>COUNT(AHF4:AHF400)</f>
        <v>0</v>
      </c>
      <c r="AHG2" s="8">
        <f>COUNT(AHH4:AHH400)</f>
        <v>0</v>
      </c>
      <c r="AHI2" s="8">
        <f>COUNT(AHJ4:AHJ400)</f>
        <v>0</v>
      </c>
      <c r="AHK2" s="8">
        <f>COUNT(AHL4:AHL400)</f>
        <v>0</v>
      </c>
      <c r="AHM2" s="8">
        <f>COUNT(AHN4:AHN400)</f>
        <v>0</v>
      </c>
      <c r="AHO2" s="8">
        <f>COUNT(AHP4:AHP400)</f>
        <v>0</v>
      </c>
      <c r="AHQ2" s="8">
        <f>COUNT(AHR4:AHR400)</f>
        <v>0</v>
      </c>
      <c r="AHS2" s="8">
        <f>COUNT(AHT4:AHT400)</f>
        <v>0</v>
      </c>
      <c r="AHU2" s="8">
        <f>COUNT(AHV4:AHV400)</f>
        <v>0</v>
      </c>
      <c r="AHW2" s="8">
        <f>COUNT(AHX4:AHX400)</f>
        <v>0</v>
      </c>
      <c r="AHY2" s="8">
        <f>COUNT(AHZ4:AHZ400)</f>
        <v>0</v>
      </c>
      <c r="AIA2" s="8">
        <f>COUNT(AIB4:AIB400)</f>
        <v>0</v>
      </c>
      <c r="AIC2" s="8">
        <f>COUNT(AID4:AID400)</f>
        <v>0</v>
      </c>
      <c r="AIE2" s="8">
        <f>COUNT(AIF4:AIF400)</f>
        <v>0</v>
      </c>
      <c r="AIG2" s="8">
        <f>COUNT(AIH4:AIH400)</f>
        <v>0</v>
      </c>
      <c r="AII2" s="8">
        <f>COUNT(AIJ4:AIJ400)</f>
        <v>0</v>
      </c>
      <c r="AIK2" s="8">
        <f>COUNT(AIL4:AIL400)</f>
        <v>0</v>
      </c>
      <c r="AIM2" s="8">
        <f>COUNT(AIN4:AIN400)</f>
        <v>0</v>
      </c>
      <c r="AIO2" s="8">
        <f>COUNT(AIP4:AIP400)</f>
        <v>0</v>
      </c>
      <c r="AIQ2" s="8">
        <f>COUNT(AIR4:AIR400)</f>
        <v>0</v>
      </c>
      <c r="AIS2" s="8">
        <f>COUNT(AIT4:AIT400)</f>
        <v>0</v>
      </c>
      <c r="AIU2" s="8">
        <f>COUNT(AIV4:AIV400)</f>
        <v>0</v>
      </c>
      <c r="AIW2" s="8">
        <f>COUNT(AIX4:AIX400)</f>
        <v>0</v>
      </c>
      <c r="AIY2" s="8">
        <f>COUNT(AIZ4:AIZ400)</f>
        <v>0</v>
      </c>
      <c r="AJA2" s="8">
        <f>COUNT(AJB4:AJB400)</f>
        <v>0</v>
      </c>
      <c r="AJC2" s="8">
        <f>COUNT(AJD4:AJD400)</f>
        <v>0</v>
      </c>
      <c r="AJE2" s="8">
        <f>COUNT(AJF4:AJF400)</f>
        <v>0</v>
      </c>
      <c r="AJG2" s="8">
        <f>COUNT(AJH4:AJH400)</f>
        <v>0</v>
      </c>
      <c r="AJI2" s="8">
        <f>COUNT(AJJ4:AJJ400)</f>
        <v>0</v>
      </c>
      <c r="AJK2" s="8">
        <f>COUNT(AJL4:AJL400)</f>
        <v>0</v>
      </c>
      <c r="AJM2" s="8">
        <f>COUNT(AJN4:AJN400)</f>
        <v>0</v>
      </c>
      <c r="AJO2" s="8">
        <f>COUNT(AJP4:AJP400)</f>
        <v>0</v>
      </c>
      <c r="AJQ2" s="8">
        <f>COUNT(AJR4:AJR400)</f>
        <v>0</v>
      </c>
      <c r="AJS2" s="8">
        <f>COUNT(AJT4:AJT400)</f>
        <v>0</v>
      </c>
      <c r="AJU2" s="8">
        <f>COUNT(AJV4:AJV400)</f>
        <v>0</v>
      </c>
      <c r="AJW2" s="8">
        <f>COUNT(AJX4:AJX400)</f>
        <v>0</v>
      </c>
      <c r="AJY2" s="8">
        <f>COUNT(AJZ4:AJZ400)</f>
        <v>0</v>
      </c>
      <c r="AKA2" s="8">
        <f>COUNT(AKB4:AKB400)</f>
        <v>0</v>
      </c>
      <c r="AKC2" s="8">
        <f>COUNT(AKD4:AKD400)</f>
        <v>0</v>
      </c>
      <c r="AKE2" s="8">
        <f>COUNT(AKF4:AKF400)</f>
        <v>0</v>
      </c>
      <c r="AKG2" s="8">
        <f>COUNT(AKH4:AKH400)</f>
        <v>0</v>
      </c>
      <c r="AKI2" s="8">
        <f>COUNT(AKJ4:AKJ400)</f>
        <v>0</v>
      </c>
      <c r="AKK2" s="8">
        <f>COUNT(AKL4:AKL400)</f>
        <v>0</v>
      </c>
      <c r="AKM2" s="8">
        <f>COUNT(AKN4:AKN400)</f>
        <v>0</v>
      </c>
      <c r="AKO2" s="8">
        <f>COUNT(AKP4:AKP400)</f>
        <v>0</v>
      </c>
      <c r="AKQ2" s="8">
        <f>COUNT(AKR4:AKR400)</f>
        <v>0</v>
      </c>
      <c r="AKS2" s="8">
        <f>COUNT(AKT4:AKT400)</f>
        <v>0</v>
      </c>
      <c r="AKU2" s="8">
        <f>COUNT(AKV4:AKV400)</f>
        <v>0</v>
      </c>
      <c r="AKW2" s="8">
        <f>COUNT(AKX4:AKX400)</f>
        <v>0</v>
      </c>
      <c r="AKY2" s="8">
        <f>COUNT(AKZ4:AKZ400)</f>
        <v>0</v>
      </c>
      <c r="ALA2" s="8">
        <f>COUNT(ALB4:ALB400)</f>
        <v>0</v>
      </c>
      <c r="ALC2" s="8">
        <f>COUNT(ALD4:ALD400)</f>
        <v>0</v>
      </c>
      <c r="ALE2" s="8">
        <f>COUNT(ALF4:ALF400)</f>
        <v>0</v>
      </c>
      <c r="ALG2" s="8">
        <f>COUNT(ALH4:ALH400)</f>
        <v>0</v>
      </c>
      <c r="ALI2" s="8">
        <f>COUNT(ALJ4:ALJ400)</f>
        <v>0</v>
      </c>
      <c r="ALK2" s="8">
        <f>COUNT(ALL4:ALL400)</f>
        <v>0</v>
      </c>
      <c r="ALM2" s="8">
        <f>COUNT(ALN4:ALN400)</f>
        <v>0</v>
      </c>
      <c r="ALO2" s="8">
        <f>COUNT(ALP4:ALP400)</f>
        <v>0</v>
      </c>
      <c r="ALQ2" s="8">
        <f>COUNT(ALR4:ALR400)</f>
        <v>0</v>
      </c>
      <c r="ALS2" s="8">
        <f>COUNT(ALT4:ALT400)</f>
        <v>0</v>
      </c>
      <c r="ALU2" s="8">
        <f>COUNT(ALV4:ALV400)</f>
        <v>0</v>
      </c>
      <c r="ALW2" s="8">
        <f>COUNT(ALX4:ALX400)</f>
        <v>0</v>
      </c>
      <c r="ALY2" s="8">
        <f>COUNT(ALZ4:ALZ400)</f>
        <v>0</v>
      </c>
      <c r="AMA2" s="8">
        <f>COUNT(AMB4:AMB400)</f>
        <v>0</v>
      </c>
      <c r="AMC2" s="8">
        <f>COUNT(AMD4:AMD400)</f>
        <v>0</v>
      </c>
      <c r="AME2" s="8">
        <f>COUNT(AMF4:AMF400)</f>
        <v>0</v>
      </c>
      <c r="AMG2" s="8">
        <f>COUNT(AMH4:AMH400)</f>
        <v>0</v>
      </c>
      <c r="AMI2" s="8">
        <f>COUNT(AMJ4:AMJ400)</f>
        <v>0</v>
      </c>
      <c r="AMK2" s="8">
        <f>COUNT(AML4:AML400)</f>
        <v>0</v>
      </c>
      <c r="AMM2" s="8">
        <f>COUNT(AMN4:AMN400)</f>
        <v>0</v>
      </c>
      <c r="AMO2" s="8">
        <f>COUNT(AMP4:AMP400)</f>
        <v>0</v>
      </c>
      <c r="AMQ2" s="8">
        <f>COUNT(AMR4:AMR400)</f>
        <v>0</v>
      </c>
      <c r="AMS2" s="8">
        <f>COUNT(AMT4:AMT400)</f>
        <v>0</v>
      </c>
      <c r="AMU2" s="8">
        <f>COUNT(AMV4:AMV400)</f>
        <v>0</v>
      </c>
      <c r="AMW2" s="8">
        <f>COUNT(AMX4:AMX400)</f>
        <v>0</v>
      </c>
      <c r="AMY2" s="8">
        <f>COUNT(AMZ4:AMZ400)</f>
        <v>0</v>
      </c>
      <c r="ANA2" s="8">
        <f>COUNT(ANB4:ANB400)</f>
        <v>0</v>
      </c>
      <c r="ANC2" s="8">
        <f>COUNT(AND4:AND400)</f>
        <v>0</v>
      </c>
      <c r="ANE2" s="8">
        <f>COUNT(ANF4:ANF400)</f>
        <v>0</v>
      </c>
      <c r="ANG2" s="8">
        <f>COUNT(ANH4:ANH400)</f>
        <v>0</v>
      </c>
      <c r="ANI2" s="8">
        <f>COUNT(ANJ4:ANJ400)</f>
        <v>0</v>
      </c>
      <c r="ANK2" s="8">
        <f>COUNT(ANL4:ANL400)</f>
        <v>0</v>
      </c>
      <c r="ANM2" s="8">
        <f>COUNT(ANN4:ANN400)</f>
        <v>0</v>
      </c>
      <c r="ANO2" s="8">
        <f>COUNT(ANP4:ANP400)</f>
        <v>0</v>
      </c>
      <c r="ANQ2" s="8">
        <f>COUNT(ANR4:ANR400)</f>
        <v>0</v>
      </c>
      <c r="ANS2" s="8">
        <f>COUNT(ANT4:ANT400)</f>
        <v>0</v>
      </c>
      <c r="ANU2" s="8">
        <f>COUNT(ANV4:ANV400)</f>
        <v>0</v>
      </c>
      <c r="ANW2" s="8">
        <f>COUNT(ANX4:ANX400)</f>
        <v>0</v>
      </c>
      <c r="ANY2" s="8">
        <f>COUNT(ANZ4:ANZ400)</f>
        <v>0</v>
      </c>
      <c r="AOA2" s="8">
        <f>COUNT(AOB4:AOB400)</f>
        <v>0</v>
      </c>
      <c r="AOC2" s="8">
        <f>COUNT(AOD4:AOD400)</f>
        <v>0</v>
      </c>
      <c r="AOE2" s="8">
        <f>COUNT(AOF4:AOF400)</f>
        <v>0</v>
      </c>
      <c r="AOG2" s="8">
        <f>COUNT(AOH4:AOH400)</f>
        <v>0</v>
      </c>
      <c r="AOI2" s="8">
        <f>COUNT(AOJ4:AOJ400)</f>
        <v>0</v>
      </c>
      <c r="AOK2" s="8">
        <f>COUNT(AOL4:AOL400)</f>
        <v>0</v>
      </c>
      <c r="AOM2" s="8">
        <f>COUNT(AON4:AON400)</f>
        <v>0</v>
      </c>
      <c r="AOO2" s="8">
        <f>COUNT(AOP4:AOP400)</f>
        <v>0</v>
      </c>
      <c r="AOQ2" s="8">
        <f>COUNT(AOR4:AOR400)</f>
        <v>0</v>
      </c>
      <c r="AOS2" s="8">
        <f>COUNT(AOT4:AOT400)</f>
        <v>0</v>
      </c>
      <c r="AOU2" s="8">
        <f>COUNT(AOV4:AOV400)</f>
        <v>0</v>
      </c>
      <c r="AOW2" s="8">
        <f>COUNT(AOX4:AOX400)</f>
        <v>0</v>
      </c>
      <c r="AOY2" s="8">
        <f>COUNT(AOZ4:AOZ400)</f>
        <v>0</v>
      </c>
      <c r="APA2" s="8">
        <f>COUNT(APB4:APB400)</f>
        <v>0</v>
      </c>
      <c r="APC2" s="8">
        <f>COUNT(APD4:APD400)</f>
        <v>0</v>
      </c>
      <c r="APE2" s="8">
        <f>COUNT(APF4:APF400)</f>
        <v>0</v>
      </c>
      <c r="APG2" s="8">
        <f>COUNT(APH4:APH400)</f>
        <v>0</v>
      </c>
      <c r="API2" s="8">
        <f>COUNT(APJ4:APJ400)</f>
        <v>0</v>
      </c>
      <c r="APK2" s="8">
        <f>COUNT(APL4:APL400)</f>
        <v>0</v>
      </c>
      <c r="APM2" s="8">
        <f>COUNT(APN4:APN400)</f>
        <v>0</v>
      </c>
      <c r="APO2" s="8">
        <f>COUNT(APP4:APP400)</f>
        <v>0</v>
      </c>
      <c r="APQ2" s="8">
        <f>COUNT(APR4:APR400)</f>
        <v>0</v>
      </c>
      <c r="APS2" s="8">
        <f>COUNT(APT4:APT400)</f>
        <v>0</v>
      </c>
      <c r="APU2" s="8">
        <f>COUNT(APV4:APV400)</f>
        <v>0</v>
      </c>
      <c r="APW2" s="8">
        <f>COUNT(APX4:APX400)</f>
        <v>0</v>
      </c>
      <c r="APY2" s="8">
        <f>COUNT(APZ4:APZ400)</f>
        <v>0</v>
      </c>
      <c r="AQA2" s="8">
        <f>COUNT(AQB4:AQB400)</f>
        <v>0</v>
      </c>
      <c r="AQC2" s="8">
        <f>COUNT(AQD4:AQD400)</f>
        <v>0</v>
      </c>
      <c r="AQE2" s="8">
        <f>COUNT(AQF4:AQF400)</f>
        <v>0</v>
      </c>
      <c r="AQG2" s="8">
        <f>COUNT(AQH4:AQH400)</f>
        <v>0</v>
      </c>
      <c r="AQI2" s="8">
        <f>COUNT(AQJ4:AQJ400)</f>
        <v>0</v>
      </c>
      <c r="AQK2" s="8">
        <f>COUNT(AQL4:AQL400)</f>
        <v>0</v>
      </c>
      <c r="AQM2" s="8">
        <f>COUNT(AQN4:AQN400)</f>
        <v>0</v>
      </c>
      <c r="AQO2" s="8">
        <f>COUNT(AQP4:AQP400)</f>
        <v>0</v>
      </c>
      <c r="AQQ2" s="8">
        <f>COUNT(AQR4:AQR400)</f>
        <v>0</v>
      </c>
      <c r="AQS2" s="8">
        <f>COUNT(AQT4:AQT400)</f>
        <v>0</v>
      </c>
      <c r="AQU2" s="8">
        <f>COUNT(AQV4:AQV400)</f>
        <v>0</v>
      </c>
      <c r="AQW2" s="8">
        <f>COUNT(AQX4:AQX400)</f>
        <v>0</v>
      </c>
      <c r="AQY2" s="8">
        <f>COUNT(AQZ4:AQZ400)</f>
        <v>0</v>
      </c>
      <c r="ARA2" s="8">
        <f>COUNT(ARB4:ARB400)</f>
        <v>0</v>
      </c>
      <c r="ARC2" s="8">
        <f>COUNT(ARD4:ARD400)</f>
        <v>0</v>
      </c>
      <c r="ARE2" s="8">
        <f>COUNT(ARF4:ARF400)</f>
        <v>0</v>
      </c>
      <c r="ARG2" s="8">
        <f>COUNT(ARH4:ARH400)</f>
        <v>0</v>
      </c>
      <c r="ARI2" s="8">
        <f>COUNT(ARJ4:ARJ400)</f>
        <v>0</v>
      </c>
      <c r="ARK2" s="8">
        <f>COUNT(ARL4:ARL400)</f>
        <v>0</v>
      </c>
      <c r="ARM2" s="8">
        <f>COUNT(ARN4:ARN400)</f>
        <v>0</v>
      </c>
      <c r="ARO2" s="8">
        <f>COUNT(ARP4:ARP400)</f>
        <v>0</v>
      </c>
      <c r="ARQ2" s="8">
        <f>COUNT(ARR4:ARR400)</f>
        <v>0</v>
      </c>
      <c r="ARS2" s="8">
        <f>COUNT(ART4:ART400)</f>
        <v>0</v>
      </c>
      <c r="ARU2" s="8">
        <f>COUNT(ARV4:ARV400)</f>
        <v>0</v>
      </c>
      <c r="ARW2" s="8">
        <f>COUNT(ARX4:ARX400)</f>
        <v>0</v>
      </c>
      <c r="ARY2" s="8">
        <f>COUNT(ARZ4:ARZ400)</f>
        <v>0</v>
      </c>
      <c r="ASA2" s="8">
        <f>COUNT(ASB4:ASB400)</f>
        <v>0</v>
      </c>
      <c r="ASC2" s="8">
        <f>COUNT(ASD4:ASD400)</f>
        <v>0</v>
      </c>
      <c r="ASE2" s="8">
        <f>COUNT(ASF4:ASF400)</f>
        <v>0</v>
      </c>
      <c r="ASG2" s="8">
        <f>COUNT(ASH4:ASH400)</f>
        <v>0</v>
      </c>
      <c r="ASI2" s="8">
        <f>COUNT(ASJ4:ASJ400)</f>
        <v>0</v>
      </c>
      <c r="ASK2" s="8">
        <f>COUNT(ASL4:ASL400)</f>
        <v>0</v>
      </c>
      <c r="ASM2" s="8">
        <f>COUNT(ASN4:ASN400)</f>
        <v>0</v>
      </c>
      <c r="ASO2" s="8">
        <f>COUNT(ASP4:ASP400)</f>
        <v>0</v>
      </c>
      <c r="ASQ2" s="8">
        <f>COUNT(ASR4:ASR400)</f>
        <v>0</v>
      </c>
      <c r="ASS2" s="8">
        <f>COUNT(AST4:AST400)</f>
        <v>0</v>
      </c>
      <c r="ASU2" s="8">
        <f>COUNT(ASV4:ASV400)</f>
        <v>0</v>
      </c>
      <c r="ASW2" s="8">
        <f>COUNT(ASX4:ASX400)</f>
        <v>0</v>
      </c>
      <c r="ASY2" s="8">
        <f>COUNT(ASZ4:ASZ400)</f>
        <v>0</v>
      </c>
      <c r="ATA2" s="8">
        <f>COUNT(ATB4:ATB400)</f>
        <v>0</v>
      </c>
      <c r="ATC2" s="8">
        <f>COUNT(ATD4:ATD400)</f>
        <v>0</v>
      </c>
      <c r="ATE2" s="8">
        <f>COUNT(ATF4:ATF400)</f>
        <v>0</v>
      </c>
      <c r="ATG2" s="8">
        <f>COUNT(ATH4:ATH400)</f>
        <v>0</v>
      </c>
      <c r="ATI2" s="8">
        <f>COUNT(ATJ4:ATJ400)</f>
        <v>0</v>
      </c>
      <c r="ATK2" s="8">
        <f>COUNT(ATL4:ATL400)</f>
        <v>0</v>
      </c>
      <c r="ATM2" s="8">
        <f>COUNT(ATN4:ATN400)</f>
        <v>0</v>
      </c>
      <c r="ATO2" s="8">
        <f>COUNT(ATP4:ATP400)</f>
        <v>0</v>
      </c>
      <c r="ATQ2" s="8">
        <f>COUNT(ATR4:ATR400)</f>
        <v>0</v>
      </c>
      <c r="ATS2" s="8">
        <f>COUNT(ATT4:ATT400)</f>
        <v>0</v>
      </c>
      <c r="ATU2" s="8">
        <f>COUNT(ATV4:ATV400)</f>
        <v>0</v>
      </c>
      <c r="ATW2" s="8">
        <f>COUNT(ATX4:ATX400)</f>
        <v>0</v>
      </c>
      <c r="ATY2" s="8">
        <f>COUNT(ATZ4:ATZ400)</f>
        <v>0</v>
      </c>
      <c r="AUA2" s="8">
        <f>COUNT(AUB4:AUB400)</f>
        <v>0</v>
      </c>
      <c r="AUC2" s="8">
        <f>COUNT(AUD4:AUD400)</f>
        <v>0</v>
      </c>
      <c r="AUE2" s="8">
        <f>COUNT(AUF4:AUF400)</f>
        <v>0</v>
      </c>
      <c r="AUG2" s="8">
        <f>COUNT(AUH4:AUH400)</f>
        <v>0</v>
      </c>
      <c r="AUI2" s="8">
        <f>COUNT(AUJ4:AUJ400)</f>
        <v>0</v>
      </c>
      <c r="AUK2" s="8">
        <f>COUNT(AUL4:AUL400)</f>
        <v>0</v>
      </c>
      <c r="AUM2" s="8">
        <f>COUNT(AUN4:AUN400)</f>
        <v>0</v>
      </c>
      <c r="AUO2" s="8">
        <f>COUNT(AUP4:AUP400)</f>
        <v>0</v>
      </c>
      <c r="AUQ2" s="8">
        <f>COUNT(AUR4:AUR400)</f>
        <v>0</v>
      </c>
      <c r="AUS2" s="8">
        <f>COUNT(AUT4:AUT400)</f>
        <v>0</v>
      </c>
      <c r="AUU2" s="8">
        <f>COUNT(AUV4:AUV400)</f>
        <v>0</v>
      </c>
      <c r="AUW2" s="8">
        <f>COUNT(AUX4:AUX400)</f>
        <v>0</v>
      </c>
      <c r="AUY2" s="8">
        <f>COUNT(AUZ4:AUZ400)</f>
        <v>0</v>
      </c>
      <c r="AVA2" s="8">
        <f>COUNT(AVB4:AVB400)</f>
        <v>0</v>
      </c>
      <c r="AVC2" s="8">
        <f>COUNT(AVD4:AVD400)</f>
        <v>0</v>
      </c>
      <c r="AVE2" s="8">
        <f>COUNT(AVF4:AVF400)</f>
        <v>0</v>
      </c>
      <c r="AVG2" s="8">
        <f>COUNT(AVH4:AVH400)</f>
        <v>0</v>
      </c>
      <c r="AVI2" s="8">
        <f>COUNT(AVJ4:AVJ400)</f>
        <v>0</v>
      </c>
      <c r="AVK2" s="8">
        <f>COUNT(AVL4:AVL400)</f>
        <v>0</v>
      </c>
      <c r="AVM2" s="8">
        <f>COUNT(AVN4:AVN400)</f>
        <v>0</v>
      </c>
      <c r="AVO2" s="8">
        <f>COUNT(AVP4:AVP400)</f>
        <v>0</v>
      </c>
      <c r="AVQ2" s="8">
        <f>COUNT(AVR4:AVR400)</f>
        <v>0</v>
      </c>
      <c r="AVS2" s="8">
        <f>COUNT(AVT4:AVT400)</f>
        <v>0</v>
      </c>
      <c r="AVU2" s="8">
        <f>COUNT(AVV4:AVV400)</f>
        <v>0</v>
      </c>
      <c r="AVW2" s="8">
        <f>COUNT(AVX4:AVX400)</f>
        <v>0</v>
      </c>
      <c r="AVY2" s="8">
        <f>COUNT(AVZ4:AVZ400)</f>
        <v>0</v>
      </c>
      <c r="AWA2" s="8">
        <f>COUNT(AWB4:AWB400)</f>
        <v>0</v>
      </c>
      <c r="AWC2" s="8">
        <f>COUNT(AWD4:AWD400)</f>
        <v>0</v>
      </c>
      <c r="AWE2" s="8">
        <f>COUNT(AWF4:AWF400)</f>
        <v>0</v>
      </c>
      <c r="AWG2" s="8">
        <f>COUNT(AWH4:AWH400)</f>
        <v>0</v>
      </c>
      <c r="AWI2" s="8">
        <f>COUNT(AWJ4:AWJ400)</f>
        <v>0</v>
      </c>
      <c r="AWK2" s="8">
        <f>COUNT(AWL4:AWL400)</f>
        <v>0</v>
      </c>
      <c r="AWM2" s="8">
        <f>COUNT(AWN4:AWN400)</f>
        <v>0</v>
      </c>
      <c r="AWO2" s="8">
        <f>COUNT(AWP4:AWP400)</f>
        <v>0</v>
      </c>
      <c r="AWQ2" s="8">
        <f>COUNT(AWR4:AWR400)</f>
        <v>0</v>
      </c>
      <c r="AWS2" s="8">
        <f>COUNT(AWT4:AWT400)</f>
        <v>0</v>
      </c>
      <c r="AWU2" s="8">
        <f>COUNT(AWV4:AWV400)</f>
        <v>0</v>
      </c>
      <c r="AWW2" s="8">
        <f>COUNT(AWX4:AWX400)</f>
        <v>0</v>
      </c>
      <c r="AWY2" s="8">
        <f>COUNT(AWZ4:AWZ400)</f>
        <v>0</v>
      </c>
      <c r="AXA2" s="8">
        <f>COUNT(AXB4:AXB400)</f>
        <v>0</v>
      </c>
      <c r="AXC2" s="8">
        <f>COUNT(AXD4:AXD400)</f>
        <v>0</v>
      </c>
      <c r="AXE2" s="8">
        <f>COUNT(AXF4:AXF400)</f>
        <v>0</v>
      </c>
      <c r="AXG2" s="8">
        <f>COUNT(AXH4:AXH400)</f>
        <v>0</v>
      </c>
      <c r="AXI2" s="8">
        <f>COUNT(AXJ4:AXJ400)</f>
        <v>0</v>
      </c>
      <c r="AXK2" s="8">
        <f>COUNT(AXL4:AXL400)</f>
        <v>0</v>
      </c>
      <c r="AXM2" s="8">
        <f>COUNT(AXN4:AXN400)</f>
        <v>0</v>
      </c>
      <c r="AXO2" s="8">
        <f>COUNT(AXP4:AXP400)</f>
        <v>0</v>
      </c>
      <c r="AXQ2" s="8">
        <f>COUNT(AXR4:AXR400)</f>
        <v>0</v>
      </c>
      <c r="AXS2" s="8">
        <f>COUNT(AXT4:AXT400)</f>
        <v>0</v>
      </c>
      <c r="AXU2" s="8">
        <f>COUNT(AXV4:AXV400)</f>
        <v>0</v>
      </c>
      <c r="AXW2" s="8">
        <f>COUNT(AXX4:AXX400)</f>
        <v>0</v>
      </c>
      <c r="AXY2" s="8">
        <f>COUNT(AXZ4:AXZ400)</f>
        <v>0</v>
      </c>
      <c r="AYA2" s="8">
        <f>COUNT(AYB4:AYB400)</f>
        <v>0</v>
      </c>
      <c r="AYC2" s="8">
        <f>COUNT(AYD4:AYD400)</f>
        <v>0</v>
      </c>
      <c r="AYE2" s="8">
        <f>COUNT(AYF4:AYF400)</f>
        <v>0</v>
      </c>
      <c r="AYG2" s="8">
        <f>COUNT(AYH4:AYH400)</f>
        <v>0</v>
      </c>
      <c r="AYI2" s="8">
        <f>COUNT(AYJ4:AYJ400)</f>
        <v>0</v>
      </c>
      <c r="AYK2" s="8">
        <f>COUNT(AYL4:AYL400)</f>
        <v>0</v>
      </c>
      <c r="AYM2" s="8">
        <f>COUNT(AYN4:AYN400)</f>
        <v>0</v>
      </c>
      <c r="AYO2" s="8">
        <f>COUNT(AYP4:AYP400)</f>
        <v>0</v>
      </c>
      <c r="AYQ2" s="8">
        <f>COUNT(AYR4:AYR400)</f>
        <v>0</v>
      </c>
      <c r="AYS2" s="8">
        <f>COUNT(AYT4:AYT400)</f>
        <v>0</v>
      </c>
      <c r="AYU2" s="8">
        <f>COUNT(AYV4:AYV400)</f>
        <v>0</v>
      </c>
      <c r="AYW2" s="8">
        <f>COUNT(AYX4:AYX400)</f>
        <v>0</v>
      </c>
      <c r="AYY2" s="8">
        <f>COUNT(AYZ4:AYZ400)</f>
        <v>0</v>
      </c>
      <c r="AZA2" s="8">
        <f>COUNT(AZB4:AZB400)</f>
        <v>0</v>
      </c>
      <c r="AZC2" s="8">
        <f>COUNT(AZD4:AZD400)</f>
        <v>0</v>
      </c>
      <c r="AZE2" s="8">
        <f>COUNT(AZF4:AZF400)</f>
        <v>0</v>
      </c>
      <c r="AZG2" s="8">
        <f>COUNT(AZH4:AZH400)</f>
        <v>0</v>
      </c>
      <c r="AZI2" s="8">
        <f>COUNT(AZJ4:AZJ400)</f>
        <v>0</v>
      </c>
      <c r="AZK2" s="8">
        <f>COUNT(AZL4:AZL400)</f>
        <v>0</v>
      </c>
      <c r="AZM2" s="8">
        <f>COUNT(AZN4:AZN400)</f>
        <v>0</v>
      </c>
      <c r="AZO2" s="8">
        <f>COUNT(AZP4:AZP400)</f>
        <v>0</v>
      </c>
      <c r="AZQ2" s="8">
        <f>COUNT(AZR4:AZR400)</f>
        <v>0</v>
      </c>
      <c r="AZS2" s="8">
        <f>COUNT(AZT4:AZT400)</f>
        <v>0</v>
      </c>
      <c r="AZU2" s="8">
        <f>COUNT(AZV4:AZV400)</f>
        <v>0</v>
      </c>
      <c r="AZW2" s="8">
        <f>COUNT(AZX4:AZX400)</f>
        <v>0</v>
      </c>
      <c r="AZY2" s="8">
        <f>COUNT(AZZ4:AZZ400)</f>
        <v>0</v>
      </c>
      <c r="BAA2" s="8">
        <f>COUNT(BAB4:BAB400)</f>
        <v>0</v>
      </c>
      <c r="BAC2" s="8">
        <f>COUNT(BAD4:BAD400)</f>
        <v>0</v>
      </c>
      <c r="BAE2" s="8">
        <f>COUNT(BAF4:BAF400)</f>
        <v>0</v>
      </c>
      <c r="BAG2" s="8">
        <f>COUNT(BAH4:BAH400)</f>
        <v>0</v>
      </c>
      <c r="BAI2" s="8">
        <f>COUNT(BAJ4:BAJ400)</f>
        <v>0</v>
      </c>
      <c r="BAK2" s="8">
        <f>COUNT(BAL4:BAL400)</f>
        <v>0</v>
      </c>
      <c r="BAM2" s="8">
        <f>COUNT(BAN4:BAN400)</f>
        <v>0</v>
      </c>
      <c r="BAO2" s="8">
        <f>COUNT(BAP4:BAP400)</f>
        <v>0</v>
      </c>
      <c r="BAQ2" s="8">
        <f>COUNT(BAR4:BAR400)</f>
        <v>0</v>
      </c>
      <c r="BAS2" s="8">
        <f>COUNT(BAT4:BAT400)</f>
        <v>0</v>
      </c>
      <c r="BAU2" s="8">
        <f>COUNT(BAV4:BAV400)</f>
        <v>0</v>
      </c>
      <c r="BAW2" s="8">
        <f>COUNT(BAX4:BAX400)</f>
        <v>0</v>
      </c>
      <c r="BAY2" s="8">
        <f>COUNT(BAZ4:BAZ400)</f>
        <v>0</v>
      </c>
      <c r="BBA2" s="8">
        <f>COUNT(BBB4:BBB400)</f>
        <v>0</v>
      </c>
      <c r="BBC2" s="8">
        <f>COUNT(BBD4:BBD400)</f>
        <v>0</v>
      </c>
      <c r="BBE2" s="8">
        <f>COUNT(BBF4:BBF400)</f>
        <v>0</v>
      </c>
      <c r="BBG2" s="8">
        <f>COUNT(BBH4:BBH400)</f>
        <v>0</v>
      </c>
      <c r="BBI2" s="8">
        <f>COUNT(BBJ4:BBJ400)</f>
        <v>0</v>
      </c>
      <c r="BBK2" s="8">
        <f>COUNT(BBL4:BBL400)</f>
        <v>0</v>
      </c>
      <c r="BBM2" s="8">
        <f>COUNT(BBN4:BBN400)</f>
        <v>0</v>
      </c>
      <c r="BBO2" s="8">
        <f>COUNT(BBP4:BBP400)</f>
        <v>0</v>
      </c>
      <c r="BBQ2" s="8">
        <f>COUNT(BBR4:BBR400)</f>
        <v>0</v>
      </c>
      <c r="BBS2" s="8">
        <f>COUNT(BBT4:BBT400)</f>
        <v>0</v>
      </c>
      <c r="BBU2" s="8">
        <f>COUNT(BBV4:BBV400)</f>
        <v>0</v>
      </c>
      <c r="BBW2" s="8">
        <f>COUNT(BBX4:BBX400)</f>
        <v>0</v>
      </c>
      <c r="BBY2" s="8">
        <f>COUNT(BBZ4:BBZ400)</f>
        <v>0</v>
      </c>
      <c r="BCA2" s="8">
        <f>COUNT(BCB4:BCB400)</f>
        <v>0</v>
      </c>
      <c r="BCC2" s="8">
        <f>COUNT(BCD4:BCD400)</f>
        <v>0</v>
      </c>
      <c r="BCE2" s="8">
        <f>COUNT(BCF4:BCF400)</f>
        <v>0</v>
      </c>
      <c r="BCG2" s="8">
        <f>COUNT(BCH4:BCH400)</f>
        <v>0</v>
      </c>
      <c r="BCI2" s="8">
        <f>COUNT(BCJ4:BCJ400)</f>
        <v>0</v>
      </c>
      <c r="BCK2" s="8">
        <f>COUNT(BCL4:BCL400)</f>
        <v>0</v>
      </c>
      <c r="BCM2" s="8">
        <f>COUNT(BCN4:BCN400)</f>
        <v>0</v>
      </c>
      <c r="BCO2" s="8">
        <f>COUNT(BCP4:BCP400)</f>
        <v>0</v>
      </c>
      <c r="BCQ2" s="8">
        <f>COUNT(BCR4:BCR400)</f>
        <v>0</v>
      </c>
      <c r="BCS2" s="8">
        <f>COUNT(BCT4:BCT400)</f>
        <v>0</v>
      </c>
      <c r="BCU2" s="8">
        <f>COUNT(BCV4:BCV400)</f>
        <v>0</v>
      </c>
      <c r="BCW2" s="8">
        <f>COUNT(BCX4:BCX400)</f>
        <v>0</v>
      </c>
      <c r="BCY2" s="8">
        <f>COUNT(BCZ4:BCZ400)</f>
        <v>0</v>
      </c>
      <c r="BDA2" s="8">
        <f>COUNT(BDB4:BDB400)</f>
        <v>0</v>
      </c>
      <c r="BDC2" s="8">
        <f>COUNT(BDD4:BDD400)</f>
        <v>0</v>
      </c>
      <c r="BDE2" s="8">
        <f>COUNT(BDF4:BDF400)</f>
        <v>0</v>
      </c>
      <c r="BDG2" s="8">
        <f>COUNT(BDH4:BDH400)</f>
        <v>0</v>
      </c>
      <c r="BDI2" s="8">
        <f>COUNT(BDJ4:BDJ400)</f>
        <v>0</v>
      </c>
      <c r="BDK2" s="8">
        <f>COUNT(BDL4:BDL400)</f>
        <v>0</v>
      </c>
      <c r="BDM2" s="8">
        <f>COUNT(BDN4:BDN400)</f>
        <v>0</v>
      </c>
      <c r="BDO2" s="8">
        <f>COUNT(BDP4:BDP400)</f>
        <v>0</v>
      </c>
      <c r="BDQ2" s="8">
        <f>COUNT(BDR4:BDR400)</f>
        <v>0</v>
      </c>
      <c r="BDS2" s="8">
        <f>COUNT(BDT4:BDT400)</f>
        <v>0</v>
      </c>
      <c r="BDU2" s="8">
        <f>COUNT(BDV4:BDV400)</f>
        <v>0</v>
      </c>
      <c r="BDW2" s="8">
        <f>COUNT(BDX4:BDX400)</f>
        <v>0</v>
      </c>
      <c r="BDY2" s="8">
        <f>COUNT(BDZ4:BDZ400)</f>
        <v>0</v>
      </c>
      <c r="BEA2" s="8">
        <f>COUNT(BEB4:BEB400)</f>
        <v>0</v>
      </c>
      <c r="BEC2" s="8">
        <f>COUNT(BED4:BED400)</f>
        <v>0</v>
      </c>
      <c r="BEE2" s="8">
        <f>COUNT(BEF4:BEF400)</f>
        <v>0</v>
      </c>
      <c r="BEG2" s="8">
        <f>COUNT(BEH4:BEH400)</f>
        <v>0</v>
      </c>
      <c r="BEI2" s="8">
        <f>COUNT(BEJ4:BEJ400)</f>
        <v>0</v>
      </c>
      <c r="BEK2" s="8">
        <f>COUNT(BEL4:BEL400)</f>
        <v>0</v>
      </c>
      <c r="BEM2" s="8">
        <f>COUNT(BEN4:BEN400)</f>
        <v>0</v>
      </c>
      <c r="BEO2" s="8">
        <f>COUNT(BEP4:BEP400)</f>
        <v>0</v>
      </c>
      <c r="BEQ2" s="8">
        <f>COUNT(BER4:BER400)</f>
        <v>0</v>
      </c>
      <c r="BES2" s="8">
        <f>COUNT(BET4:BET400)</f>
        <v>0</v>
      </c>
      <c r="BEU2" s="8">
        <f>COUNT(BEV4:BEV400)</f>
        <v>0</v>
      </c>
      <c r="BEW2" s="8">
        <f>COUNT(BEX4:BEX400)</f>
        <v>0</v>
      </c>
      <c r="BEY2" s="8">
        <f>COUNT(BEZ4:BEZ400)</f>
        <v>0</v>
      </c>
      <c r="BFA2" s="8">
        <f>COUNT(BFB4:BFB400)</f>
        <v>0</v>
      </c>
      <c r="BFC2" s="8">
        <f>COUNT(BFD4:BFD400)</f>
        <v>0</v>
      </c>
      <c r="BFE2" s="8">
        <f>COUNT(BFF4:BFF400)</f>
        <v>0</v>
      </c>
      <c r="BFG2" s="8">
        <f>COUNT(BFH4:BFH400)</f>
        <v>0</v>
      </c>
      <c r="BFI2" s="8">
        <f>COUNT(BFJ4:BFJ400)</f>
        <v>0</v>
      </c>
      <c r="BFK2" s="8">
        <f>COUNT(BFL4:BFL400)</f>
        <v>0</v>
      </c>
      <c r="BFM2" s="8">
        <f>COUNT(BFN4:BFN400)</f>
        <v>0</v>
      </c>
      <c r="BFO2" s="8">
        <f>COUNT(BFP4:BFP400)</f>
        <v>0</v>
      </c>
      <c r="BFQ2" s="8">
        <f>COUNT(BFR4:BFR400)</f>
        <v>0</v>
      </c>
      <c r="BFS2" s="8">
        <f>COUNT(BFT4:BFT400)</f>
        <v>0</v>
      </c>
      <c r="BFU2" s="8">
        <f>COUNT(BFV4:BFV400)</f>
        <v>0</v>
      </c>
      <c r="BFW2" s="8">
        <f>COUNT(BFX4:BFX400)</f>
        <v>0</v>
      </c>
      <c r="BFY2" s="8">
        <f>COUNT(BFZ4:BFZ400)</f>
        <v>0</v>
      </c>
      <c r="BGA2" s="8">
        <f>COUNT(BGB4:BGB400)</f>
        <v>0</v>
      </c>
      <c r="BGC2" s="8">
        <f>COUNT(BGD4:BGD400)</f>
        <v>0</v>
      </c>
      <c r="BGE2" s="8">
        <f>COUNT(BGF4:BGF400)</f>
        <v>0</v>
      </c>
      <c r="BGG2" s="8">
        <f>COUNT(BGH4:BGH400)</f>
        <v>0</v>
      </c>
      <c r="BGI2" s="8">
        <f>COUNT(BGJ4:BGJ400)</f>
        <v>0</v>
      </c>
      <c r="BGK2" s="8">
        <f>COUNT(BGL4:BGL400)</f>
        <v>0</v>
      </c>
      <c r="BGM2" s="8">
        <f>COUNT(BGN4:BGN400)</f>
        <v>0</v>
      </c>
      <c r="BGO2" s="8">
        <f>COUNT(BGP4:BGP400)</f>
        <v>0</v>
      </c>
      <c r="BGQ2" s="8">
        <f>COUNT(BGR4:BGR400)</f>
        <v>0</v>
      </c>
      <c r="BGS2" s="8">
        <f>COUNT(BGT4:BGT400)</f>
        <v>0</v>
      </c>
      <c r="BGU2" s="8">
        <f>COUNT(BGV4:BGV400)</f>
        <v>0</v>
      </c>
      <c r="BGW2" s="8">
        <f>COUNT(BGX4:BGX400)</f>
        <v>0</v>
      </c>
      <c r="BGY2" s="8">
        <f>COUNT(BGZ4:BGZ400)</f>
        <v>0</v>
      </c>
      <c r="BHA2" s="8">
        <f>COUNT(BHB4:BHB400)</f>
        <v>0</v>
      </c>
      <c r="BHC2" s="8">
        <f>COUNT(BHD4:BHD400)</f>
        <v>0</v>
      </c>
      <c r="BHE2" s="8">
        <f>COUNT(BHF4:BHF400)</f>
        <v>0</v>
      </c>
      <c r="BHG2" s="8">
        <f>COUNT(BHH4:BHH400)</f>
        <v>0</v>
      </c>
      <c r="BHI2" s="8">
        <f>COUNT(BHJ4:BHJ400)</f>
        <v>0</v>
      </c>
      <c r="BHK2" s="8">
        <f>COUNT(BHL4:BHL400)</f>
        <v>0</v>
      </c>
      <c r="BHM2" s="8">
        <f>COUNT(BHN4:BHN400)</f>
        <v>0</v>
      </c>
      <c r="BHO2" s="8">
        <f>COUNT(BHP4:BHP400)</f>
        <v>0</v>
      </c>
      <c r="BHQ2" s="8">
        <f>COUNT(BHR4:BHR400)</f>
        <v>0</v>
      </c>
      <c r="BHS2" s="8">
        <f>COUNT(BHT4:BHT400)</f>
        <v>0</v>
      </c>
      <c r="BHU2" s="8">
        <f>COUNT(BHV4:BHV400)</f>
        <v>0</v>
      </c>
      <c r="BHW2" s="8">
        <f>COUNT(BHX4:BHX400)</f>
        <v>0</v>
      </c>
      <c r="BHY2" s="8">
        <f>COUNT(BHZ4:BHZ400)</f>
        <v>0</v>
      </c>
      <c r="BIA2" s="8">
        <f>COUNT(BIB4:BIB400)</f>
        <v>0</v>
      </c>
      <c r="BIC2" s="8">
        <f>COUNT(BID4:BID400)</f>
        <v>0</v>
      </c>
      <c r="BIE2" s="8">
        <f>COUNT(BIF4:BIF400)</f>
        <v>0</v>
      </c>
      <c r="BIG2" s="8">
        <f>COUNT(BIH4:BIH400)</f>
        <v>0</v>
      </c>
      <c r="BII2" s="8">
        <f>COUNT(BIJ4:BIJ400)</f>
        <v>0</v>
      </c>
      <c r="BIK2" s="8">
        <f>COUNT(BIL4:BIL400)</f>
        <v>0</v>
      </c>
      <c r="BIM2" s="8">
        <f>COUNT(BIN4:BIN400)</f>
        <v>0</v>
      </c>
      <c r="BIO2" s="8">
        <f>COUNT(BIP4:BIP400)</f>
        <v>0</v>
      </c>
      <c r="BIQ2" s="8">
        <f>COUNT(BIR4:BIR400)</f>
        <v>0</v>
      </c>
      <c r="BIS2" s="8">
        <f>COUNT(BIT4:BIT400)</f>
        <v>0</v>
      </c>
      <c r="BIU2" s="8">
        <f>COUNT(BIV4:BIV400)</f>
        <v>0</v>
      </c>
      <c r="BIW2" s="8">
        <f>COUNT(BIX4:BIX400)</f>
        <v>0</v>
      </c>
      <c r="BIY2" s="8">
        <f>COUNT(BIZ4:BIZ400)</f>
        <v>0</v>
      </c>
      <c r="BJA2" s="8">
        <f>COUNT(BJB4:BJB400)</f>
        <v>0</v>
      </c>
      <c r="BJC2" s="8">
        <f>COUNT(BJD4:BJD400)</f>
        <v>0</v>
      </c>
      <c r="BJE2" s="8">
        <f>COUNT(BJF4:BJF400)</f>
        <v>0</v>
      </c>
      <c r="BJG2" s="8">
        <f>COUNT(BJH4:BJH400)</f>
        <v>0</v>
      </c>
      <c r="BJI2" s="8">
        <f>COUNT(BJJ4:BJJ400)</f>
        <v>0</v>
      </c>
      <c r="BJK2" s="8">
        <f>COUNT(BJL4:BJL400)</f>
        <v>0</v>
      </c>
      <c r="BJM2" s="8">
        <f>COUNT(BJN4:BJN400)</f>
        <v>0</v>
      </c>
      <c r="BJO2" s="8">
        <f>COUNT(BJP4:BJP400)</f>
        <v>0</v>
      </c>
      <c r="BJQ2" s="8">
        <f>COUNT(BJR4:BJR400)</f>
        <v>0</v>
      </c>
      <c r="BJS2" s="8">
        <f>COUNT(BJT4:BJT400)</f>
        <v>0</v>
      </c>
      <c r="BJU2" s="8">
        <f>COUNT(BJV4:BJV400)</f>
        <v>0</v>
      </c>
      <c r="BJW2" s="8">
        <f>COUNT(BJX4:BJX400)</f>
        <v>0</v>
      </c>
      <c r="BJY2" s="8">
        <f>COUNT(BJZ4:BJZ400)</f>
        <v>0</v>
      </c>
      <c r="BKA2" s="8">
        <f>COUNT(BKB4:BKB400)</f>
        <v>0</v>
      </c>
      <c r="BKC2" s="8">
        <f>COUNT(BKD4:BKD400)</f>
        <v>0</v>
      </c>
      <c r="BKE2" s="8">
        <f>COUNT(BKF4:BKF400)</f>
        <v>0</v>
      </c>
      <c r="BKG2" s="8">
        <f>COUNT(BKH4:BKH400)</f>
        <v>0</v>
      </c>
      <c r="BKI2" s="8">
        <f>COUNT(BKJ4:BKJ400)</f>
        <v>0</v>
      </c>
      <c r="BKK2" s="8">
        <f>COUNT(BKL4:BKL400)</f>
        <v>0</v>
      </c>
      <c r="BKM2" s="8">
        <f>COUNT(BKN4:BKN400)</f>
        <v>0</v>
      </c>
      <c r="BKO2" s="8">
        <f>COUNT(BKP4:BKP400)</f>
        <v>0</v>
      </c>
      <c r="BKQ2" s="8">
        <f>COUNT(BKR4:BKR400)</f>
        <v>0</v>
      </c>
      <c r="BKS2" s="8">
        <f>COUNT(BKT4:BKT400)</f>
        <v>0</v>
      </c>
      <c r="BKU2" s="8">
        <f>COUNT(BKV4:BKV400)</f>
        <v>0</v>
      </c>
      <c r="BKW2" s="8">
        <f>COUNT(BKX4:BKX400)</f>
        <v>0</v>
      </c>
      <c r="BKY2" s="8">
        <f>COUNT(BKZ4:BKZ400)</f>
        <v>0</v>
      </c>
      <c r="BLA2" s="8">
        <f>COUNT(BLB4:BLB400)</f>
        <v>0</v>
      </c>
      <c r="BLC2" s="8">
        <f>COUNT(BLD4:BLD400)</f>
        <v>0</v>
      </c>
      <c r="BLE2" s="8">
        <f>COUNT(BLF4:BLF400)</f>
        <v>0</v>
      </c>
      <c r="BLG2" s="8">
        <f>COUNT(BLH4:BLH400)</f>
        <v>0</v>
      </c>
      <c r="BLI2" s="8">
        <f>COUNT(BLJ4:BLJ400)</f>
        <v>0</v>
      </c>
      <c r="BLK2" s="8">
        <f>COUNT(BLL4:BLL400)</f>
        <v>0</v>
      </c>
      <c r="BLM2" s="8">
        <f>COUNT(BLN4:BLN400)</f>
        <v>0</v>
      </c>
      <c r="BLO2" s="8">
        <f>COUNT(BLP4:BLP400)</f>
        <v>0</v>
      </c>
      <c r="BLQ2" s="8">
        <f>COUNT(BLR4:BLR400)</f>
        <v>0</v>
      </c>
      <c r="BLS2" s="8">
        <f>COUNT(BLT4:BLT400)</f>
        <v>0</v>
      </c>
      <c r="BLU2" s="8">
        <f>COUNT(BLV4:BLV400)</f>
        <v>0</v>
      </c>
      <c r="BLW2" s="8">
        <f>COUNT(BLX4:BLX400)</f>
        <v>0</v>
      </c>
      <c r="BLY2" s="8">
        <f>COUNT(BLZ4:BLZ400)</f>
        <v>0</v>
      </c>
      <c r="BMA2" s="8">
        <f>COUNT(BMB4:BMB400)</f>
        <v>0</v>
      </c>
      <c r="BMC2" s="8">
        <f>COUNT(BMD4:BMD400)</f>
        <v>0</v>
      </c>
      <c r="BME2" s="8">
        <f>COUNT(BMF4:BMF400)</f>
        <v>0</v>
      </c>
      <c r="BMG2" s="8">
        <f>COUNT(BMH4:BMH400)</f>
        <v>0</v>
      </c>
      <c r="BMI2" s="8">
        <f>COUNT(BMJ4:BMJ400)</f>
        <v>0</v>
      </c>
      <c r="BMK2" s="8">
        <f>COUNT(BML4:BML400)</f>
        <v>0</v>
      </c>
      <c r="BMM2" s="8">
        <f>COUNT(BMN4:BMN400)</f>
        <v>0</v>
      </c>
      <c r="BMO2" s="8">
        <f>COUNT(BMP4:BMP400)</f>
        <v>0</v>
      </c>
      <c r="BMQ2" s="8">
        <f>COUNT(BMR4:BMR400)</f>
        <v>0</v>
      </c>
      <c r="BMS2" s="8">
        <f>COUNT(BMT4:BMT400)</f>
        <v>0</v>
      </c>
      <c r="BMU2" s="8">
        <f>COUNT(BMV4:BMV400)</f>
        <v>0</v>
      </c>
      <c r="BMW2" s="8">
        <f>COUNT(BMX4:BMX400)</f>
        <v>0</v>
      </c>
      <c r="BMY2" s="8">
        <f>COUNT(BMZ4:BMZ400)</f>
        <v>0</v>
      </c>
      <c r="BNA2" s="8">
        <f>COUNT(BNB4:BNB400)</f>
        <v>0</v>
      </c>
      <c r="BNC2" s="8">
        <f>COUNT(BND4:BND400)</f>
        <v>0</v>
      </c>
      <c r="BNE2" s="8">
        <f>COUNT(BNF4:BNF400)</f>
        <v>0</v>
      </c>
      <c r="BNG2" s="8">
        <f>COUNT(BNH4:BNH400)</f>
        <v>0</v>
      </c>
      <c r="BNI2" s="8">
        <f>COUNT(BNJ4:BNJ400)</f>
        <v>0</v>
      </c>
      <c r="BNK2" s="8">
        <f>COUNT(BNL4:BNL400)</f>
        <v>0</v>
      </c>
      <c r="BNM2" s="8">
        <f>COUNT(BNN4:BNN400)</f>
        <v>0</v>
      </c>
      <c r="BNO2" s="8">
        <f>COUNT(BNP4:BNP400)</f>
        <v>0</v>
      </c>
      <c r="BNQ2" s="8">
        <f>COUNT(BNR4:BNR400)</f>
        <v>0</v>
      </c>
      <c r="BNS2" s="8">
        <f>COUNT(BNT4:BNT400)</f>
        <v>0</v>
      </c>
      <c r="BNU2" s="8">
        <f>COUNT(BNV4:BNV400)</f>
        <v>0</v>
      </c>
      <c r="BNW2" s="8">
        <f>COUNT(BNX4:BNX400)</f>
        <v>0</v>
      </c>
      <c r="BNY2" s="8">
        <f>COUNT(BNZ4:BNZ400)</f>
        <v>0</v>
      </c>
      <c r="BOA2" s="8">
        <f>COUNT(BOB4:BOB400)</f>
        <v>0</v>
      </c>
      <c r="BOC2" s="8">
        <f>COUNT(BOD4:BOD400)</f>
        <v>0</v>
      </c>
      <c r="BOE2" s="8">
        <f>COUNT(BOF4:BOF400)</f>
        <v>0</v>
      </c>
      <c r="BOG2" s="8">
        <f>COUNT(BOH4:BOH400)</f>
        <v>0</v>
      </c>
      <c r="BOI2" s="8">
        <f>COUNT(BOJ4:BOJ400)</f>
        <v>0</v>
      </c>
      <c r="BOK2" s="8">
        <f>COUNT(BOL4:BOL400)</f>
        <v>0</v>
      </c>
      <c r="BOM2" s="8">
        <f>COUNT(BON4:BON400)</f>
        <v>0</v>
      </c>
      <c r="BOO2" s="8">
        <f>COUNT(BOP4:BOP400)</f>
        <v>0</v>
      </c>
      <c r="BOQ2" s="8">
        <f>COUNT(BOR4:BOR400)</f>
        <v>0</v>
      </c>
      <c r="BOS2" s="8">
        <f>COUNT(BOT4:BOT400)</f>
        <v>0</v>
      </c>
      <c r="BOU2" s="8">
        <f>COUNT(BOV4:BOV400)</f>
        <v>0</v>
      </c>
      <c r="BOW2" s="8">
        <f>COUNT(BOX4:BOX400)</f>
        <v>0</v>
      </c>
      <c r="BOY2" s="8">
        <f>COUNT(BOZ4:BOZ400)</f>
        <v>0</v>
      </c>
      <c r="BPA2" s="8">
        <f>COUNT(BPB4:BPB400)</f>
        <v>0</v>
      </c>
      <c r="BPC2" s="8">
        <f>COUNT(BPD4:BPD400)</f>
        <v>0</v>
      </c>
      <c r="BPE2" s="8">
        <f>COUNT(BPF4:BPF400)</f>
        <v>0</v>
      </c>
      <c r="BPG2" s="8">
        <f>COUNT(BPH4:BPH400)</f>
        <v>0</v>
      </c>
      <c r="BPI2" s="8">
        <f>COUNT(BPJ4:BPJ400)</f>
        <v>0</v>
      </c>
      <c r="BPK2" s="8">
        <f>COUNT(BPL4:BPL400)</f>
        <v>0</v>
      </c>
      <c r="BPM2" s="8">
        <f>COUNT(BPN4:BPN400)</f>
        <v>0</v>
      </c>
      <c r="BPO2" s="8">
        <f>COUNT(BPP4:BPP400)</f>
        <v>0</v>
      </c>
      <c r="BPQ2" s="8">
        <f>COUNT(BPR4:BPR400)</f>
        <v>0</v>
      </c>
      <c r="BPS2" s="8">
        <f>COUNT(BPT4:BPT400)</f>
        <v>0</v>
      </c>
      <c r="BPU2" s="8">
        <f>COUNT(BPV4:BPV400)</f>
        <v>0</v>
      </c>
      <c r="BPW2" s="8">
        <f>COUNT(BPX4:BPX400)</f>
        <v>0</v>
      </c>
      <c r="BPY2" s="8">
        <f>COUNT(BPZ4:BPZ400)</f>
        <v>0</v>
      </c>
      <c r="BQA2" s="8">
        <f>COUNT(BQB4:BQB400)</f>
        <v>0</v>
      </c>
      <c r="BQC2" s="8">
        <f>COUNT(BQD4:BQD400)</f>
        <v>0</v>
      </c>
      <c r="BQE2" s="8">
        <f>COUNT(BQF4:BQF400)</f>
        <v>0</v>
      </c>
      <c r="BQG2" s="8">
        <f>COUNT(BQH4:BQH400)</f>
        <v>0</v>
      </c>
      <c r="BQI2" s="8">
        <f>COUNT(BQJ4:BQJ400)</f>
        <v>0</v>
      </c>
      <c r="BQK2" s="8">
        <f>COUNT(BQL4:BQL400)</f>
        <v>0</v>
      </c>
      <c r="BQM2" s="8">
        <f>COUNT(BQN4:BQN400)</f>
        <v>0</v>
      </c>
      <c r="BQO2" s="8">
        <f>COUNT(BQP4:BQP400)</f>
        <v>0</v>
      </c>
      <c r="BQQ2" s="8">
        <f>COUNT(BQR4:BQR400)</f>
        <v>0</v>
      </c>
      <c r="BQS2" s="8">
        <f>COUNT(BQT4:BQT400)</f>
        <v>0</v>
      </c>
      <c r="BQU2" s="8">
        <f>COUNT(BQV4:BQV400)</f>
        <v>0</v>
      </c>
      <c r="BQW2" s="8">
        <f>COUNT(BQX4:BQX400)</f>
        <v>0</v>
      </c>
      <c r="BQY2" s="8">
        <f>COUNT(BQZ4:BQZ400)</f>
        <v>0</v>
      </c>
      <c r="BRA2" s="8">
        <f>COUNT(BRB4:BRB400)</f>
        <v>0</v>
      </c>
      <c r="BRC2" s="8">
        <f>COUNT(BRD4:BRD400)</f>
        <v>0</v>
      </c>
      <c r="BRE2" s="8">
        <f>COUNT(BRF4:BRF400)</f>
        <v>0</v>
      </c>
      <c r="BRG2" s="8">
        <f>COUNT(BRH4:BRH400)</f>
        <v>0</v>
      </c>
      <c r="BRI2" s="8">
        <f>COUNT(BRJ4:BRJ400)</f>
        <v>0</v>
      </c>
      <c r="BRK2" s="8">
        <f>COUNT(BRL4:BRL400)</f>
        <v>0</v>
      </c>
      <c r="BRM2" s="8">
        <f>COUNT(BRN4:BRN400)</f>
        <v>0</v>
      </c>
      <c r="BRO2" s="8">
        <f>COUNT(BRP4:BRP400)</f>
        <v>0</v>
      </c>
      <c r="BRQ2" s="8">
        <f>COUNT(BRR4:BRR400)</f>
        <v>0</v>
      </c>
      <c r="BRS2" s="8">
        <f>COUNT(BRT4:BRT400)</f>
        <v>0</v>
      </c>
      <c r="BRU2" s="8">
        <f>COUNT(BRV4:BRV400)</f>
        <v>0</v>
      </c>
      <c r="BRW2" s="8">
        <f>COUNT(BRX4:BRX400)</f>
        <v>0</v>
      </c>
      <c r="BRY2" s="8">
        <f>COUNT(BRZ4:BRZ400)</f>
        <v>0</v>
      </c>
      <c r="BSA2" s="8">
        <f>COUNT(BSB4:BSB400)</f>
        <v>0</v>
      </c>
      <c r="BSC2" s="8">
        <f>COUNT(BSD4:BSD400)</f>
        <v>0</v>
      </c>
      <c r="BSE2" s="8">
        <f>COUNT(BSF4:BSF400)</f>
        <v>0</v>
      </c>
      <c r="BSG2" s="8">
        <f>COUNT(BSH4:BSH400)</f>
        <v>0</v>
      </c>
      <c r="BSI2" s="8">
        <f>COUNT(BSJ4:BSJ400)</f>
        <v>0</v>
      </c>
      <c r="BSK2" s="8">
        <f>COUNT(BSL4:BSL400)</f>
        <v>0</v>
      </c>
      <c r="BSM2" s="8">
        <f>COUNT(BSN4:BSN400)</f>
        <v>0</v>
      </c>
      <c r="BSO2" s="8">
        <f>COUNT(BSP4:BSP400)</f>
        <v>0</v>
      </c>
      <c r="BSQ2" s="8">
        <f>COUNT(BSR4:BSR400)</f>
        <v>0</v>
      </c>
      <c r="BSS2" s="8">
        <f>COUNT(BST4:BST400)</f>
        <v>0</v>
      </c>
      <c r="BSU2" s="8">
        <f>COUNT(BSV4:BSV400)</f>
        <v>0</v>
      </c>
      <c r="BSW2" s="8">
        <f>COUNT(BSX4:BSX400)</f>
        <v>0</v>
      </c>
      <c r="BSY2" s="8">
        <f>COUNT(BSZ4:BSZ400)</f>
        <v>0</v>
      </c>
      <c r="BTA2" s="8">
        <f>COUNT(BTB4:BTB400)</f>
        <v>0</v>
      </c>
      <c r="BTC2" s="8">
        <f>COUNT(BTD4:BTD400)</f>
        <v>0</v>
      </c>
      <c r="BTE2" s="8">
        <f>COUNT(BTF4:BTF400)</f>
        <v>0</v>
      </c>
      <c r="BTG2" s="8">
        <f>COUNT(BTH4:BTH400)</f>
        <v>0</v>
      </c>
      <c r="BTI2" s="8">
        <f>COUNT(BTJ4:BTJ400)</f>
        <v>0</v>
      </c>
      <c r="BTK2" s="8">
        <f>COUNT(BTL4:BTL400)</f>
        <v>0</v>
      </c>
      <c r="BTM2" s="8">
        <f>COUNT(BTN4:BTN400)</f>
        <v>0</v>
      </c>
      <c r="BTO2" s="8">
        <f>COUNT(BTP4:BTP400)</f>
        <v>0</v>
      </c>
      <c r="BTQ2" s="8">
        <f>COUNT(BTR4:BTR400)</f>
        <v>0</v>
      </c>
      <c r="BTS2" s="8">
        <f>COUNT(BTT4:BTT400)</f>
        <v>0</v>
      </c>
      <c r="BTU2" s="8">
        <f>COUNT(BTV4:BTV400)</f>
        <v>0</v>
      </c>
      <c r="BTW2" s="8">
        <f>COUNT(BTX4:BTX400)</f>
        <v>0</v>
      </c>
      <c r="BTY2" s="8">
        <f>COUNT(BTZ4:BTZ400)</f>
        <v>0</v>
      </c>
      <c r="BUA2" s="8">
        <f>COUNT(BUB4:BUB400)</f>
        <v>0</v>
      </c>
      <c r="BUC2" s="8">
        <f>COUNT(BUD4:BUD400)</f>
        <v>0</v>
      </c>
      <c r="BUE2" s="8">
        <f>COUNT(BUF4:BUF400)</f>
        <v>0</v>
      </c>
      <c r="BUG2" s="8">
        <f>COUNT(BUH4:BUH400)</f>
        <v>0</v>
      </c>
      <c r="BUI2" s="8">
        <f>COUNT(BUJ4:BUJ400)</f>
        <v>0</v>
      </c>
      <c r="BUK2" s="8">
        <f>COUNT(BUL4:BUL400)</f>
        <v>0</v>
      </c>
      <c r="BUM2" s="8">
        <f>COUNT(BUN4:BUN400)</f>
        <v>0</v>
      </c>
      <c r="BUO2" s="8">
        <f>COUNT(BUP4:BUP400)</f>
        <v>0</v>
      </c>
      <c r="BUQ2" s="8">
        <f>COUNT(BUR4:BUR400)</f>
        <v>0</v>
      </c>
      <c r="BUS2" s="8">
        <f>COUNT(BUT4:BUT400)</f>
        <v>0</v>
      </c>
      <c r="BUU2" s="8">
        <f>COUNT(BUV4:BUV400)</f>
        <v>0</v>
      </c>
      <c r="BUW2" s="8">
        <f>COUNT(BUX4:BUX400)</f>
        <v>0</v>
      </c>
      <c r="BUY2" s="8">
        <f>COUNT(BUZ4:BUZ400)</f>
        <v>0</v>
      </c>
      <c r="BVA2" s="8">
        <f>COUNT(BVB4:BVB400)</f>
        <v>0</v>
      </c>
      <c r="BVC2" s="8">
        <f>COUNT(BVD4:BVD400)</f>
        <v>0</v>
      </c>
      <c r="BVE2" s="8">
        <f>COUNT(BVF4:BVF400)</f>
        <v>0</v>
      </c>
      <c r="BVG2" s="8">
        <f>COUNT(BVH4:BVH400)</f>
        <v>0</v>
      </c>
      <c r="BVI2" s="8">
        <f>COUNT(BVJ4:BVJ400)</f>
        <v>0</v>
      </c>
      <c r="BVK2" s="8">
        <f>COUNT(BVL4:BVL400)</f>
        <v>0</v>
      </c>
      <c r="BVM2" s="8">
        <f>COUNT(BVN4:BVN400)</f>
        <v>0</v>
      </c>
      <c r="BVO2" s="8">
        <f>COUNT(BVP4:BVP400)</f>
        <v>0</v>
      </c>
      <c r="BVQ2" s="8">
        <f>COUNT(BVR4:BVR400)</f>
        <v>0</v>
      </c>
      <c r="BVS2" s="8">
        <f>COUNT(BVT4:BVT400)</f>
        <v>0</v>
      </c>
      <c r="BVU2" s="8">
        <f>COUNT(BVV4:BVV400)</f>
        <v>0</v>
      </c>
      <c r="BVW2" s="8">
        <f>COUNT(BVX4:BVX400)</f>
        <v>0</v>
      </c>
      <c r="BVY2" s="8">
        <f>COUNT(BVZ4:BVZ400)</f>
        <v>0</v>
      </c>
      <c r="BWA2" s="8">
        <f>COUNT(BWB4:BWB400)</f>
        <v>0</v>
      </c>
      <c r="BWC2" s="8">
        <f>COUNT(BWD4:BWD400)</f>
        <v>0</v>
      </c>
      <c r="BWE2" s="8">
        <f>COUNT(BWF4:BWF400)</f>
        <v>0</v>
      </c>
      <c r="BWG2" s="8">
        <f>COUNT(BWH4:BWH400)</f>
        <v>0</v>
      </c>
      <c r="BWI2" s="8">
        <f>COUNT(BWJ4:BWJ400)</f>
        <v>0</v>
      </c>
      <c r="BWK2" s="8">
        <f>COUNT(BWL4:BWL400)</f>
        <v>0</v>
      </c>
      <c r="BWM2" s="8">
        <f>COUNT(BWN4:BWN400)</f>
        <v>0</v>
      </c>
      <c r="BWO2" s="8">
        <f>COUNT(BWP4:BWP400)</f>
        <v>0</v>
      </c>
      <c r="BWQ2" s="8">
        <f>COUNT(BWR4:BWR400)</f>
        <v>0</v>
      </c>
      <c r="BWS2" s="8">
        <f>COUNT(BWT4:BWT400)</f>
        <v>0</v>
      </c>
      <c r="BWU2" s="8">
        <f>COUNT(BWV4:BWV400)</f>
        <v>0</v>
      </c>
      <c r="BWW2" s="8">
        <f>COUNT(BWX4:BWX400)</f>
        <v>0</v>
      </c>
      <c r="BWY2" s="8">
        <f>COUNT(BWZ4:BWZ400)</f>
        <v>0</v>
      </c>
      <c r="BXA2" s="8">
        <f>COUNT(BXB4:BXB400)</f>
        <v>0</v>
      </c>
      <c r="BXC2" s="8">
        <f>COUNT(BXD4:BXD400)</f>
        <v>0</v>
      </c>
      <c r="BXE2" s="8">
        <f>COUNT(BXF4:BXF400)</f>
        <v>0</v>
      </c>
      <c r="BXG2" s="8">
        <f>COUNT(BXH4:BXH400)</f>
        <v>0</v>
      </c>
      <c r="BXI2" s="8">
        <f>COUNT(BXJ4:BXJ400)</f>
        <v>0</v>
      </c>
      <c r="BXK2" s="8">
        <f>COUNT(BXL4:BXL400)</f>
        <v>0</v>
      </c>
      <c r="BXM2" s="8">
        <f>COUNT(BXN4:BXN400)</f>
        <v>0</v>
      </c>
      <c r="BXO2" s="8">
        <f>COUNT(BXP4:BXP400)</f>
        <v>0</v>
      </c>
      <c r="BXQ2" s="8">
        <f>COUNT(BXR4:BXR400)</f>
        <v>0</v>
      </c>
      <c r="BXS2" s="8">
        <f>COUNT(BXT4:BXT400)</f>
        <v>0</v>
      </c>
      <c r="BXU2" s="8">
        <f>COUNT(BXV4:BXV400)</f>
        <v>0</v>
      </c>
      <c r="BXW2" s="8">
        <f>COUNT(BXX4:BXX400)</f>
        <v>0</v>
      </c>
      <c r="BXY2" s="8">
        <f>COUNT(BXZ4:BXZ400)</f>
        <v>0</v>
      </c>
      <c r="BYA2" s="8">
        <f>COUNT(BYB4:BYB400)</f>
        <v>0</v>
      </c>
      <c r="BYC2" s="8">
        <f>COUNT(BYD4:BYD400)</f>
        <v>0</v>
      </c>
      <c r="BYE2" s="8">
        <f>COUNT(BYF4:BYF400)</f>
        <v>0</v>
      </c>
      <c r="BYG2" s="8">
        <f>COUNT(BYH4:BYH400)</f>
        <v>0</v>
      </c>
      <c r="BYI2" s="8">
        <f>COUNT(BYJ4:BYJ400)</f>
        <v>0</v>
      </c>
      <c r="BYK2" s="8">
        <f>COUNT(BYL4:BYL400)</f>
        <v>0</v>
      </c>
      <c r="BYM2" s="8">
        <f>COUNT(BYN4:BYN400)</f>
        <v>0</v>
      </c>
      <c r="BYO2" s="8">
        <f>COUNT(BYP4:BYP400)</f>
        <v>0</v>
      </c>
      <c r="BYQ2" s="8">
        <f>COUNT(BYR4:BYR400)</f>
        <v>0</v>
      </c>
      <c r="BYS2" s="8">
        <f>COUNT(BYT4:BYT400)</f>
        <v>0</v>
      </c>
      <c r="BYU2" s="8">
        <f>COUNT(BYV4:BYV400)</f>
        <v>0</v>
      </c>
      <c r="BYW2" s="8">
        <f>COUNT(BYX4:BYX400)</f>
        <v>0</v>
      </c>
      <c r="BYY2" s="8">
        <f>COUNT(BYZ4:BYZ400)</f>
        <v>0</v>
      </c>
      <c r="BZA2" s="8">
        <f>COUNT(BZB4:BZB400)</f>
        <v>0</v>
      </c>
      <c r="BZC2" s="8">
        <f>COUNT(BZD4:BZD400)</f>
        <v>0</v>
      </c>
      <c r="BZE2" s="8">
        <f>COUNT(BZF4:BZF400)</f>
        <v>0</v>
      </c>
      <c r="BZG2" s="8">
        <f>COUNT(BZH4:BZH400)</f>
        <v>0</v>
      </c>
      <c r="BZI2" s="8">
        <f>COUNT(BZJ4:BZJ400)</f>
        <v>0</v>
      </c>
      <c r="BZK2" s="8">
        <f>COUNT(BZL4:BZL400)</f>
        <v>0</v>
      </c>
      <c r="BZM2" s="8">
        <f>COUNT(BZN4:BZN400)</f>
        <v>0</v>
      </c>
      <c r="BZO2" s="8">
        <f>COUNT(BZP4:BZP400)</f>
        <v>0</v>
      </c>
      <c r="BZQ2" s="8">
        <f>COUNT(BZR4:BZR400)</f>
        <v>0</v>
      </c>
      <c r="BZS2" s="8">
        <f>COUNT(BZT4:BZT400)</f>
        <v>0</v>
      </c>
      <c r="BZU2" s="8">
        <f>COUNT(BZV4:BZV400)</f>
        <v>0</v>
      </c>
      <c r="BZW2" s="8">
        <f>COUNT(BZX4:BZX400)</f>
        <v>0</v>
      </c>
      <c r="BZY2" s="8">
        <f>COUNT(BZZ4:BZZ400)</f>
        <v>0</v>
      </c>
      <c r="CAA2" s="8">
        <f>COUNT(CAB4:CAB400)</f>
        <v>0</v>
      </c>
      <c r="CAC2" s="8">
        <f>COUNT(CAD4:CAD400)</f>
        <v>0</v>
      </c>
      <c r="CAE2" s="8">
        <f>COUNT(CAF4:CAF400)</f>
        <v>0</v>
      </c>
      <c r="CAG2" s="8">
        <f>COUNT(CAH4:CAH400)</f>
        <v>0</v>
      </c>
      <c r="CAI2" s="8">
        <f>COUNT(CAJ4:CAJ400)</f>
        <v>0</v>
      </c>
      <c r="CAK2" s="8">
        <f>COUNT(CAL4:CAL400)</f>
        <v>0</v>
      </c>
      <c r="CAM2" s="8">
        <f>COUNT(CAN4:CAN400)</f>
        <v>0</v>
      </c>
      <c r="CAO2" s="8">
        <f>COUNT(CAP4:CAP400)</f>
        <v>0</v>
      </c>
      <c r="CAQ2" s="8">
        <f>COUNT(CAR4:CAR400)</f>
        <v>0</v>
      </c>
      <c r="CAS2" s="8">
        <f>COUNT(CAT4:CAT400)</f>
        <v>0</v>
      </c>
      <c r="CAU2" s="8">
        <f>COUNT(CAV4:CAV400)</f>
        <v>0</v>
      </c>
      <c r="CAW2" s="8">
        <f>COUNT(CAX4:CAX400)</f>
        <v>0</v>
      </c>
      <c r="CAY2" s="8">
        <f>COUNT(CAZ4:CAZ400)</f>
        <v>0</v>
      </c>
      <c r="CBA2" s="8">
        <f>COUNT(CBB4:CBB400)</f>
        <v>0</v>
      </c>
      <c r="CBC2" s="8">
        <f>COUNT(CBD4:CBD400)</f>
        <v>0</v>
      </c>
      <c r="CBE2" s="8">
        <f>COUNT(CBF4:CBF400)</f>
        <v>0</v>
      </c>
      <c r="CBG2" s="8">
        <f>COUNT(CBH4:CBH400)</f>
        <v>0</v>
      </c>
      <c r="CBI2" s="8">
        <f>COUNT(CBJ4:CBJ400)</f>
        <v>0</v>
      </c>
      <c r="CBK2" s="8">
        <f>COUNT(CBL4:CBL400)</f>
        <v>0</v>
      </c>
      <c r="CBM2" s="8">
        <f>COUNT(CBN4:CBN400)</f>
        <v>0</v>
      </c>
      <c r="CBO2" s="8">
        <f>COUNT(CBP4:CBP400)</f>
        <v>0</v>
      </c>
      <c r="CBQ2" s="8">
        <f>COUNT(CBR4:CBR400)</f>
        <v>0</v>
      </c>
      <c r="CBS2" s="8">
        <f>COUNT(CBT4:CBT400)</f>
        <v>0</v>
      </c>
      <c r="CBU2" s="8">
        <f>COUNT(CBV4:CBV400)</f>
        <v>0</v>
      </c>
      <c r="CBW2" s="8">
        <f>COUNT(CBX4:CBX400)</f>
        <v>0</v>
      </c>
      <c r="CBY2" s="8">
        <f>COUNT(CBZ4:CBZ400)</f>
        <v>0</v>
      </c>
      <c r="CCA2" s="8">
        <f>COUNT(CCB4:CCB400)</f>
        <v>0</v>
      </c>
      <c r="CCC2" s="8">
        <f>COUNT(CCD4:CCD400)</f>
        <v>0</v>
      </c>
      <c r="CCE2" s="8">
        <f>COUNT(CCF4:CCF400)</f>
        <v>0</v>
      </c>
      <c r="CCG2" s="8">
        <f>COUNT(CCH4:CCH400)</f>
        <v>0</v>
      </c>
      <c r="CCI2" s="8">
        <f>COUNT(CCJ4:CCJ400)</f>
        <v>0</v>
      </c>
      <c r="CCK2" s="8">
        <f>COUNT(CCL4:CCL400)</f>
        <v>0</v>
      </c>
      <c r="CCM2" s="8">
        <f>COUNT(CCN4:CCN400)</f>
        <v>0</v>
      </c>
      <c r="CCO2" s="8">
        <f>COUNT(CCP4:CCP400)</f>
        <v>0</v>
      </c>
      <c r="CCQ2" s="8">
        <f>COUNT(CCR4:CCR400)</f>
        <v>0</v>
      </c>
      <c r="CCS2" s="8">
        <f>COUNT(CCT4:CCT400)</f>
        <v>0</v>
      </c>
      <c r="CCU2" s="8">
        <f>COUNT(CCV4:CCV400)</f>
        <v>0</v>
      </c>
      <c r="CCW2" s="8">
        <f>COUNT(CCX4:CCX400)</f>
        <v>0</v>
      </c>
      <c r="CCY2" s="8">
        <f>COUNT(CCZ4:CCZ400)</f>
        <v>0</v>
      </c>
      <c r="CDA2" s="8">
        <f>COUNT(CDB4:CDB400)</f>
        <v>0</v>
      </c>
      <c r="CDC2" s="8">
        <f>COUNT(CDD4:CDD400)</f>
        <v>0</v>
      </c>
      <c r="CDE2" s="8">
        <f>COUNT(CDF4:CDF400)</f>
        <v>0</v>
      </c>
      <c r="CDG2" s="8">
        <f>COUNT(CDH4:CDH400)</f>
        <v>0</v>
      </c>
      <c r="CDI2" s="8">
        <f>COUNT(CDJ4:CDJ400)</f>
        <v>0</v>
      </c>
      <c r="CDK2" s="8">
        <f>COUNT(CDL4:CDL400)</f>
        <v>0</v>
      </c>
      <c r="CDM2" s="8">
        <f>COUNT(CDN4:CDN400)</f>
        <v>0</v>
      </c>
      <c r="CDO2" s="8">
        <f>COUNT(CDP4:CDP400)</f>
        <v>0</v>
      </c>
      <c r="CDQ2" s="8">
        <f>COUNT(CDR4:CDR400)</f>
        <v>0</v>
      </c>
      <c r="CDS2" s="8">
        <f>COUNT(CDT4:CDT400)</f>
        <v>0</v>
      </c>
      <c r="CDU2" s="8">
        <f>COUNT(CDV4:CDV400)</f>
        <v>0</v>
      </c>
      <c r="CDW2" s="8">
        <f>COUNT(CDX4:CDX400)</f>
        <v>0</v>
      </c>
      <c r="CDY2" s="8">
        <f>COUNT(CDZ4:CDZ400)</f>
        <v>0</v>
      </c>
      <c r="CEA2" s="8">
        <f>COUNT(CEB4:CEB400)</f>
        <v>0</v>
      </c>
      <c r="CEC2" s="8">
        <f>COUNT(CED4:CED400)</f>
        <v>0</v>
      </c>
      <c r="CEE2" s="8">
        <f>COUNT(CEF4:CEF400)</f>
        <v>0</v>
      </c>
      <c r="CEG2" s="8">
        <f>COUNT(CEH4:CEH400)</f>
        <v>0</v>
      </c>
      <c r="CEI2" s="8">
        <f>COUNT(CEJ4:CEJ400)</f>
        <v>0</v>
      </c>
      <c r="CEK2" s="8">
        <f>COUNT(CEL4:CEL400)</f>
        <v>0</v>
      </c>
      <c r="CEM2" s="8">
        <f>COUNT(CEN4:CEN400)</f>
        <v>0</v>
      </c>
      <c r="CEO2" s="8">
        <f>COUNT(CEP4:CEP400)</f>
        <v>0</v>
      </c>
      <c r="CEQ2" s="8">
        <f>COUNT(CER4:CER400)</f>
        <v>0</v>
      </c>
      <c r="CES2" s="8">
        <f>COUNT(CET4:CET400)</f>
        <v>0</v>
      </c>
      <c r="CEU2" s="8">
        <f>COUNT(CEV4:CEV400)</f>
        <v>0</v>
      </c>
      <c r="CEW2" s="8">
        <f>COUNT(CEX4:CEX400)</f>
        <v>0</v>
      </c>
      <c r="CEY2" s="8">
        <f>COUNT(CEZ4:CEZ400)</f>
        <v>0</v>
      </c>
      <c r="CFA2" s="8">
        <f>COUNT(CFB4:CFB400)</f>
        <v>0</v>
      </c>
      <c r="CFC2" s="8">
        <f>COUNT(CFD4:CFD400)</f>
        <v>0</v>
      </c>
      <c r="CFE2" s="8">
        <f>COUNT(CFF4:CFF400)</f>
        <v>0</v>
      </c>
      <c r="CFG2" s="8">
        <f>COUNT(CFH4:CFH400)</f>
        <v>0</v>
      </c>
      <c r="CFI2" s="8">
        <f>COUNT(CFJ4:CFJ400)</f>
        <v>0</v>
      </c>
      <c r="CFK2" s="8">
        <f>COUNT(CFL4:CFL400)</f>
        <v>0</v>
      </c>
      <c r="CFM2" s="8">
        <f>COUNT(CFN4:CFN400)</f>
        <v>0</v>
      </c>
      <c r="CFO2" s="8">
        <f>COUNT(CFP4:CFP400)</f>
        <v>0</v>
      </c>
      <c r="CFQ2" s="8">
        <f>COUNT(CFR4:CFR400)</f>
        <v>0</v>
      </c>
      <c r="CFS2" s="8">
        <f>COUNT(CFT4:CFT400)</f>
        <v>0</v>
      </c>
      <c r="CFU2" s="8">
        <f>COUNT(CFV4:CFV400)</f>
        <v>0</v>
      </c>
      <c r="CFW2" s="8">
        <f>COUNT(CFX4:CFX400)</f>
        <v>0</v>
      </c>
      <c r="CFY2" s="8">
        <f>COUNT(CFZ4:CFZ400)</f>
        <v>0</v>
      </c>
      <c r="CGA2" s="8">
        <f>COUNT(CGB4:CGB400)</f>
        <v>0</v>
      </c>
      <c r="CGC2" s="8">
        <f>COUNT(CGD4:CGD400)</f>
        <v>0</v>
      </c>
      <c r="CGE2" s="8">
        <f>COUNT(CGF4:CGF400)</f>
        <v>0</v>
      </c>
      <c r="CGG2" s="8">
        <f>COUNT(CGH4:CGH400)</f>
        <v>0</v>
      </c>
      <c r="CGI2" s="8">
        <f>COUNT(CGJ4:CGJ400)</f>
        <v>0</v>
      </c>
      <c r="CGK2" s="8">
        <f>COUNT(CGL4:CGL400)</f>
        <v>0</v>
      </c>
      <c r="CGM2" s="8">
        <f>COUNT(CGN4:CGN400)</f>
        <v>0</v>
      </c>
      <c r="CGO2" s="8">
        <f>COUNT(CGP4:CGP400)</f>
        <v>0</v>
      </c>
      <c r="CGQ2" s="8">
        <f>COUNT(CGR4:CGR400)</f>
        <v>0</v>
      </c>
      <c r="CGS2" s="8">
        <f>COUNT(CGT4:CGT400)</f>
        <v>0</v>
      </c>
      <c r="CGU2" s="8">
        <f>COUNT(CGV4:CGV400)</f>
        <v>0</v>
      </c>
      <c r="CGW2" s="8">
        <f>COUNT(CGX4:CGX400)</f>
        <v>0</v>
      </c>
      <c r="CGY2" s="8">
        <f>COUNT(CGZ4:CGZ400)</f>
        <v>0</v>
      </c>
      <c r="CHA2" s="8">
        <f>COUNT(CHB4:CHB400)</f>
        <v>0</v>
      </c>
      <c r="CHC2" s="8">
        <f>COUNT(CHD4:CHD400)</f>
        <v>0</v>
      </c>
      <c r="CHE2" s="8">
        <f>COUNT(CHF4:CHF400)</f>
        <v>0</v>
      </c>
      <c r="CHG2" s="8">
        <f>COUNT(CHH4:CHH400)</f>
        <v>0</v>
      </c>
      <c r="CHI2" s="8">
        <f>COUNT(CHJ4:CHJ400)</f>
        <v>0</v>
      </c>
      <c r="CHK2" s="8">
        <f>COUNT(CHL4:CHL400)</f>
        <v>0</v>
      </c>
      <c r="CHM2" s="8">
        <f>COUNT(CHN4:CHN400)</f>
        <v>0</v>
      </c>
      <c r="CHO2" s="8">
        <f>COUNT(CHP4:CHP400)</f>
        <v>0</v>
      </c>
      <c r="CHQ2" s="8">
        <f>COUNT(CHR4:CHR400)</f>
        <v>0</v>
      </c>
      <c r="CHS2" s="8">
        <f>COUNT(CHT4:CHT400)</f>
        <v>0</v>
      </c>
      <c r="CHU2" s="8">
        <f>COUNT(CHV4:CHV400)</f>
        <v>0</v>
      </c>
      <c r="CHW2" s="8">
        <f>COUNT(CHX4:CHX400)</f>
        <v>0</v>
      </c>
      <c r="CHY2" s="8">
        <f>COUNT(CHZ4:CHZ400)</f>
        <v>0</v>
      </c>
      <c r="CIA2" s="8">
        <f>COUNT(CIB4:CIB400)</f>
        <v>0</v>
      </c>
      <c r="CIC2" s="8">
        <f>COUNT(CID4:CID400)</f>
        <v>0</v>
      </c>
      <c r="CIE2" s="8">
        <f>COUNT(CIF4:CIF400)</f>
        <v>0</v>
      </c>
      <c r="CIG2" s="8">
        <f>COUNT(CIH4:CIH400)</f>
        <v>0</v>
      </c>
      <c r="CII2" s="8">
        <f>COUNT(CIJ4:CIJ400)</f>
        <v>0</v>
      </c>
      <c r="CIK2" s="8">
        <f>COUNT(CIL4:CIL400)</f>
        <v>0</v>
      </c>
      <c r="CIM2" s="8">
        <f>COUNT(CIN4:CIN400)</f>
        <v>0</v>
      </c>
      <c r="CIO2" s="8">
        <f>COUNT(CIP4:CIP400)</f>
        <v>0</v>
      </c>
      <c r="CIQ2" s="8">
        <f>COUNT(CIR4:CIR400)</f>
        <v>0</v>
      </c>
      <c r="CIS2" s="8">
        <f>COUNT(CIT4:CIT400)</f>
        <v>0</v>
      </c>
      <c r="CIU2" s="8">
        <f>COUNT(CIV4:CIV400)</f>
        <v>0</v>
      </c>
      <c r="CIW2" s="8">
        <f>COUNT(CIX4:CIX400)</f>
        <v>0</v>
      </c>
      <c r="CIY2" s="8">
        <f>COUNT(CIZ4:CIZ400)</f>
        <v>0</v>
      </c>
      <c r="CJA2" s="8">
        <f>COUNT(CJB4:CJB400)</f>
        <v>0</v>
      </c>
      <c r="CJC2" s="8">
        <f>COUNT(CJD4:CJD400)</f>
        <v>0</v>
      </c>
      <c r="CJE2" s="8">
        <f>COUNT(CJF4:CJF400)</f>
        <v>0</v>
      </c>
      <c r="CJG2" s="8">
        <f>COUNT(CJH4:CJH400)</f>
        <v>0</v>
      </c>
      <c r="CJI2" s="8">
        <f>COUNT(CJJ4:CJJ400)</f>
        <v>0</v>
      </c>
      <c r="CJK2" s="8">
        <f>COUNT(CJL4:CJL400)</f>
        <v>0</v>
      </c>
      <c r="CJM2" s="8">
        <f>COUNT(CJN4:CJN400)</f>
        <v>0</v>
      </c>
      <c r="CJO2" s="8">
        <f>COUNT(CJP4:CJP400)</f>
        <v>0</v>
      </c>
      <c r="CJQ2" s="8">
        <f>COUNT(CJR4:CJR400)</f>
        <v>0</v>
      </c>
      <c r="CJS2" s="8">
        <f>COUNT(CJT4:CJT400)</f>
        <v>0</v>
      </c>
      <c r="CJU2" s="8">
        <f>COUNT(CJV4:CJV400)</f>
        <v>0</v>
      </c>
      <c r="CJW2" s="8">
        <f>COUNT(CJX4:CJX400)</f>
        <v>0</v>
      </c>
      <c r="CJY2" s="8">
        <f>COUNT(CJZ4:CJZ400)</f>
        <v>0</v>
      </c>
      <c r="CKA2" s="8">
        <f>COUNT(CKB4:CKB400)</f>
        <v>0</v>
      </c>
      <c r="CKC2" s="8">
        <f>COUNT(CKD4:CKD400)</f>
        <v>0</v>
      </c>
      <c r="CKE2" s="8">
        <f>COUNT(CKF4:CKF400)</f>
        <v>0</v>
      </c>
      <c r="CKG2" s="8">
        <f>COUNT(CKH4:CKH400)</f>
        <v>0</v>
      </c>
      <c r="CKI2" s="8">
        <f>COUNT(CKJ4:CKJ400)</f>
        <v>0</v>
      </c>
      <c r="CKK2" s="8">
        <f>COUNT(CKL4:CKL400)</f>
        <v>0</v>
      </c>
      <c r="CKM2" s="8">
        <f>COUNT(CKN4:CKN400)</f>
        <v>0</v>
      </c>
      <c r="CKO2" s="8">
        <f>COUNT(CKP4:CKP400)</f>
        <v>0</v>
      </c>
      <c r="CKQ2" s="8">
        <f>COUNT(CKR4:CKR400)</f>
        <v>0</v>
      </c>
      <c r="CKS2" s="8">
        <f>COUNT(CKT4:CKT400)</f>
        <v>0</v>
      </c>
      <c r="CKU2" s="8">
        <f>COUNT(CKV4:CKV400)</f>
        <v>0</v>
      </c>
      <c r="CKW2" s="8">
        <f>COUNT(CKX4:CKX400)</f>
        <v>0</v>
      </c>
      <c r="CKY2" s="8">
        <f>COUNT(CKZ4:CKZ400)</f>
        <v>0</v>
      </c>
      <c r="CLA2" s="8">
        <f>COUNT(CLB4:CLB400)</f>
        <v>0</v>
      </c>
      <c r="CLC2" s="8">
        <f>COUNT(CLD4:CLD400)</f>
        <v>0</v>
      </c>
      <c r="CLE2" s="8">
        <f>COUNT(CLF4:CLF400)</f>
        <v>0</v>
      </c>
      <c r="CLG2" s="8">
        <f>COUNT(CLH4:CLH400)</f>
        <v>0</v>
      </c>
      <c r="CLI2" s="8">
        <f>COUNT(CLJ4:CLJ400)</f>
        <v>0</v>
      </c>
      <c r="CLK2" s="8">
        <f>COUNT(CLL4:CLL400)</f>
        <v>0</v>
      </c>
      <c r="CLM2" s="8">
        <f>COUNT(CLN4:CLN400)</f>
        <v>0</v>
      </c>
      <c r="CLO2" s="8">
        <f>COUNT(CLP4:CLP400)</f>
        <v>0</v>
      </c>
      <c r="CLQ2" s="8">
        <f>COUNT(CLR4:CLR400)</f>
        <v>0</v>
      </c>
      <c r="CLS2" s="8">
        <f>COUNT(CLT4:CLT400)</f>
        <v>0</v>
      </c>
      <c r="CLU2" s="8">
        <f>COUNT(CLV4:CLV400)</f>
        <v>0</v>
      </c>
      <c r="CLW2" s="8">
        <f>COUNT(CLX4:CLX400)</f>
        <v>0</v>
      </c>
      <c r="CLY2" s="8">
        <f>COUNT(CLZ4:CLZ400)</f>
        <v>0</v>
      </c>
      <c r="CMA2" s="8">
        <f>COUNT(CMB4:CMB400)</f>
        <v>0</v>
      </c>
      <c r="CMC2" s="8">
        <f>COUNT(CMD4:CMD400)</f>
        <v>0</v>
      </c>
      <c r="CME2" s="8">
        <f>COUNT(CMF4:CMF400)</f>
        <v>0</v>
      </c>
      <c r="CMG2" s="8">
        <f>COUNT(CMH4:CMH400)</f>
        <v>0</v>
      </c>
      <c r="CMI2" s="8">
        <f>COUNT(CMJ4:CMJ400)</f>
        <v>0</v>
      </c>
      <c r="CMK2" s="8">
        <f>COUNT(CML4:CML400)</f>
        <v>0</v>
      </c>
      <c r="CMM2" s="8">
        <f>COUNT(CMN4:CMN400)</f>
        <v>0</v>
      </c>
      <c r="CMO2" s="8">
        <f>COUNT(CMP4:CMP400)</f>
        <v>0</v>
      </c>
      <c r="CMQ2" s="8">
        <f>COUNT(CMR4:CMR400)</f>
        <v>0</v>
      </c>
      <c r="CMS2" s="8">
        <f>COUNT(CMT4:CMT400)</f>
        <v>0</v>
      </c>
      <c r="CMU2" s="8">
        <f>COUNT(CMV4:CMV400)</f>
        <v>0</v>
      </c>
      <c r="CMW2" s="8">
        <f>COUNT(CMX4:CMX400)</f>
        <v>0</v>
      </c>
      <c r="CMY2" s="8">
        <f>COUNT(CMZ4:CMZ400)</f>
        <v>0</v>
      </c>
      <c r="CNA2" s="8">
        <f>COUNT(CNB4:CNB400)</f>
        <v>0</v>
      </c>
      <c r="CNC2" s="8">
        <f>COUNT(CND4:CND400)</f>
        <v>0</v>
      </c>
      <c r="CNE2" s="8">
        <f>COUNT(CNF4:CNF400)</f>
        <v>0</v>
      </c>
      <c r="CNG2" s="8">
        <f>COUNT(CNH4:CNH400)</f>
        <v>0</v>
      </c>
      <c r="CNI2" s="8">
        <f>COUNT(CNJ4:CNJ400)</f>
        <v>0</v>
      </c>
      <c r="CNK2" s="8">
        <f>COUNT(CNL4:CNL400)</f>
        <v>0</v>
      </c>
      <c r="CNM2" s="8">
        <f>COUNT(CNN4:CNN400)</f>
        <v>0</v>
      </c>
      <c r="CNO2" s="8">
        <f>COUNT(CNP4:CNP400)</f>
        <v>0</v>
      </c>
      <c r="CNQ2" s="8">
        <f>COUNT(CNR4:CNR400)</f>
        <v>0</v>
      </c>
      <c r="CNS2" s="8">
        <f>COUNT(CNT4:CNT400)</f>
        <v>0</v>
      </c>
      <c r="CNU2" s="8">
        <f>COUNT(CNV4:CNV400)</f>
        <v>0</v>
      </c>
      <c r="CNW2" s="8">
        <f>COUNT(CNX4:CNX400)</f>
        <v>0</v>
      </c>
      <c r="CNY2" s="8">
        <f>COUNT(CNZ4:CNZ400)</f>
        <v>0</v>
      </c>
      <c r="COA2" s="8">
        <f>COUNT(COB4:COB400)</f>
        <v>0</v>
      </c>
      <c r="COC2" s="8">
        <f>COUNT(COD4:COD400)</f>
        <v>0</v>
      </c>
      <c r="COE2" s="8">
        <f>COUNT(COF4:COF400)</f>
        <v>0</v>
      </c>
      <c r="COG2" s="8">
        <f>COUNT(COH4:COH400)</f>
        <v>0</v>
      </c>
      <c r="COI2" s="8">
        <f>COUNT(COJ4:COJ400)</f>
        <v>0</v>
      </c>
      <c r="COK2" s="8">
        <f>COUNT(COL4:COL400)</f>
        <v>0</v>
      </c>
      <c r="COM2" s="8">
        <f>COUNT(CON4:CON400)</f>
        <v>0</v>
      </c>
      <c r="COO2" s="8">
        <f>COUNT(COP4:COP400)</f>
        <v>0</v>
      </c>
      <c r="COQ2" s="8">
        <f>COUNT(COR4:COR400)</f>
        <v>0</v>
      </c>
      <c r="COS2" s="8">
        <f>COUNT(COT4:COT400)</f>
        <v>0</v>
      </c>
      <c r="COU2" s="8">
        <f>COUNT(COV4:COV400)</f>
        <v>0</v>
      </c>
      <c r="COW2" s="8">
        <f>COUNT(COX4:COX400)</f>
        <v>0</v>
      </c>
      <c r="COY2" s="8">
        <f>COUNT(COZ4:COZ400)</f>
        <v>0</v>
      </c>
      <c r="CPA2" s="8">
        <f>COUNT(CPB4:CPB400)</f>
        <v>0</v>
      </c>
      <c r="CPC2" s="8">
        <f>COUNT(CPD4:CPD400)</f>
        <v>0</v>
      </c>
      <c r="CPE2" s="8">
        <f>COUNT(CPF4:CPF400)</f>
        <v>0</v>
      </c>
      <c r="CPG2" s="8">
        <f>COUNT(CPH4:CPH400)</f>
        <v>0</v>
      </c>
      <c r="CPI2" s="8">
        <f>COUNT(CPJ4:CPJ400)</f>
        <v>0</v>
      </c>
      <c r="CPK2" s="8">
        <f>COUNT(CPL4:CPL400)</f>
        <v>0</v>
      </c>
      <c r="CPM2" s="8">
        <f>COUNT(CPN4:CPN400)</f>
        <v>0</v>
      </c>
      <c r="CPO2" s="8">
        <f>COUNT(CPP4:CPP400)</f>
        <v>0</v>
      </c>
      <c r="CPQ2" s="8">
        <f>COUNT(CPR4:CPR400)</f>
        <v>0</v>
      </c>
      <c r="CPS2" s="8">
        <f>COUNT(CPT4:CPT400)</f>
        <v>0</v>
      </c>
      <c r="CPU2" s="8">
        <f>COUNT(CPV4:CPV400)</f>
        <v>0</v>
      </c>
      <c r="CPW2" s="8">
        <f>COUNT(CPX4:CPX400)</f>
        <v>0</v>
      </c>
      <c r="CPY2" s="8">
        <f>COUNT(CPZ4:CPZ400)</f>
        <v>0</v>
      </c>
      <c r="CQA2" s="8">
        <f>COUNT(CQB4:CQB400)</f>
        <v>0</v>
      </c>
      <c r="CQC2" s="8">
        <f>COUNT(CQD4:CQD400)</f>
        <v>0</v>
      </c>
      <c r="CQE2" s="8">
        <f>COUNT(CQF4:CQF400)</f>
        <v>0</v>
      </c>
      <c r="CQG2" s="8">
        <f>COUNT(CQH4:CQH400)</f>
        <v>0</v>
      </c>
      <c r="CQI2" s="8">
        <f>COUNT(CQJ4:CQJ400)</f>
        <v>0</v>
      </c>
      <c r="CQK2" s="8">
        <f>COUNT(CQL4:CQL400)</f>
        <v>0</v>
      </c>
      <c r="CQM2" s="8">
        <f>COUNT(CQN4:CQN400)</f>
        <v>0</v>
      </c>
      <c r="CQO2" s="8">
        <f>COUNT(CQP4:CQP400)</f>
        <v>0</v>
      </c>
      <c r="CQQ2" s="8">
        <f>COUNT(CQR4:CQR400)</f>
        <v>0</v>
      </c>
      <c r="CQS2" s="8">
        <f>COUNT(CQT4:CQT400)</f>
        <v>0</v>
      </c>
      <c r="CQU2" s="8">
        <f>COUNT(CQV4:CQV400)</f>
        <v>0</v>
      </c>
      <c r="CQW2" s="8">
        <f>COUNT(CQX4:CQX400)</f>
        <v>0</v>
      </c>
      <c r="CQY2" s="8">
        <f>COUNT(CQZ4:CQZ400)</f>
        <v>0</v>
      </c>
      <c r="CRA2" s="8">
        <f>COUNT(CRB4:CRB400)</f>
        <v>0</v>
      </c>
      <c r="CRC2" s="8">
        <f>COUNT(CRD4:CRD400)</f>
        <v>0</v>
      </c>
      <c r="CRE2" s="8">
        <f>COUNT(CRF4:CRF400)</f>
        <v>0</v>
      </c>
      <c r="CRG2" s="8">
        <f>COUNT(CRH4:CRH400)</f>
        <v>0</v>
      </c>
      <c r="CRI2" s="8">
        <f>COUNT(CRJ4:CRJ400)</f>
        <v>0</v>
      </c>
      <c r="CRK2" s="8">
        <f>COUNT(CRL4:CRL400)</f>
        <v>0</v>
      </c>
      <c r="CRM2" s="8">
        <f>COUNT(CRN4:CRN400)</f>
        <v>0</v>
      </c>
      <c r="CRO2" s="8">
        <f>COUNT(CRP4:CRP400)</f>
        <v>0</v>
      </c>
      <c r="CRQ2" s="8">
        <f>COUNT(CRR4:CRR400)</f>
        <v>0</v>
      </c>
      <c r="CRS2" s="8">
        <f>COUNT(CRT4:CRT400)</f>
        <v>0</v>
      </c>
      <c r="CRU2" s="8">
        <f>COUNT(CRV4:CRV400)</f>
        <v>0</v>
      </c>
      <c r="CRW2" s="8">
        <f>COUNT(CRX4:CRX400)</f>
        <v>0</v>
      </c>
      <c r="CRY2" s="8">
        <f>COUNT(CRZ4:CRZ400)</f>
        <v>0</v>
      </c>
      <c r="CSA2" s="8">
        <f>COUNT(CSB4:CSB400)</f>
        <v>0</v>
      </c>
      <c r="CSC2" s="8">
        <f>COUNT(CSD4:CSD400)</f>
        <v>0</v>
      </c>
      <c r="CSE2" s="8">
        <f>COUNT(CSF4:CSF400)</f>
        <v>0</v>
      </c>
      <c r="CSG2" s="8">
        <f>COUNT(CSH4:CSH400)</f>
        <v>0</v>
      </c>
      <c r="CSI2" s="8">
        <f>COUNT(CSJ4:CSJ400)</f>
        <v>0</v>
      </c>
      <c r="CSK2" s="8">
        <f>COUNT(CSL4:CSL400)</f>
        <v>0</v>
      </c>
      <c r="CSM2" s="8">
        <f>COUNT(CSN4:CSN400)</f>
        <v>0</v>
      </c>
      <c r="CSO2" s="8">
        <f>COUNT(CSP4:CSP400)</f>
        <v>0</v>
      </c>
      <c r="CSQ2" s="8">
        <f>COUNT(CSR4:CSR400)</f>
        <v>0</v>
      </c>
      <c r="CSS2" s="8">
        <f>COUNT(CST4:CST400)</f>
        <v>0</v>
      </c>
      <c r="CSU2" s="8">
        <f>COUNT(CSV4:CSV400)</f>
        <v>0</v>
      </c>
      <c r="CSW2" s="8">
        <f>COUNT(CSX4:CSX400)</f>
        <v>0</v>
      </c>
      <c r="CSY2" s="8">
        <f>COUNT(CSZ4:CSZ400)</f>
        <v>0</v>
      </c>
      <c r="CTA2" s="8">
        <f>COUNT(CTB4:CTB400)</f>
        <v>0</v>
      </c>
      <c r="CTC2" s="8">
        <f>COUNT(CTD4:CTD400)</f>
        <v>0</v>
      </c>
      <c r="CTE2" s="8">
        <f>COUNT(CTF4:CTF400)</f>
        <v>0</v>
      </c>
      <c r="CTG2" s="8">
        <f>COUNT(CTH4:CTH400)</f>
        <v>0</v>
      </c>
      <c r="CTI2" s="8">
        <f>COUNT(CTJ4:CTJ400)</f>
        <v>0</v>
      </c>
      <c r="CTK2" s="8">
        <f>COUNT(CTL4:CTL400)</f>
        <v>0</v>
      </c>
      <c r="CTM2" s="8">
        <f>COUNT(CTN4:CTN400)</f>
        <v>0</v>
      </c>
      <c r="CTO2" s="8">
        <f>COUNT(CTP4:CTP400)</f>
        <v>0</v>
      </c>
      <c r="CTQ2" s="8">
        <f>COUNT(CTR4:CTR400)</f>
        <v>0</v>
      </c>
      <c r="CTS2" s="8">
        <f>COUNT(CTT4:CTT400)</f>
        <v>0</v>
      </c>
      <c r="CTU2" s="8">
        <f>COUNT(CTV4:CTV400)</f>
        <v>0</v>
      </c>
      <c r="CTW2" s="8">
        <f>COUNT(CTX4:CTX400)</f>
        <v>0</v>
      </c>
      <c r="CTY2" s="8">
        <f>COUNT(CTZ4:CTZ400)</f>
        <v>0</v>
      </c>
      <c r="CUA2" s="8">
        <f>COUNT(CUB4:CUB400)</f>
        <v>0</v>
      </c>
      <c r="CUC2" s="8">
        <f>COUNT(CUD4:CUD400)</f>
        <v>0</v>
      </c>
      <c r="CUE2" s="8">
        <f>COUNT(CUF4:CUF400)</f>
        <v>0</v>
      </c>
      <c r="CUG2" s="8">
        <f>COUNT(CUH4:CUH400)</f>
        <v>0</v>
      </c>
      <c r="CUI2" s="8">
        <f>COUNT(CUJ4:CUJ400)</f>
        <v>0</v>
      </c>
      <c r="CUK2" s="8">
        <f>COUNT(CUL4:CUL400)</f>
        <v>0</v>
      </c>
      <c r="CUM2" s="8">
        <f>COUNT(CUN4:CUN400)</f>
        <v>0</v>
      </c>
      <c r="CUO2" s="8">
        <f>COUNT(CUP4:CUP400)</f>
        <v>0</v>
      </c>
      <c r="CUQ2" s="8">
        <f>COUNT(CUR4:CUR400)</f>
        <v>0</v>
      </c>
      <c r="CUS2" s="8">
        <f>COUNT(CUT4:CUT400)</f>
        <v>0</v>
      </c>
      <c r="CUU2" s="8">
        <f>COUNT(CUV4:CUV400)</f>
        <v>0</v>
      </c>
      <c r="CUW2" s="8">
        <f>COUNT(CUX4:CUX400)</f>
        <v>0</v>
      </c>
      <c r="CUY2" s="8">
        <f>COUNT(CUZ4:CUZ400)</f>
        <v>0</v>
      </c>
      <c r="CVA2" s="8">
        <f>COUNT(CVB4:CVB400)</f>
        <v>0</v>
      </c>
      <c r="CVC2" s="8">
        <f>COUNT(CVD4:CVD400)</f>
        <v>0</v>
      </c>
      <c r="CVE2" s="8">
        <f>COUNT(CVF4:CVF400)</f>
        <v>0</v>
      </c>
      <c r="CVG2" s="8">
        <f>COUNT(CVH4:CVH400)</f>
        <v>0</v>
      </c>
      <c r="CVI2" s="8">
        <f>COUNT(CVJ4:CVJ400)</f>
        <v>0</v>
      </c>
      <c r="CVK2" s="8">
        <f>COUNT(CVL4:CVL400)</f>
        <v>0</v>
      </c>
      <c r="CVM2" s="8">
        <f>COUNT(CVN4:CVN400)</f>
        <v>0</v>
      </c>
      <c r="CVO2" s="8">
        <f>COUNT(CVP4:CVP400)</f>
        <v>0</v>
      </c>
      <c r="CVQ2" s="8">
        <f>COUNT(CVR4:CVR400)</f>
        <v>0</v>
      </c>
      <c r="CVS2" s="8">
        <f>COUNT(CVT4:CVT400)</f>
        <v>0</v>
      </c>
      <c r="CVU2" s="8">
        <f>COUNT(CVV4:CVV400)</f>
        <v>0</v>
      </c>
      <c r="CVW2" s="8">
        <f>COUNT(CVX4:CVX400)</f>
        <v>0</v>
      </c>
      <c r="CVY2" s="8">
        <f>COUNT(CVZ4:CVZ400)</f>
        <v>0</v>
      </c>
      <c r="CWA2" s="8">
        <f>COUNT(CWB4:CWB400)</f>
        <v>0</v>
      </c>
      <c r="CWC2" s="8">
        <f>COUNT(CWD4:CWD400)</f>
        <v>0</v>
      </c>
      <c r="CWE2" s="8">
        <f>COUNT(CWF4:CWF400)</f>
        <v>0</v>
      </c>
      <c r="CWG2" s="8">
        <f>COUNT(CWH4:CWH400)</f>
        <v>0</v>
      </c>
      <c r="CWI2" s="8">
        <f>COUNT(CWJ4:CWJ400)</f>
        <v>0</v>
      </c>
      <c r="CWK2" s="8">
        <f>COUNT(CWL4:CWL400)</f>
        <v>0</v>
      </c>
      <c r="CWM2" s="8">
        <f>COUNT(CWN4:CWN400)</f>
        <v>0</v>
      </c>
      <c r="CWO2" s="8">
        <f>COUNT(CWP4:CWP400)</f>
        <v>0</v>
      </c>
      <c r="CWQ2" s="8">
        <f>COUNT(CWR4:CWR400)</f>
        <v>0</v>
      </c>
      <c r="CWS2" s="8">
        <f>COUNT(CWT4:CWT400)</f>
        <v>0</v>
      </c>
      <c r="CWU2" s="8">
        <f>COUNT(CWV4:CWV400)</f>
        <v>0</v>
      </c>
      <c r="CWW2" s="8">
        <f>COUNT(CWX4:CWX400)</f>
        <v>0</v>
      </c>
      <c r="CWY2" s="8">
        <f>COUNT(CWZ4:CWZ400)</f>
        <v>0</v>
      </c>
      <c r="CXA2" s="8">
        <f>COUNT(CXB4:CXB400)</f>
        <v>0</v>
      </c>
      <c r="CXC2" s="8">
        <f>COUNT(CXD4:CXD400)</f>
        <v>0</v>
      </c>
      <c r="CXE2" s="8">
        <f>COUNT(CXF4:CXF400)</f>
        <v>0</v>
      </c>
      <c r="CXG2" s="8">
        <f>COUNT(CXH4:CXH400)</f>
        <v>0</v>
      </c>
      <c r="CXI2" s="8">
        <f>COUNT(CXJ4:CXJ400)</f>
        <v>0</v>
      </c>
      <c r="CXK2" s="8">
        <f>COUNT(CXL4:CXL400)</f>
        <v>0</v>
      </c>
      <c r="CXM2" s="8">
        <f>COUNT(CXN4:CXN400)</f>
        <v>0</v>
      </c>
      <c r="CXO2" s="8">
        <f>COUNT(CXP4:CXP400)</f>
        <v>0</v>
      </c>
      <c r="CXQ2" s="8">
        <f>COUNT(CXR4:CXR400)</f>
        <v>0</v>
      </c>
      <c r="CXS2" s="8">
        <f>COUNT(CXT4:CXT400)</f>
        <v>0</v>
      </c>
      <c r="CXU2" s="8">
        <f>COUNT(CXV4:CXV400)</f>
        <v>0</v>
      </c>
      <c r="CXW2" s="8">
        <f>COUNT(CXX4:CXX400)</f>
        <v>0</v>
      </c>
      <c r="CXY2" s="8">
        <f>COUNT(CXZ4:CXZ400)</f>
        <v>0</v>
      </c>
      <c r="CYA2" s="8">
        <f>COUNT(CYB4:CYB400)</f>
        <v>0</v>
      </c>
      <c r="CYC2" s="8">
        <f>COUNT(CYD4:CYD400)</f>
        <v>0</v>
      </c>
      <c r="CYE2" s="8">
        <f>COUNT(CYF4:CYF400)</f>
        <v>0</v>
      </c>
      <c r="CYG2" s="8">
        <f>COUNT(CYH4:CYH400)</f>
        <v>0</v>
      </c>
      <c r="CYI2" s="8">
        <f>COUNT(CYJ4:CYJ400)</f>
        <v>0</v>
      </c>
      <c r="CYK2" s="8">
        <f>COUNT(CYL4:CYL400)</f>
        <v>0</v>
      </c>
      <c r="CYM2" s="8">
        <f>COUNT(CYN4:CYN400)</f>
        <v>0</v>
      </c>
      <c r="CYO2" s="8">
        <f>COUNT(CYP4:CYP400)</f>
        <v>0</v>
      </c>
      <c r="CYQ2" s="8">
        <f>COUNT(CYR4:CYR400)</f>
        <v>0</v>
      </c>
      <c r="CYS2" s="8">
        <f>COUNT(CYT4:CYT400)</f>
        <v>0</v>
      </c>
      <c r="CYU2" s="8">
        <f>COUNT(CYV4:CYV400)</f>
        <v>0</v>
      </c>
      <c r="CYW2" s="8">
        <f>COUNT(CYX4:CYX400)</f>
        <v>0</v>
      </c>
      <c r="CYY2" s="8">
        <f>COUNT(CYZ4:CYZ400)</f>
        <v>0</v>
      </c>
      <c r="CZA2" s="8">
        <f>COUNT(CZB4:CZB400)</f>
        <v>0</v>
      </c>
      <c r="CZC2" s="8">
        <f>COUNT(CZD4:CZD400)</f>
        <v>0</v>
      </c>
      <c r="CZE2" s="8">
        <f>COUNT(CZF4:CZF400)</f>
        <v>0</v>
      </c>
      <c r="CZG2" s="8">
        <f>COUNT(CZH4:CZH400)</f>
        <v>0</v>
      </c>
      <c r="CZI2" s="8">
        <f>COUNT(CZJ4:CZJ400)</f>
        <v>0</v>
      </c>
      <c r="CZK2" s="8">
        <f>COUNT(CZL4:CZL400)</f>
        <v>0</v>
      </c>
      <c r="CZM2" s="8">
        <f>COUNT(CZN4:CZN400)</f>
        <v>0</v>
      </c>
      <c r="CZO2" s="8">
        <f>COUNT(CZP4:CZP400)</f>
        <v>0</v>
      </c>
      <c r="CZQ2" s="8">
        <f>COUNT(CZR4:CZR400)</f>
        <v>0</v>
      </c>
      <c r="CZS2" s="8">
        <f>COUNT(CZT4:CZT400)</f>
        <v>0</v>
      </c>
      <c r="CZU2" s="8">
        <f>COUNT(CZV4:CZV400)</f>
        <v>0</v>
      </c>
      <c r="CZW2" s="8">
        <f>COUNT(CZX4:CZX400)</f>
        <v>0</v>
      </c>
      <c r="CZY2" s="8">
        <f>COUNT(CZZ4:CZZ400)</f>
        <v>0</v>
      </c>
      <c r="DAA2" s="8">
        <f>COUNT(DAB4:DAB400)</f>
        <v>0</v>
      </c>
      <c r="DAC2" s="8">
        <f>COUNT(DAD4:DAD400)</f>
        <v>0</v>
      </c>
      <c r="DAE2" s="8">
        <f>COUNT(DAF4:DAF400)</f>
        <v>0</v>
      </c>
      <c r="DAG2" s="8">
        <f>COUNT(DAH4:DAH400)</f>
        <v>0</v>
      </c>
      <c r="DAI2" s="8">
        <f>COUNT(DAJ4:DAJ400)</f>
        <v>0</v>
      </c>
      <c r="DAK2" s="8">
        <f>COUNT(DAL4:DAL400)</f>
        <v>0</v>
      </c>
      <c r="DAM2" s="8">
        <f>COUNT(DAN4:DAN400)</f>
        <v>0</v>
      </c>
      <c r="DAO2" s="8">
        <f>COUNT(DAP4:DAP400)</f>
        <v>0</v>
      </c>
      <c r="DAQ2" s="8">
        <f>COUNT(DAR4:DAR400)</f>
        <v>0</v>
      </c>
      <c r="DAS2" s="8">
        <f>COUNT(DAT4:DAT400)</f>
        <v>0</v>
      </c>
      <c r="DAU2" s="8">
        <f>COUNT(DAV4:DAV400)</f>
        <v>0</v>
      </c>
      <c r="DAW2" s="8">
        <f>COUNT(DAX4:DAX400)</f>
        <v>0</v>
      </c>
      <c r="DAY2" s="8">
        <f>COUNT(DAZ4:DAZ400)</f>
        <v>0</v>
      </c>
      <c r="DBA2" s="8">
        <f>COUNT(DBB4:DBB400)</f>
        <v>0</v>
      </c>
      <c r="DBC2" s="8">
        <f>COUNT(DBD4:DBD400)</f>
        <v>0</v>
      </c>
      <c r="DBE2" s="8">
        <f>COUNT(DBF4:DBF400)</f>
        <v>0</v>
      </c>
      <c r="DBG2" s="8">
        <f>COUNT(DBH4:DBH400)</f>
        <v>0</v>
      </c>
      <c r="DBI2" s="8">
        <f>COUNT(DBJ4:DBJ400)</f>
        <v>0</v>
      </c>
      <c r="DBK2" s="8">
        <f>COUNT(DBL4:DBL400)</f>
        <v>0</v>
      </c>
      <c r="DBM2" s="8">
        <f>COUNT(DBN4:DBN400)</f>
        <v>0</v>
      </c>
      <c r="DBO2" s="8">
        <f>COUNT(DBP4:DBP400)</f>
        <v>0</v>
      </c>
      <c r="DBQ2" s="8">
        <f>COUNT(DBR4:DBR400)</f>
        <v>0</v>
      </c>
      <c r="DBS2" s="8">
        <f>COUNT(DBT4:DBT400)</f>
        <v>0</v>
      </c>
      <c r="DBU2" s="8">
        <f>COUNT(DBV4:DBV400)</f>
        <v>0</v>
      </c>
      <c r="DBW2" s="8">
        <f>COUNT(DBX4:DBX400)</f>
        <v>0</v>
      </c>
      <c r="DBY2" s="8">
        <f>COUNT(DBZ4:DBZ400)</f>
        <v>0</v>
      </c>
      <c r="DCA2" s="8">
        <f>COUNT(DCB4:DCB400)</f>
        <v>0</v>
      </c>
      <c r="DCC2" s="8">
        <f>COUNT(DCD4:DCD400)</f>
        <v>0</v>
      </c>
      <c r="DCE2" s="8">
        <f>COUNT(DCF4:DCF400)</f>
        <v>0</v>
      </c>
      <c r="DCG2" s="8">
        <f>COUNT(DCH4:DCH400)</f>
        <v>0</v>
      </c>
      <c r="DCI2" s="8">
        <f>COUNT(DCJ4:DCJ400)</f>
        <v>0</v>
      </c>
      <c r="DCK2" s="8">
        <f>COUNT(DCL4:DCL400)</f>
        <v>0</v>
      </c>
      <c r="DCM2" s="8">
        <f>COUNT(DCN4:DCN400)</f>
        <v>0</v>
      </c>
      <c r="DCO2" s="8">
        <f>COUNT(DCP4:DCP400)</f>
        <v>0</v>
      </c>
      <c r="DCQ2" s="8">
        <f>COUNT(DCR4:DCR400)</f>
        <v>0</v>
      </c>
      <c r="DCS2" s="8">
        <f>COUNT(DCT4:DCT400)</f>
        <v>0</v>
      </c>
      <c r="DCU2" s="8">
        <f>COUNT(DCV4:DCV400)</f>
        <v>0</v>
      </c>
      <c r="DCW2" s="8">
        <f>COUNT(DCX4:DCX400)</f>
        <v>0</v>
      </c>
      <c r="DCY2" s="8">
        <f>COUNT(DCZ4:DCZ400)</f>
        <v>0</v>
      </c>
      <c r="DDA2" s="8">
        <f>COUNT(DDB4:DDB400)</f>
        <v>0</v>
      </c>
      <c r="DDC2" s="8">
        <f>COUNT(DDD4:DDD400)</f>
        <v>0</v>
      </c>
      <c r="DDE2" s="8">
        <f>COUNT(DDF4:DDF400)</f>
        <v>0</v>
      </c>
      <c r="DDG2" s="8">
        <f>COUNT(DDH4:DDH400)</f>
        <v>0</v>
      </c>
      <c r="DDI2" s="8">
        <f>COUNT(DDJ4:DDJ400)</f>
        <v>0</v>
      </c>
      <c r="DDK2" s="8">
        <f>COUNT(DDL4:DDL400)</f>
        <v>0</v>
      </c>
      <c r="DDM2" s="8">
        <f>COUNT(DDN4:DDN400)</f>
        <v>0</v>
      </c>
      <c r="DDO2" s="8">
        <f>COUNT(DDP4:DDP400)</f>
        <v>0</v>
      </c>
      <c r="DDQ2" s="8">
        <f>COUNT(DDR4:DDR400)</f>
        <v>0</v>
      </c>
      <c r="DDS2" s="8">
        <f>COUNT(DDT4:DDT400)</f>
        <v>0</v>
      </c>
      <c r="DDU2" s="8">
        <f>COUNT(DDV4:DDV400)</f>
        <v>0</v>
      </c>
      <c r="DDW2" s="8">
        <f>COUNT(DDX4:DDX400)</f>
        <v>0</v>
      </c>
      <c r="DDY2" s="8">
        <f>COUNT(DDZ4:DDZ400)</f>
        <v>0</v>
      </c>
      <c r="DEA2" s="8">
        <f>COUNT(DEB4:DEB400)</f>
        <v>0</v>
      </c>
      <c r="DEC2" s="8">
        <f>COUNT(DED4:DED400)</f>
        <v>0</v>
      </c>
      <c r="DEE2" s="8">
        <f>COUNT(DEF4:DEF400)</f>
        <v>0</v>
      </c>
      <c r="DEG2" s="8">
        <f>COUNT(DEH4:DEH400)</f>
        <v>0</v>
      </c>
      <c r="DEI2" s="8">
        <f>COUNT(DEJ4:DEJ400)</f>
        <v>0</v>
      </c>
      <c r="DEK2" s="8">
        <f>COUNT(DEL4:DEL400)</f>
        <v>0</v>
      </c>
      <c r="DEM2" s="8">
        <f>COUNT(DEN4:DEN400)</f>
        <v>0</v>
      </c>
      <c r="DEO2" s="8">
        <f>COUNT(DEP4:DEP400)</f>
        <v>0</v>
      </c>
      <c r="DEQ2" s="8">
        <f>COUNT(DER4:DER400)</f>
        <v>0</v>
      </c>
      <c r="DES2" s="8">
        <f>COUNT(DET4:DET400)</f>
        <v>0</v>
      </c>
      <c r="DEU2" s="8">
        <f>COUNT(DEV4:DEV400)</f>
        <v>0</v>
      </c>
      <c r="DEW2" s="8">
        <f>COUNT(DEX4:DEX400)</f>
        <v>0</v>
      </c>
      <c r="DEY2" s="8">
        <f>COUNT(DEZ4:DEZ400)</f>
        <v>0</v>
      </c>
      <c r="DFA2" s="8">
        <f>COUNT(DFB4:DFB400)</f>
        <v>0</v>
      </c>
      <c r="DFC2" s="8">
        <f>COUNT(DFD4:DFD400)</f>
        <v>0</v>
      </c>
      <c r="DFE2" s="8">
        <f>COUNT(DFF4:DFF400)</f>
        <v>0</v>
      </c>
      <c r="DFG2" s="8">
        <f>COUNT(DFH4:DFH400)</f>
        <v>0</v>
      </c>
      <c r="DFI2" s="8">
        <f>COUNT(DFJ4:DFJ400)</f>
        <v>0</v>
      </c>
      <c r="DFK2" s="8">
        <f>COUNT(DFL4:DFL400)</f>
        <v>0</v>
      </c>
      <c r="DFM2" s="8">
        <f>COUNT(DFN4:DFN400)</f>
        <v>0</v>
      </c>
      <c r="DFO2" s="8">
        <f>COUNT(DFP4:DFP400)</f>
        <v>0</v>
      </c>
      <c r="DFQ2" s="8">
        <f>COUNT(DFR4:DFR400)</f>
        <v>0</v>
      </c>
      <c r="DFS2" s="8">
        <f>COUNT(DFT4:DFT400)</f>
        <v>0</v>
      </c>
      <c r="DFU2" s="8">
        <f>COUNT(DFV4:DFV400)</f>
        <v>0</v>
      </c>
      <c r="DFW2" s="8">
        <f>COUNT(DFX4:DFX400)</f>
        <v>0</v>
      </c>
      <c r="DFY2" s="8">
        <f>COUNT(DFZ4:DFZ400)</f>
        <v>0</v>
      </c>
      <c r="DGA2" s="8">
        <f>COUNT(DGB4:DGB400)</f>
        <v>0</v>
      </c>
      <c r="DGC2" s="8">
        <f>COUNT(DGD4:DGD400)</f>
        <v>0</v>
      </c>
      <c r="DGE2" s="8">
        <f>COUNT(DGF4:DGF400)</f>
        <v>0</v>
      </c>
      <c r="DGG2" s="8">
        <f>COUNT(DGH4:DGH400)</f>
        <v>0</v>
      </c>
      <c r="DGI2" s="8">
        <f>COUNT(DGJ4:DGJ400)</f>
        <v>0</v>
      </c>
      <c r="DGK2" s="8">
        <f>COUNT(DGL4:DGL400)</f>
        <v>0</v>
      </c>
      <c r="DGM2" s="8">
        <f>COUNT(DGN4:DGN400)</f>
        <v>0</v>
      </c>
      <c r="DGO2" s="8">
        <f>COUNT(DGP4:DGP400)</f>
        <v>0</v>
      </c>
      <c r="DGQ2" s="8">
        <f>COUNT(DGR4:DGR400)</f>
        <v>0</v>
      </c>
      <c r="DGS2" s="8">
        <f>COUNT(DGT4:DGT400)</f>
        <v>0</v>
      </c>
      <c r="DGU2" s="8">
        <f>COUNT(DGV4:DGV400)</f>
        <v>0</v>
      </c>
      <c r="DGW2" s="8">
        <f>COUNT(DGX4:DGX400)</f>
        <v>0</v>
      </c>
      <c r="DGY2" s="8">
        <f>COUNT(DGZ4:DGZ400)</f>
        <v>0</v>
      </c>
      <c r="DHA2" s="8">
        <f>COUNT(DHB4:DHB400)</f>
        <v>0</v>
      </c>
      <c r="DHC2" s="8">
        <f>COUNT(DHD4:DHD400)</f>
        <v>0</v>
      </c>
      <c r="DHE2" s="8">
        <f>COUNT(DHF4:DHF400)</f>
        <v>0</v>
      </c>
      <c r="DHG2" s="8">
        <f>COUNT(DHH4:DHH400)</f>
        <v>0</v>
      </c>
      <c r="DHI2" s="8">
        <f>COUNT(DHJ4:DHJ400)</f>
        <v>0</v>
      </c>
      <c r="DHK2" s="8">
        <f>COUNT(DHL4:DHL400)</f>
        <v>0</v>
      </c>
      <c r="DHM2" s="8">
        <f>COUNT(DHN4:DHN400)</f>
        <v>0</v>
      </c>
      <c r="DHO2" s="8">
        <f>COUNT(DHP4:DHP400)</f>
        <v>0</v>
      </c>
      <c r="DHQ2" s="8">
        <f>COUNT(DHR4:DHR400)</f>
        <v>0</v>
      </c>
      <c r="DHS2" s="8">
        <f>COUNT(DHT4:DHT400)</f>
        <v>0</v>
      </c>
      <c r="DHU2" s="8">
        <f>COUNT(DHV4:DHV400)</f>
        <v>0</v>
      </c>
      <c r="DHW2" s="8">
        <f>COUNT(DHX4:DHX400)</f>
        <v>0</v>
      </c>
      <c r="DHY2" s="8">
        <f>COUNT(DHZ4:DHZ400)</f>
        <v>0</v>
      </c>
      <c r="DIA2" s="8">
        <f>COUNT(DIB4:DIB400)</f>
        <v>0</v>
      </c>
      <c r="DIC2" s="8">
        <f>COUNT(DID4:DID400)</f>
        <v>0</v>
      </c>
      <c r="DIE2" s="8">
        <f>COUNT(DIF4:DIF400)</f>
        <v>0</v>
      </c>
      <c r="DIG2" s="8">
        <f>COUNT(DIH4:DIH400)</f>
        <v>0</v>
      </c>
      <c r="DII2" s="8">
        <f>COUNT(DIJ4:DIJ400)</f>
        <v>0</v>
      </c>
      <c r="DIK2" s="8">
        <f>COUNT(DIL4:DIL400)</f>
        <v>0</v>
      </c>
      <c r="DIM2" s="8">
        <f>COUNT(DIN4:DIN400)</f>
        <v>0</v>
      </c>
      <c r="DIO2" s="8">
        <f>COUNT(DIP4:DIP400)</f>
        <v>0</v>
      </c>
      <c r="DIQ2" s="8">
        <f>COUNT(DIR4:DIR400)</f>
        <v>0</v>
      </c>
      <c r="DIS2" s="8">
        <f>COUNT(DIT4:DIT400)</f>
        <v>0</v>
      </c>
      <c r="DIU2" s="8">
        <f>COUNT(DIV4:DIV400)</f>
        <v>0</v>
      </c>
      <c r="DIW2" s="8">
        <f>COUNT(DIX4:DIX400)</f>
        <v>0</v>
      </c>
      <c r="DIY2" s="8">
        <f>COUNT(DIZ4:DIZ400)</f>
        <v>0</v>
      </c>
      <c r="DJA2" s="8">
        <f>COUNT(DJB4:DJB400)</f>
        <v>0</v>
      </c>
      <c r="DJC2" s="8">
        <f>COUNT(DJD4:DJD400)</f>
        <v>0</v>
      </c>
      <c r="DJE2" s="8">
        <f>COUNT(DJF4:DJF400)</f>
        <v>0</v>
      </c>
      <c r="DJG2" s="8">
        <f>COUNT(DJH4:DJH400)</f>
        <v>0</v>
      </c>
      <c r="DJI2" s="8">
        <f>COUNT(DJJ4:DJJ400)</f>
        <v>0</v>
      </c>
      <c r="DJK2" s="8">
        <f>COUNT(DJL4:DJL400)</f>
        <v>0</v>
      </c>
      <c r="DJM2" s="8">
        <f>COUNT(DJN4:DJN400)</f>
        <v>0</v>
      </c>
      <c r="DJO2" s="8">
        <f>COUNT(DJP4:DJP400)</f>
        <v>0</v>
      </c>
      <c r="DJQ2" s="8">
        <f>COUNT(DJR4:DJR400)</f>
        <v>0</v>
      </c>
      <c r="DJS2" s="8">
        <f>COUNT(DJT4:DJT400)</f>
        <v>0</v>
      </c>
      <c r="DJU2" s="8">
        <f>COUNT(DJV4:DJV400)</f>
        <v>0</v>
      </c>
      <c r="DJW2" s="8">
        <f>COUNT(DJX4:DJX400)</f>
        <v>0</v>
      </c>
      <c r="DJY2" s="8">
        <f>COUNT(DJZ4:DJZ400)</f>
        <v>0</v>
      </c>
      <c r="DKA2" s="8">
        <f>COUNT(DKB4:DKB400)</f>
        <v>0</v>
      </c>
      <c r="DKC2" s="8">
        <f>COUNT(DKD4:DKD400)</f>
        <v>0</v>
      </c>
      <c r="DKE2" s="8">
        <f>COUNT(DKF4:DKF400)</f>
        <v>0</v>
      </c>
      <c r="DKG2" s="8">
        <f>COUNT(DKH4:DKH400)</f>
        <v>0</v>
      </c>
      <c r="DKI2" s="8">
        <f>COUNT(DKJ4:DKJ400)</f>
        <v>0</v>
      </c>
      <c r="DKK2" s="8">
        <f>COUNT(DKL4:DKL400)</f>
        <v>0</v>
      </c>
      <c r="DKM2" s="8">
        <f>COUNT(DKN4:DKN400)</f>
        <v>0</v>
      </c>
      <c r="DKO2" s="8">
        <f>COUNT(DKP4:DKP400)</f>
        <v>0</v>
      </c>
      <c r="DKQ2" s="8">
        <f>COUNT(DKR4:DKR400)</f>
        <v>0</v>
      </c>
      <c r="DKS2" s="8">
        <f>COUNT(DKT4:DKT400)</f>
        <v>0</v>
      </c>
      <c r="DKU2" s="8">
        <f>COUNT(DKV4:DKV400)</f>
        <v>0</v>
      </c>
      <c r="DKW2" s="8">
        <f>COUNT(DKX4:DKX400)</f>
        <v>0</v>
      </c>
      <c r="DKY2" s="8">
        <f>COUNT(DKZ4:DKZ400)</f>
        <v>0</v>
      </c>
      <c r="DLA2" s="8">
        <f>COUNT(DLB4:DLB400)</f>
        <v>0</v>
      </c>
      <c r="DLC2" s="8">
        <f>COUNT(DLD4:DLD400)</f>
        <v>0</v>
      </c>
      <c r="DLE2" s="8">
        <f>COUNT(DLF4:DLF400)</f>
        <v>0</v>
      </c>
      <c r="DLG2" s="8">
        <f>COUNT(DLH4:DLH400)</f>
        <v>0</v>
      </c>
      <c r="DLI2" s="8">
        <f>COUNT(DLJ4:DLJ400)</f>
        <v>0</v>
      </c>
      <c r="DLK2" s="8">
        <f>COUNT(DLL4:DLL400)</f>
        <v>0</v>
      </c>
      <c r="DLM2" s="8">
        <f>COUNT(DLN4:DLN400)</f>
        <v>0</v>
      </c>
      <c r="DLO2" s="8">
        <f>COUNT(DLP4:DLP400)</f>
        <v>0</v>
      </c>
      <c r="DLQ2" s="8">
        <f>COUNT(DLR4:DLR400)</f>
        <v>0</v>
      </c>
      <c r="DLS2" s="8">
        <f>COUNT(DLT4:DLT400)</f>
        <v>0</v>
      </c>
      <c r="DLU2" s="8">
        <f>COUNT(DLV4:DLV400)</f>
        <v>0</v>
      </c>
      <c r="DLW2" s="8">
        <f>COUNT(DLX4:DLX400)</f>
        <v>0</v>
      </c>
      <c r="DLY2" s="8">
        <f>COUNT(DLZ4:DLZ400)</f>
        <v>0</v>
      </c>
      <c r="DMA2" s="8">
        <f>COUNT(DMB4:DMB400)</f>
        <v>0</v>
      </c>
      <c r="DMC2" s="8">
        <f>COUNT(DMD4:DMD400)</f>
        <v>0</v>
      </c>
      <c r="DME2" s="8">
        <f>COUNT(DMF4:DMF400)</f>
        <v>0</v>
      </c>
      <c r="DMG2" s="8">
        <f>COUNT(DMH4:DMH400)</f>
        <v>0</v>
      </c>
      <c r="DMI2" s="8">
        <f>COUNT(DMJ4:DMJ400)</f>
        <v>0</v>
      </c>
      <c r="DMK2" s="8">
        <f>COUNT(DML4:DML400)</f>
        <v>0</v>
      </c>
      <c r="DMM2" s="8">
        <f>COUNT(DMN4:DMN400)</f>
        <v>0</v>
      </c>
      <c r="DMO2" s="8">
        <f>COUNT(DMP4:DMP400)</f>
        <v>0</v>
      </c>
      <c r="DMQ2" s="8">
        <f>COUNT(DMR4:DMR400)</f>
        <v>0</v>
      </c>
      <c r="DMS2" s="8">
        <f>COUNT(DMT4:DMT400)</f>
        <v>0</v>
      </c>
      <c r="DMU2" s="8">
        <f>COUNT(DMV4:DMV400)</f>
        <v>0</v>
      </c>
      <c r="DMW2" s="8">
        <f>COUNT(DMX4:DMX400)</f>
        <v>0</v>
      </c>
      <c r="DMY2" s="8">
        <f>COUNT(DMZ4:DMZ400)</f>
        <v>0</v>
      </c>
      <c r="DNA2" s="8">
        <f>COUNT(DNB4:DNB400)</f>
        <v>0</v>
      </c>
      <c r="DNC2" s="8">
        <f>COUNT(DND4:DND400)</f>
        <v>0</v>
      </c>
      <c r="DNE2" s="8">
        <f>COUNT(DNF4:DNF400)</f>
        <v>0</v>
      </c>
      <c r="DNG2" s="8">
        <f>COUNT(DNH4:DNH400)</f>
        <v>0</v>
      </c>
      <c r="DNI2" s="8">
        <f>COUNT(DNJ4:DNJ400)</f>
        <v>0</v>
      </c>
      <c r="DNK2" s="8">
        <f>COUNT(DNL4:DNL400)</f>
        <v>0</v>
      </c>
      <c r="DNM2" s="8">
        <f>COUNT(DNN4:DNN400)</f>
        <v>0</v>
      </c>
      <c r="DNO2" s="8">
        <f>COUNT(DNP4:DNP400)</f>
        <v>0</v>
      </c>
      <c r="DNQ2" s="8">
        <f>COUNT(DNR4:DNR400)</f>
        <v>0</v>
      </c>
      <c r="DNS2" s="8">
        <f>COUNT(DNT4:DNT400)</f>
        <v>0</v>
      </c>
      <c r="DNU2" s="8">
        <f>COUNT(DNV4:DNV400)</f>
        <v>0</v>
      </c>
      <c r="DNW2" s="8">
        <f>COUNT(DNX4:DNX400)</f>
        <v>0</v>
      </c>
      <c r="DNY2" s="8">
        <f>COUNT(DNZ4:DNZ400)</f>
        <v>0</v>
      </c>
      <c r="DOA2" s="8">
        <f>COUNT(DOB4:DOB400)</f>
        <v>0</v>
      </c>
      <c r="DOC2" s="8">
        <f>COUNT(DOD4:DOD400)</f>
        <v>0</v>
      </c>
      <c r="DOE2" s="8">
        <f>COUNT(DOF4:DOF400)</f>
        <v>0</v>
      </c>
      <c r="DOG2" s="8">
        <f>COUNT(DOH4:DOH400)</f>
        <v>0</v>
      </c>
      <c r="DOI2" s="8">
        <f>COUNT(DOJ4:DOJ400)</f>
        <v>0</v>
      </c>
      <c r="DOK2" s="8">
        <f>COUNT(DOL4:DOL400)</f>
        <v>0</v>
      </c>
      <c r="DOM2" s="8">
        <f>COUNT(DON4:DON400)</f>
        <v>0</v>
      </c>
      <c r="DOO2" s="8">
        <f>COUNT(DOP4:DOP400)</f>
        <v>0</v>
      </c>
      <c r="DOQ2" s="8">
        <f>COUNT(DOR4:DOR400)</f>
        <v>0</v>
      </c>
      <c r="DOS2" s="8">
        <f>COUNT(DOT4:DOT400)</f>
        <v>0</v>
      </c>
      <c r="DOU2" s="8">
        <f>COUNT(DOV4:DOV400)</f>
        <v>0</v>
      </c>
      <c r="DOW2" s="8">
        <f>COUNT(DOX4:DOX400)</f>
        <v>0</v>
      </c>
      <c r="DOY2" s="8">
        <f>COUNT(DOZ4:DOZ400)</f>
        <v>0</v>
      </c>
      <c r="DPA2" s="8">
        <f>COUNT(DPB4:DPB400)</f>
        <v>0</v>
      </c>
      <c r="DPC2" s="8">
        <f>COUNT(DPD4:DPD400)</f>
        <v>0</v>
      </c>
      <c r="DPE2" s="8">
        <f>COUNT(DPF4:DPF400)</f>
        <v>0</v>
      </c>
      <c r="DPG2" s="8">
        <f>COUNT(DPH4:DPH400)</f>
        <v>0</v>
      </c>
      <c r="DPI2" s="8">
        <f>COUNT(DPJ4:DPJ400)</f>
        <v>0</v>
      </c>
      <c r="DPK2" s="8">
        <f>COUNT(DPL4:DPL400)</f>
        <v>0</v>
      </c>
      <c r="DPM2" s="8">
        <f>COUNT(DPN4:DPN400)</f>
        <v>0</v>
      </c>
      <c r="DPO2" s="8">
        <f>COUNT(DPP4:DPP400)</f>
        <v>0</v>
      </c>
      <c r="DPQ2" s="8">
        <f>COUNT(DPR4:DPR400)</f>
        <v>0</v>
      </c>
      <c r="DPS2" s="8">
        <f>COUNT(DPT4:DPT400)</f>
        <v>0</v>
      </c>
      <c r="DPU2" s="8">
        <f>COUNT(DPV4:DPV400)</f>
        <v>0</v>
      </c>
      <c r="DPW2" s="8">
        <f>COUNT(DPX4:DPX400)</f>
        <v>0</v>
      </c>
      <c r="DPY2" s="8">
        <f>COUNT(DPZ4:DPZ400)</f>
        <v>0</v>
      </c>
      <c r="DQA2" s="8">
        <f>COUNT(DQB4:DQB400)</f>
        <v>0</v>
      </c>
      <c r="DQC2" s="8">
        <f>COUNT(DQD4:DQD400)</f>
        <v>0</v>
      </c>
      <c r="DQE2" s="8">
        <f>COUNT(DQF4:DQF400)</f>
        <v>0</v>
      </c>
      <c r="DQG2" s="8">
        <f>COUNT(DQH4:DQH400)</f>
        <v>0</v>
      </c>
      <c r="DQI2" s="8">
        <f>COUNT(DQJ4:DQJ400)</f>
        <v>0</v>
      </c>
      <c r="DQK2" s="8">
        <f>COUNT(DQL4:DQL400)</f>
        <v>0</v>
      </c>
      <c r="DQM2" s="8">
        <f>COUNT(DQN4:DQN400)</f>
        <v>0</v>
      </c>
      <c r="DQO2" s="8">
        <f>COUNT(DQP4:DQP400)</f>
        <v>0</v>
      </c>
      <c r="DQQ2" s="8">
        <f>COUNT(DQR4:DQR400)</f>
        <v>0</v>
      </c>
      <c r="DQS2" s="8">
        <f>COUNT(DQT4:DQT400)</f>
        <v>0</v>
      </c>
      <c r="DQU2" s="8">
        <f>COUNT(DQV4:DQV400)</f>
        <v>0</v>
      </c>
      <c r="DQW2" s="8">
        <f>COUNT(DQX4:DQX400)</f>
        <v>0</v>
      </c>
      <c r="DQY2" s="8">
        <f>COUNT(DQZ4:DQZ400)</f>
        <v>0</v>
      </c>
      <c r="DRA2" s="8">
        <f>COUNT(DRB4:DRB400)</f>
        <v>0</v>
      </c>
      <c r="DRC2" s="8">
        <f>COUNT(DRD4:DRD400)</f>
        <v>0</v>
      </c>
      <c r="DRE2" s="8">
        <f>COUNT(DRF4:DRF400)</f>
        <v>0</v>
      </c>
      <c r="DRG2" s="8">
        <f>COUNT(DRH4:DRH400)</f>
        <v>0</v>
      </c>
      <c r="DRI2" s="8">
        <f>COUNT(DRJ4:DRJ400)</f>
        <v>0</v>
      </c>
      <c r="DRK2" s="8">
        <f>COUNT(DRL4:DRL400)</f>
        <v>0</v>
      </c>
      <c r="DRM2" s="8">
        <f>COUNT(DRN4:DRN400)</f>
        <v>0</v>
      </c>
      <c r="DRO2" s="8">
        <f>COUNT(DRP4:DRP400)</f>
        <v>0</v>
      </c>
      <c r="DRQ2" s="8">
        <f>COUNT(DRR4:DRR400)</f>
        <v>0</v>
      </c>
      <c r="DRS2" s="8">
        <f>COUNT(DRT4:DRT400)</f>
        <v>0</v>
      </c>
      <c r="DRU2" s="8">
        <f>COUNT(DRV4:DRV400)</f>
        <v>0</v>
      </c>
      <c r="DRW2" s="8">
        <f>COUNT(DRX4:DRX400)</f>
        <v>0</v>
      </c>
      <c r="DRY2" s="8">
        <f>COUNT(DRZ4:DRZ400)</f>
        <v>0</v>
      </c>
      <c r="DSA2" s="8">
        <f>COUNT(DSB4:DSB400)</f>
        <v>0</v>
      </c>
      <c r="DSC2" s="8">
        <f>COUNT(DSD4:DSD400)</f>
        <v>0</v>
      </c>
      <c r="DSE2" s="8">
        <f>COUNT(DSF4:DSF400)</f>
        <v>0</v>
      </c>
      <c r="DSG2" s="8">
        <f>COUNT(DSH4:DSH400)</f>
        <v>0</v>
      </c>
      <c r="DSI2" s="8">
        <f>COUNT(DSJ4:DSJ400)</f>
        <v>0</v>
      </c>
      <c r="DSK2" s="8">
        <f>COUNT(DSL4:DSL400)</f>
        <v>0</v>
      </c>
      <c r="DSM2" s="8">
        <f>COUNT(DSN4:DSN400)</f>
        <v>0</v>
      </c>
      <c r="DSO2" s="8">
        <f>COUNT(DSP4:DSP400)</f>
        <v>0</v>
      </c>
      <c r="DSQ2" s="8">
        <f>COUNT(DSR4:DSR400)</f>
        <v>0</v>
      </c>
      <c r="DSS2" s="8">
        <f>COUNT(DST4:DST400)</f>
        <v>0</v>
      </c>
      <c r="DSU2" s="8">
        <f>COUNT(DSV4:DSV400)</f>
        <v>0</v>
      </c>
      <c r="DSW2" s="8">
        <f>COUNT(DSX4:DSX400)</f>
        <v>0</v>
      </c>
      <c r="DSY2" s="8">
        <f>COUNT(DSZ4:DSZ400)</f>
        <v>0</v>
      </c>
      <c r="DTA2" s="8">
        <f>COUNT(DTB4:DTB400)</f>
        <v>0</v>
      </c>
      <c r="DTC2" s="8">
        <f>COUNT(DTD4:DTD400)</f>
        <v>0</v>
      </c>
      <c r="DTE2" s="8">
        <f>COUNT(DTF4:DTF400)</f>
        <v>0</v>
      </c>
      <c r="DTG2" s="8">
        <f>COUNT(DTH4:DTH400)</f>
        <v>0</v>
      </c>
      <c r="DTI2" s="8">
        <f>COUNT(DTJ4:DTJ400)</f>
        <v>0</v>
      </c>
      <c r="DTK2" s="8">
        <f>COUNT(DTL4:DTL400)</f>
        <v>0</v>
      </c>
      <c r="DTM2" s="8">
        <f>COUNT(DTN4:DTN400)</f>
        <v>0</v>
      </c>
      <c r="DTO2" s="8">
        <f>COUNT(DTP4:DTP400)</f>
        <v>0</v>
      </c>
      <c r="DTQ2" s="8">
        <f>COUNT(DTR4:DTR400)</f>
        <v>0</v>
      </c>
      <c r="DTS2" s="8">
        <f>COUNT(DTT4:DTT400)</f>
        <v>0</v>
      </c>
      <c r="DTU2" s="8">
        <f>COUNT(DTV4:DTV400)</f>
        <v>0</v>
      </c>
      <c r="DTW2" s="8">
        <f>COUNT(DTX4:DTX400)</f>
        <v>0</v>
      </c>
      <c r="DTY2" s="8">
        <f>COUNT(DTZ4:DTZ400)</f>
        <v>0</v>
      </c>
      <c r="DUA2" s="8">
        <f>COUNT(DUB4:DUB400)</f>
        <v>0</v>
      </c>
      <c r="DUC2" s="8">
        <f>COUNT(DUD4:DUD400)</f>
        <v>0</v>
      </c>
      <c r="DUE2" s="8">
        <f>COUNT(DUF4:DUF400)</f>
        <v>0</v>
      </c>
      <c r="DUG2" s="8">
        <f>COUNT(DUH4:DUH400)</f>
        <v>0</v>
      </c>
      <c r="DUI2" s="8">
        <f>COUNT(DUJ4:DUJ400)</f>
        <v>0</v>
      </c>
      <c r="DUK2" s="8">
        <f>COUNT(DUL4:DUL400)</f>
        <v>0</v>
      </c>
      <c r="DUM2" s="8">
        <f>COUNT(DUN4:DUN400)</f>
        <v>0</v>
      </c>
      <c r="DUO2" s="8">
        <f>COUNT(DUP4:DUP400)</f>
        <v>0</v>
      </c>
      <c r="DUQ2" s="8">
        <f>COUNT(DUR4:DUR400)</f>
        <v>0</v>
      </c>
      <c r="DUS2" s="8">
        <f>COUNT(DUT4:DUT400)</f>
        <v>0</v>
      </c>
      <c r="DUU2" s="8">
        <f>COUNT(DUV4:DUV400)</f>
        <v>0</v>
      </c>
      <c r="DUW2" s="8">
        <f>COUNT(DUX4:DUX400)</f>
        <v>0</v>
      </c>
      <c r="DUY2" s="8">
        <f>COUNT(DUZ4:DUZ400)</f>
        <v>0</v>
      </c>
      <c r="DVA2" s="8">
        <f>COUNT(DVB4:DVB400)</f>
        <v>0</v>
      </c>
      <c r="DVC2" s="8">
        <f>COUNT(DVD4:DVD400)</f>
        <v>0</v>
      </c>
      <c r="DVE2" s="8">
        <f>COUNT(DVF4:DVF400)</f>
        <v>0</v>
      </c>
      <c r="DVG2" s="8">
        <f>COUNT(DVH4:DVH400)</f>
        <v>0</v>
      </c>
      <c r="DVI2" s="8">
        <f>COUNT(DVJ4:DVJ400)</f>
        <v>0</v>
      </c>
      <c r="DVK2" s="8">
        <f>COUNT(DVL4:DVL400)</f>
        <v>0</v>
      </c>
      <c r="DVM2" s="8">
        <f>COUNT(DVN4:DVN400)</f>
        <v>0</v>
      </c>
      <c r="DVO2" s="8">
        <f>COUNT(DVP4:DVP400)</f>
        <v>0</v>
      </c>
      <c r="DVQ2" s="8">
        <f>COUNT(DVR4:DVR400)</f>
        <v>0</v>
      </c>
      <c r="DVS2" s="8">
        <f>COUNT(DVT4:DVT400)</f>
        <v>0</v>
      </c>
      <c r="DVU2" s="8">
        <f>COUNT(DVV4:DVV400)</f>
        <v>0</v>
      </c>
      <c r="DVW2" s="8">
        <f>COUNT(DVX4:DVX400)</f>
        <v>0</v>
      </c>
      <c r="DVY2" s="8">
        <f>COUNT(DVZ4:DVZ400)</f>
        <v>0</v>
      </c>
      <c r="DWA2" s="8">
        <f>COUNT(DWB4:DWB400)</f>
        <v>0</v>
      </c>
      <c r="DWC2" s="8">
        <f>COUNT(DWD4:DWD400)</f>
        <v>0</v>
      </c>
      <c r="DWE2" s="8">
        <f>COUNT(DWF4:DWF400)</f>
        <v>0</v>
      </c>
      <c r="DWG2" s="8">
        <f>COUNT(DWH4:DWH400)</f>
        <v>0</v>
      </c>
      <c r="DWI2" s="8">
        <f>COUNT(DWJ4:DWJ400)</f>
        <v>0</v>
      </c>
      <c r="DWK2" s="8">
        <f>COUNT(DWL4:DWL400)</f>
        <v>0</v>
      </c>
      <c r="DWM2" s="8">
        <f>COUNT(DWN4:DWN400)</f>
        <v>0</v>
      </c>
      <c r="DWO2" s="8">
        <f>COUNT(DWP4:DWP400)</f>
        <v>0</v>
      </c>
      <c r="DWQ2" s="8">
        <f>COUNT(DWR4:DWR400)</f>
        <v>0</v>
      </c>
      <c r="DWS2" s="8">
        <f>COUNT(DWT4:DWT400)</f>
        <v>0</v>
      </c>
      <c r="DWU2" s="8">
        <f>COUNT(DWV4:DWV400)</f>
        <v>0</v>
      </c>
      <c r="DWW2" s="8">
        <f>COUNT(DWX4:DWX400)</f>
        <v>0</v>
      </c>
      <c r="DWY2" s="8">
        <f>COUNT(DWZ4:DWZ400)</f>
        <v>0</v>
      </c>
      <c r="DXA2" s="8">
        <f>COUNT(DXB4:DXB400)</f>
        <v>0</v>
      </c>
      <c r="DXC2" s="8">
        <f>COUNT(DXD4:DXD400)</f>
        <v>0</v>
      </c>
      <c r="DXE2" s="8">
        <f>COUNT(DXF4:DXF400)</f>
        <v>0</v>
      </c>
      <c r="DXG2" s="8">
        <f>COUNT(DXH4:DXH400)</f>
        <v>0</v>
      </c>
      <c r="DXI2" s="8">
        <f>COUNT(DXJ4:DXJ400)</f>
        <v>0</v>
      </c>
      <c r="DXK2" s="8">
        <f>COUNT(DXL4:DXL400)</f>
        <v>0</v>
      </c>
      <c r="DXM2" s="8">
        <f>COUNT(DXN4:DXN400)</f>
        <v>0</v>
      </c>
      <c r="DXO2" s="8">
        <f>COUNT(DXP4:DXP400)</f>
        <v>0</v>
      </c>
      <c r="DXQ2" s="8">
        <f>COUNT(DXR4:DXR400)</f>
        <v>0</v>
      </c>
      <c r="DXS2" s="8">
        <f>COUNT(DXT4:DXT400)</f>
        <v>0</v>
      </c>
      <c r="DXU2" s="8">
        <f>COUNT(DXV4:DXV400)</f>
        <v>0</v>
      </c>
      <c r="DXW2" s="8">
        <f>COUNT(DXX4:DXX400)</f>
        <v>0</v>
      </c>
      <c r="DXY2" s="8">
        <f>COUNT(DXZ4:DXZ400)</f>
        <v>0</v>
      </c>
      <c r="DYA2" s="8">
        <f>COUNT(DYB4:DYB400)</f>
        <v>0</v>
      </c>
      <c r="DYC2" s="8">
        <f>COUNT(DYD4:DYD400)</f>
        <v>0</v>
      </c>
      <c r="DYE2" s="8">
        <f>COUNT(DYF4:DYF400)</f>
        <v>0</v>
      </c>
      <c r="DYG2" s="8">
        <f>COUNT(DYH4:DYH400)</f>
        <v>0</v>
      </c>
      <c r="DYI2" s="8">
        <f>COUNT(DYJ4:DYJ400)</f>
        <v>0</v>
      </c>
      <c r="DYK2" s="8">
        <f>COUNT(DYL4:DYL400)</f>
        <v>0</v>
      </c>
      <c r="DYM2" s="8">
        <f>COUNT(DYN4:DYN400)</f>
        <v>0</v>
      </c>
      <c r="DYO2" s="8">
        <f>COUNT(DYP4:DYP400)</f>
        <v>0</v>
      </c>
      <c r="DYQ2" s="8">
        <f>COUNT(DYR4:DYR400)</f>
        <v>0</v>
      </c>
      <c r="DYS2" s="8">
        <f>COUNT(DYT4:DYT400)</f>
        <v>0</v>
      </c>
      <c r="DYU2" s="8">
        <f>COUNT(DYV4:DYV400)</f>
        <v>0</v>
      </c>
      <c r="DYW2" s="8">
        <f>COUNT(DYX4:DYX400)</f>
        <v>0</v>
      </c>
      <c r="DYY2" s="8">
        <f>COUNT(DYZ4:DYZ400)</f>
        <v>0</v>
      </c>
      <c r="DZA2" s="8">
        <f>COUNT(DZB4:DZB400)</f>
        <v>0</v>
      </c>
      <c r="DZC2" s="8">
        <f>COUNT(DZD4:DZD400)</f>
        <v>0</v>
      </c>
      <c r="DZE2" s="8">
        <f>COUNT(DZF4:DZF400)</f>
        <v>0</v>
      </c>
      <c r="DZG2" s="8">
        <f>COUNT(DZH4:DZH400)</f>
        <v>0</v>
      </c>
      <c r="DZI2" s="8">
        <f>COUNT(DZJ4:DZJ400)</f>
        <v>0</v>
      </c>
      <c r="DZK2" s="8">
        <f>COUNT(DZL4:DZL400)</f>
        <v>0</v>
      </c>
      <c r="DZM2" s="8">
        <f>COUNT(DZN4:DZN400)</f>
        <v>0</v>
      </c>
      <c r="DZO2" s="8">
        <f>COUNT(DZP4:DZP400)</f>
        <v>0</v>
      </c>
      <c r="DZQ2" s="8">
        <f>COUNT(DZR4:DZR400)</f>
        <v>0</v>
      </c>
      <c r="DZS2" s="8">
        <f>COUNT(DZT4:DZT400)</f>
        <v>0</v>
      </c>
      <c r="DZU2" s="8">
        <f>COUNT(DZV4:DZV400)</f>
        <v>0</v>
      </c>
      <c r="DZW2" s="8">
        <f>COUNT(DZX4:DZX400)</f>
        <v>0</v>
      </c>
      <c r="DZY2" s="8">
        <f>COUNT(DZZ4:DZZ400)</f>
        <v>0</v>
      </c>
      <c r="EAA2" s="8">
        <f>COUNT(EAB4:EAB400)</f>
        <v>0</v>
      </c>
      <c r="EAC2" s="8">
        <f>COUNT(EAD4:EAD400)</f>
        <v>0</v>
      </c>
      <c r="EAE2" s="8">
        <f>COUNT(EAF4:EAF400)</f>
        <v>0</v>
      </c>
      <c r="EAG2" s="8">
        <f>COUNT(EAH4:EAH400)</f>
        <v>0</v>
      </c>
      <c r="EAI2" s="8">
        <f>COUNT(EAJ4:EAJ400)</f>
        <v>0</v>
      </c>
      <c r="EAK2" s="8">
        <f>COUNT(EAL4:EAL400)</f>
        <v>0</v>
      </c>
      <c r="EAM2" s="8">
        <f>COUNT(EAN4:EAN400)</f>
        <v>0</v>
      </c>
      <c r="EAO2" s="8">
        <f>COUNT(EAP4:EAP400)</f>
        <v>0</v>
      </c>
      <c r="EAQ2" s="8">
        <f>COUNT(EAR4:EAR400)</f>
        <v>0</v>
      </c>
      <c r="EAS2" s="8">
        <f>COUNT(EAT4:EAT400)</f>
        <v>0</v>
      </c>
      <c r="EAU2" s="8">
        <f>COUNT(EAV4:EAV400)</f>
        <v>0</v>
      </c>
      <c r="EAW2" s="8">
        <f>COUNT(EAX4:EAX400)</f>
        <v>0</v>
      </c>
      <c r="EAY2" s="8">
        <f>COUNT(EAZ4:EAZ400)</f>
        <v>0</v>
      </c>
      <c r="EBA2" s="8">
        <f>COUNT(EBB4:EBB400)</f>
        <v>0</v>
      </c>
      <c r="EBC2" s="8">
        <f>COUNT(EBD4:EBD400)</f>
        <v>0</v>
      </c>
      <c r="EBE2" s="8">
        <f>COUNT(EBF4:EBF400)</f>
        <v>0</v>
      </c>
      <c r="EBG2" s="8">
        <f>COUNT(EBH4:EBH400)</f>
        <v>0</v>
      </c>
      <c r="EBI2" s="8">
        <f>COUNT(EBJ4:EBJ400)</f>
        <v>0</v>
      </c>
      <c r="EBK2" s="8">
        <f>COUNT(EBL4:EBL400)</f>
        <v>0</v>
      </c>
      <c r="EBM2" s="8">
        <f>COUNT(EBN4:EBN400)</f>
        <v>0</v>
      </c>
      <c r="EBO2" s="8">
        <f>COUNT(EBP4:EBP400)</f>
        <v>0</v>
      </c>
      <c r="EBQ2" s="8">
        <f>COUNT(EBR4:EBR400)</f>
        <v>0</v>
      </c>
      <c r="EBS2" s="8">
        <f>COUNT(EBT4:EBT400)</f>
        <v>0</v>
      </c>
      <c r="EBU2" s="8">
        <f>COUNT(EBV4:EBV400)</f>
        <v>0</v>
      </c>
      <c r="EBW2" s="8">
        <f>COUNT(EBX4:EBX400)</f>
        <v>0</v>
      </c>
      <c r="EBY2" s="8">
        <f>COUNT(EBZ4:EBZ400)</f>
        <v>0</v>
      </c>
      <c r="ECA2" s="8">
        <f>COUNT(ECB4:ECB400)</f>
        <v>0</v>
      </c>
      <c r="ECC2" s="8">
        <f>COUNT(ECD4:ECD400)</f>
        <v>0</v>
      </c>
      <c r="ECE2" s="8">
        <f>COUNT(ECF4:ECF400)</f>
        <v>0</v>
      </c>
      <c r="ECG2" s="8">
        <f>COUNT(ECH4:ECH400)</f>
        <v>0</v>
      </c>
      <c r="ECI2" s="8">
        <f>COUNT(ECJ4:ECJ400)</f>
        <v>0</v>
      </c>
      <c r="ECK2" s="8">
        <f>COUNT(ECL4:ECL400)</f>
        <v>0</v>
      </c>
      <c r="ECM2" s="8">
        <f>COUNT(ECN4:ECN400)</f>
        <v>0</v>
      </c>
      <c r="ECO2" s="8">
        <f>COUNT(ECP4:ECP400)</f>
        <v>0</v>
      </c>
      <c r="ECQ2" s="8">
        <f>COUNT(ECR4:ECR400)</f>
        <v>0</v>
      </c>
      <c r="ECS2" s="8">
        <f>COUNT(ECT4:ECT400)</f>
        <v>0</v>
      </c>
      <c r="ECU2" s="8">
        <f>COUNT(ECV4:ECV400)</f>
        <v>0</v>
      </c>
      <c r="ECW2" s="8">
        <f>COUNT(ECX4:ECX400)</f>
        <v>0</v>
      </c>
      <c r="ECY2" s="8">
        <f>COUNT(ECZ4:ECZ400)</f>
        <v>0</v>
      </c>
      <c r="EDA2" s="8">
        <f>COUNT(EDB4:EDB400)</f>
        <v>0</v>
      </c>
      <c r="EDC2" s="8">
        <f>COUNT(EDD4:EDD400)</f>
        <v>0</v>
      </c>
      <c r="EDE2" s="8">
        <f>COUNT(EDF4:EDF400)</f>
        <v>0</v>
      </c>
      <c r="EDG2" s="8">
        <f>COUNT(EDH4:EDH400)</f>
        <v>0</v>
      </c>
      <c r="EDI2" s="8">
        <f>COUNT(EDJ4:EDJ400)</f>
        <v>0</v>
      </c>
      <c r="EDK2" s="8">
        <f>COUNT(EDL4:EDL400)</f>
        <v>0</v>
      </c>
      <c r="EDM2" s="8">
        <f>COUNT(EDN4:EDN400)</f>
        <v>0</v>
      </c>
      <c r="EDO2" s="8">
        <f>COUNT(EDP4:EDP400)</f>
        <v>0</v>
      </c>
      <c r="EDQ2" s="8">
        <f>COUNT(EDR4:EDR400)</f>
        <v>0</v>
      </c>
      <c r="EDS2" s="8">
        <f>COUNT(EDT4:EDT400)</f>
        <v>0</v>
      </c>
      <c r="EDU2" s="8">
        <f>COUNT(EDV4:EDV400)</f>
        <v>0</v>
      </c>
      <c r="EDW2" s="8">
        <f>COUNT(EDX4:EDX400)</f>
        <v>0</v>
      </c>
      <c r="EDY2" s="8">
        <f>COUNT(EDZ4:EDZ400)</f>
        <v>0</v>
      </c>
      <c r="EEA2" s="8">
        <f>COUNT(EEB4:EEB400)</f>
        <v>0</v>
      </c>
      <c r="EEC2" s="8">
        <f>COUNT(EED4:EED400)</f>
        <v>0</v>
      </c>
      <c r="EEE2" s="8">
        <f>COUNT(EEF4:EEF400)</f>
        <v>0</v>
      </c>
      <c r="EEG2" s="8">
        <f>COUNT(EEH4:EEH400)</f>
        <v>0</v>
      </c>
      <c r="EEI2" s="8">
        <f>COUNT(EEJ4:EEJ400)</f>
        <v>0</v>
      </c>
      <c r="EEK2" s="8">
        <f>COUNT(EEL4:EEL400)</f>
        <v>0</v>
      </c>
      <c r="EEM2" s="8">
        <f>COUNT(EEN4:EEN400)</f>
        <v>0</v>
      </c>
      <c r="EEO2" s="8">
        <f>COUNT(EEP4:EEP400)</f>
        <v>0</v>
      </c>
      <c r="EEQ2" s="8">
        <f>COUNT(EER4:EER400)</f>
        <v>0</v>
      </c>
      <c r="EES2" s="8">
        <f>COUNT(EET4:EET400)</f>
        <v>0</v>
      </c>
      <c r="EEU2" s="8">
        <f>COUNT(EEV4:EEV400)</f>
        <v>0</v>
      </c>
      <c r="EEW2" s="8">
        <f>COUNT(EEX4:EEX400)</f>
        <v>0</v>
      </c>
      <c r="EEY2" s="8">
        <f>COUNT(EEZ4:EEZ400)</f>
        <v>0</v>
      </c>
      <c r="EFA2" s="8">
        <f>COUNT(EFB4:EFB400)</f>
        <v>0</v>
      </c>
      <c r="EFC2" s="8">
        <f>COUNT(EFD4:EFD400)</f>
        <v>0</v>
      </c>
      <c r="EFE2" s="8">
        <f>COUNT(EFF4:EFF400)</f>
        <v>0</v>
      </c>
      <c r="EFG2" s="8">
        <f>COUNT(EFH4:EFH400)</f>
        <v>0</v>
      </c>
      <c r="EFI2" s="8">
        <f>COUNT(EFJ4:EFJ400)</f>
        <v>0</v>
      </c>
      <c r="EFK2" s="8">
        <f>COUNT(EFL4:EFL400)</f>
        <v>0</v>
      </c>
      <c r="EFM2" s="8">
        <f>COUNT(EFN4:EFN400)</f>
        <v>0</v>
      </c>
      <c r="EFO2" s="8">
        <f>COUNT(EFP4:EFP400)</f>
        <v>0</v>
      </c>
      <c r="EFQ2" s="8">
        <f>COUNT(EFR4:EFR400)</f>
        <v>0</v>
      </c>
      <c r="EFS2" s="8">
        <f>COUNT(EFT4:EFT400)</f>
        <v>0</v>
      </c>
      <c r="EFU2" s="8">
        <f>COUNT(EFV4:EFV400)</f>
        <v>0</v>
      </c>
      <c r="EFW2" s="8">
        <f>COUNT(EFX4:EFX400)</f>
        <v>0</v>
      </c>
      <c r="EFY2" s="8">
        <f>COUNT(EFZ4:EFZ400)</f>
        <v>0</v>
      </c>
      <c r="EGA2" s="8">
        <f>COUNT(EGB4:EGB400)</f>
        <v>0</v>
      </c>
      <c r="EGC2" s="8">
        <f>COUNT(EGD4:EGD400)</f>
        <v>0</v>
      </c>
      <c r="EGE2" s="8">
        <f>COUNT(EGF4:EGF400)</f>
        <v>0</v>
      </c>
      <c r="EGG2" s="8">
        <f>COUNT(EGH4:EGH400)</f>
        <v>0</v>
      </c>
      <c r="EGI2" s="8">
        <f>COUNT(EGJ4:EGJ400)</f>
        <v>0</v>
      </c>
      <c r="EGK2" s="8">
        <f>COUNT(EGL4:EGL400)</f>
        <v>0</v>
      </c>
      <c r="EGM2" s="8">
        <f>COUNT(EGN4:EGN400)</f>
        <v>0</v>
      </c>
      <c r="EGO2" s="8">
        <f>COUNT(EGP4:EGP400)</f>
        <v>0</v>
      </c>
      <c r="EGQ2" s="8">
        <f>COUNT(EGR4:EGR400)</f>
        <v>0</v>
      </c>
      <c r="EGS2" s="8">
        <f>COUNT(EGT4:EGT400)</f>
        <v>0</v>
      </c>
      <c r="EGU2" s="8">
        <f>COUNT(EGV4:EGV400)</f>
        <v>0</v>
      </c>
      <c r="EGW2" s="8">
        <f>COUNT(EGX4:EGX400)</f>
        <v>0</v>
      </c>
      <c r="EGY2" s="8">
        <f>COUNT(EGZ4:EGZ400)</f>
        <v>0</v>
      </c>
      <c r="EHA2" s="8">
        <f>COUNT(EHB4:EHB400)</f>
        <v>0</v>
      </c>
      <c r="EHC2" s="8">
        <f>COUNT(EHD4:EHD400)</f>
        <v>0</v>
      </c>
      <c r="EHE2" s="8">
        <f>COUNT(EHF4:EHF400)</f>
        <v>0</v>
      </c>
      <c r="EHG2" s="8">
        <f>COUNT(EHH4:EHH400)</f>
        <v>0</v>
      </c>
      <c r="EHI2" s="8">
        <f>COUNT(EHJ4:EHJ400)</f>
        <v>0</v>
      </c>
      <c r="EHK2" s="8">
        <f>COUNT(EHL4:EHL400)</f>
        <v>0</v>
      </c>
      <c r="EHM2" s="8">
        <f>COUNT(EHN4:EHN400)</f>
        <v>0</v>
      </c>
      <c r="EHO2" s="8">
        <f>COUNT(EHP4:EHP400)</f>
        <v>0</v>
      </c>
      <c r="EHQ2" s="8">
        <f>COUNT(EHR4:EHR400)</f>
        <v>0</v>
      </c>
      <c r="EHS2" s="8">
        <f>COUNT(EHT4:EHT400)</f>
        <v>0</v>
      </c>
      <c r="EHU2" s="8">
        <f>COUNT(EHV4:EHV400)</f>
        <v>0</v>
      </c>
      <c r="EHW2" s="8">
        <f>COUNT(EHX4:EHX400)</f>
        <v>0</v>
      </c>
      <c r="EHY2" s="8">
        <f>COUNT(EHZ4:EHZ400)</f>
        <v>0</v>
      </c>
      <c r="EIA2" s="8">
        <f>COUNT(EIB4:EIB400)</f>
        <v>0</v>
      </c>
      <c r="EIC2" s="8">
        <f>COUNT(EID4:EID400)</f>
        <v>0</v>
      </c>
      <c r="EIE2" s="8">
        <f>COUNT(EIF4:EIF400)</f>
        <v>0</v>
      </c>
      <c r="EIG2" s="8">
        <f>COUNT(EIH4:EIH400)</f>
        <v>0</v>
      </c>
      <c r="EII2" s="8">
        <f>COUNT(EIJ4:EIJ400)</f>
        <v>0</v>
      </c>
      <c r="EIK2" s="8">
        <f>COUNT(EIL4:EIL400)</f>
        <v>0</v>
      </c>
      <c r="EIM2" s="8">
        <f>COUNT(EIN4:EIN400)</f>
        <v>0</v>
      </c>
      <c r="EIO2" s="8">
        <f>COUNT(EIP4:EIP400)</f>
        <v>0</v>
      </c>
      <c r="EIQ2" s="8">
        <f>COUNT(EIR4:EIR400)</f>
        <v>0</v>
      </c>
      <c r="EIS2" s="8">
        <f>COUNT(EIT4:EIT400)</f>
        <v>0</v>
      </c>
      <c r="EIU2" s="8">
        <f>COUNT(EIV4:EIV400)</f>
        <v>0</v>
      </c>
      <c r="EIW2" s="8">
        <f>COUNT(EIX4:EIX400)</f>
        <v>0</v>
      </c>
      <c r="EIY2" s="8">
        <f>COUNT(EIZ4:EIZ400)</f>
        <v>0</v>
      </c>
      <c r="EJA2" s="8">
        <f>COUNT(EJB4:EJB400)</f>
        <v>0</v>
      </c>
      <c r="EJC2" s="8">
        <f>COUNT(EJD4:EJD400)</f>
        <v>0</v>
      </c>
      <c r="EJE2" s="8">
        <f>COUNT(EJF4:EJF400)</f>
        <v>0</v>
      </c>
      <c r="EJG2" s="8">
        <f>COUNT(EJH4:EJH400)</f>
        <v>0</v>
      </c>
      <c r="EJI2" s="8">
        <f>COUNT(EJJ4:EJJ400)</f>
        <v>0</v>
      </c>
      <c r="EJK2" s="8">
        <f>COUNT(EJL4:EJL400)</f>
        <v>0</v>
      </c>
      <c r="EJM2" s="8">
        <f>COUNT(EJN4:EJN400)</f>
        <v>0</v>
      </c>
      <c r="EJO2" s="8">
        <f>COUNT(EJP4:EJP400)</f>
        <v>0</v>
      </c>
      <c r="EJQ2" s="8">
        <f>COUNT(EJR4:EJR400)</f>
        <v>0</v>
      </c>
      <c r="EJS2" s="8">
        <f>COUNT(EJT4:EJT400)</f>
        <v>0</v>
      </c>
      <c r="EJU2" s="8">
        <f>COUNT(EJV4:EJV400)</f>
        <v>0</v>
      </c>
      <c r="EJW2" s="8">
        <f>COUNT(EJX4:EJX400)</f>
        <v>0</v>
      </c>
      <c r="EJY2" s="8">
        <f>COUNT(EJZ4:EJZ400)</f>
        <v>0</v>
      </c>
      <c r="EKA2" s="8">
        <f>COUNT(EKB4:EKB400)</f>
        <v>0</v>
      </c>
      <c r="EKC2" s="8">
        <f>COUNT(EKD4:EKD400)</f>
        <v>0</v>
      </c>
      <c r="EKE2" s="8">
        <f>COUNT(EKF4:EKF400)</f>
        <v>0</v>
      </c>
      <c r="EKG2" s="8">
        <f>COUNT(EKH4:EKH400)</f>
        <v>0</v>
      </c>
      <c r="EKI2" s="8">
        <f>COUNT(EKJ4:EKJ400)</f>
        <v>0</v>
      </c>
      <c r="EKK2" s="8">
        <f>COUNT(EKL4:EKL400)</f>
        <v>0</v>
      </c>
      <c r="EKM2" s="8">
        <f>COUNT(EKN4:EKN400)</f>
        <v>0</v>
      </c>
      <c r="EKO2" s="8">
        <f>COUNT(EKP4:EKP400)</f>
        <v>0</v>
      </c>
      <c r="EKQ2" s="8">
        <f>COUNT(EKR4:EKR400)</f>
        <v>0</v>
      </c>
      <c r="EKS2" s="8">
        <f>COUNT(EKT4:EKT400)</f>
        <v>0</v>
      </c>
      <c r="EKU2" s="8">
        <f>COUNT(EKV4:EKV400)</f>
        <v>0</v>
      </c>
      <c r="EKW2" s="8">
        <f>COUNT(EKX4:EKX400)</f>
        <v>0</v>
      </c>
      <c r="EKY2" s="8">
        <f>COUNT(EKZ4:EKZ400)</f>
        <v>0</v>
      </c>
      <c r="ELA2" s="8">
        <f>COUNT(ELB4:ELB400)</f>
        <v>0</v>
      </c>
      <c r="ELC2" s="8">
        <f>COUNT(ELD4:ELD400)</f>
        <v>0</v>
      </c>
      <c r="ELE2" s="8">
        <f>COUNT(ELF4:ELF400)</f>
        <v>0</v>
      </c>
      <c r="ELG2" s="8">
        <f>COUNT(ELH4:ELH400)</f>
        <v>0</v>
      </c>
      <c r="ELI2" s="8">
        <f>COUNT(ELJ4:ELJ400)</f>
        <v>0</v>
      </c>
      <c r="ELK2" s="8">
        <f>COUNT(ELL4:ELL400)</f>
        <v>0</v>
      </c>
      <c r="ELM2" s="8">
        <f>COUNT(ELN4:ELN400)</f>
        <v>0</v>
      </c>
      <c r="ELO2" s="8">
        <f>COUNT(ELP4:ELP400)</f>
        <v>0</v>
      </c>
      <c r="ELQ2" s="8">
        <f>COUNT(ELR4:ELR400)</f>
        <v>0</v>
      </c>
      <c r="ELS2" s="8">
        <f>COUNT(ELT4:ELT400)</f>
        <v>0</v>
      </c>
      <c r="ELU2" s="8">
        <f>COUNT(ELV4:ELV400)</f>
        <v>0</v>
      </c>
      <c r="ELW2" s="8">
        <f>COUNT(ELX4:ELX400)</f>
        <v>0</v>
      </c>
      <c r="ELY2" s="8">
        <f>COUNT(ELZ4:ELZ400)</f>
        <v>0</v>
      </c>
      <c r="EMA2" s="8">
        <f>COUNT(EMB4:EMB400)</f>
        <v>0</v>
      </c>
      <c r="EMC2" s="8">
        <f>COUNT(EMD4:EMD400)</f>
        <v>0</v>
      </c>
      <c r="EME2" s="8">
        <f>COUNT(EMF4:EMF400)</f>
        <v>0</v>
      </c>
      <c r="EMG2" s="8">
        <f>COUNT(EMH4:EMH400)</f>
        <v>0</v>
      </c>
      <c r="EMI2" s="8">
        <f>COUNT(EMJ4:EMJ400)</f>
        <v>0</v>
      </c>
      <c r="EMK2" s="8">
        <f>COUNT(EML4:EML400)</f>
        <v>0</v>
      </c>
      <c r="EMM2" s="8">
        <f>COUNT(EMN4:EMN400)</f>
        <v>0</v>
      </c>
      <c r="EMO2" s="8">
        <f>COUNT(EMP4:EMP400)</f>
        <v>0</v>
      </c>
      <c r="EMQ2" s="8">
        <f>COUNT(EMR4:EMR400)</f>
        <v>0</v>
      </c>
      <c r="EMS2" s="8">
        <f>COUNT(EMT4:EMT400)</f>
        <v>0</v>
      </c>
      <c r="EMU2" s="8">
        <f>COUNT(EMV4:EMV400)</f>
        <v>0</v>
      </c>
      <c r="EMW2" s="8">
        <f>COUNT(EMX4:EMX400)</f>
        <v>0</v>
      </c>
      <c r="EMY2" s="8">
        <f>COUNT(EMZ4:EMZ400)</f>
        <v>0</v>
      </c>
      <c r="ENA2" s="8">
        <f>COUNT(ENB4:ENB400)</f>
        <v>0</v>
      </c>
      <c r="ENC2" s="8">
        <f>COUNT(END4:END400)</f>
        <v>0</v>
      </c>
      <c r="ENE2" s="8">
        <f>COUNT(ENF4:ENF400)</f>
        <v>0</v>
      </c>
      <c r="ENG2" s="8">
        <f>COUNT(ENH4:ENH400)</f>
        <v>0</v>
      </c>
      <c r="ENI2" s="8">
        <f>COUNT(ENJ4:ENJ400)</f>
        <v>0</v>
      </c>
      <c r="ENK2" s="8">
        <f>COUNT(ENL4:ENL400)</f>
        <v>0</v>
      </c>
      <c r="ENM2" s="8">
        <f>COUNT(ENN4:ENN400)</f>
        <v>0</v>
      </c>
      <c r="ENO2" s="8">
        <f>COUNT(ENP4:ENP400)</f>
        <v>0</v>
      </c>
      <c r="ENQ2" s="8">
        <f>COUNT(ENR4:ENR400)</f>
        <v>0</v>
      </c>
      <c r="ENS2" s="8">
        <f>COUNT(ENT4:ENT400)</f>
        <v>0</v>
      </c>
      <c r="ENU2" s="8">
        <f>COUNT(ENV4:ENV400)</f>
        <v>0</v>
      </c>
      <c r="ENW2" s="8">
        <f>COUNT(ENX4:ENX400)</f>
        <v>0</v>
      </c>
      <c r="ENY2" s="8">
        <f>COUNT(ENZ4:ENZ400)</f>
        <v>0</v>
      </c>
      <c r="EOA2" s="8">
        <f>COUNT(EOB4:EOB400)</f>
        <v>0</v>
      </c>
      <c r="EOC2" s="8">
        <f>COUNT(EOD4:EOD400)</f>
        <v>0</v>
      </c>
      <c r="EOE2" s="8">
        <f>COUNT(EOF4:EOF400)</f>
        <v>0</v>
      </c>
      <c r="EOG2" s="8">
        <f>COUNT(EOH4:EOH400)</f>
        <v>0</v>
      </c>
      <c r="EOI2" s="8">
        <f>COUNT(EOJ4:EOJ400)</f>
        <v>0</v>
      </c>
      <c r="EOK2" s="8">
        <f>COUNT(EOL4:EOL400)</f>
        <v>0</v>
      </c>
      <c r="EOM2" s="8">
        <f>COUNT(EON4:EON400)</f>
        <v>0</v>
      </c>
      <c r="EOO2" s="8">
        <f>COUNT(EOP4:EOP400)</f>
        <v>0</v>
      </c>
      <c r="EOQ2" s="8">
        <f>COUNT(EOR4:EOR400)</f>
        <v>0</v>
      </c>
      <c r="EOS2" s="8">
        <f>COUNT(EOT4:EOT400)</f>
        <v>0</v>
      </c>
      <c r="EOU2" s="8">
        <f>COUNT(EOV4:EOV400)</f>
        <v>0</v>
      </c>
      <c r="EOW2" s="8">
        <f>COUNT(EOX4:EOX400)</f>
        <v>0</v>
      </c>
      <c r="EOY2" s="8">
        <f>COUNT(EOZ4:EOZ400)</f>
        <v>0</v>
      </c>
      <c r="EPA2" s="8">
        <f>COUNT(EPB4:EPB400)</f>
        <v>0</v>
      </c>
      <c r="EPC2" s="8">
        <f>COUNT(EPD4:EPD400)</f>
        <v>0</v>
      </c>
      <c r="EPE2" s="8">
        <f>COUNT(EPF4:EPF400)</f>
        <v>0</v>
      </c>
      <c r="EPG2" s="8">
        <f>COUNT(EPH4:EPH400)</f>
        <v>0</v>
      </c>
      <c r="EPI2" s="8">
        <f>COUNT(EPJ4:EPJ400)</f>
        <v>0</v>
      </c>
      <c r="EPK2" s="8">
        <f>COUNT(EPL4:EPL400)</f>
        <v>0</v>
      </c>
      <c r="EPM2" s="8">
        <f>COUNT(EPN4:EPN400)</f>
        <v>0</v>
      </c>
      <c r="EPO2" s="8">
        <f>COUNT(EPP4:EPP400)</f>
        <v>0</v>
      </c>
      <c r="EPQ2" s="8">
        <f>COUNT(EPR4:EPR400)</f>
        <v>0</v>
      </c>
      <c r="EPS2" s="8">
        <f>COUNT(EPT4:EPT400)</f>
        <v>0</v>
      </c>
      <c r="EPU2" s="8">
        <f>COUNT(EPV4:EPV400)</f>
        <v>0</v>
      </c>
      <c r="EPW2" s="8">
        <f>COUNT(EPX4:EPX400)</f>
        <v>0</v>
      </c>
      <c r="EPY2" s="8">
        <f>COUNT(EPZ4:EPZ400)</f>
        <v>0</v>
      </c>
      <c r="EQA2" s="8">
        <f>COUNT(EQB4:EQB400)</f>
        <v>0</v>
      </c>
      <c r="EQC2" s="8">
        <f>COUNT(EQD4:EQD400)</f>
        <v>0</v>
      </c>
      <c r="EQE2" s="8">
        <f>COUNT(EQF4:EQF400)</f>
        <v>0</v>
      </c>
      <c r="EQG2" s="8">
        <f>COUNT(EQH4:EQH400)</f>
        <v>0</v>
      </c>
      <c r="EQI2" s="8">
        <f>COUNT(EQJ4:EQJ400)</f>
        <v>0</v>
      </c>
      <c r="EQK2" s="8">
        <f>COUNT(EQL4:EQL400)</f>
        <v>0</v>
      </c>
      <c r="EQM2" s="8">
        <f>COUNT(EQN4:EQN400)</f>
        <v>0</v>
      </c>
      <c r="EQO2" s="8">
        <f>COUNT(EQP4:EQP400)</f>
        <v>0</v>
      </c>
      <c r="EQQ2" s="8">
        <f>COUNT(EQR4:EQR400)</f>
        <v>0</v>
      </c>
      <c r="EQS2" s="8">
        <f>COUNT(EQT4:EQT400)</f>
        <v>0</v>
      </c>
      <c r="EQU2" s="8">
        <f>COUNT(EQV4:EQV400)</f>
        <v>0</v>
      </c>
      <c r="EQW2" s="8">
        <f>COUNT(EQX4:EQX400)</f>
        <v>0</v>
      </c>
      <c r="EQY2" s="8">
        <f>COUNT(EQZ4:EQZ400)</f>
        <v>0</v>
      </c>
      <c r="ERA2" s="8">
        <f>COUNT(ERB4:ERB400)</f>
        <v>0</v>
      </c>
      <c r="ERC2" s="8">
        <f>COUNT(ERD4:ERD400)</f>
        <v>0</v>
      </c>
      <c r="ERE2" s="8">
        <f>COUNT(ERF4:ERF400)</f>
        <v>0</v>
      </c>
      <c r="ERG2" s="8">
        <f>COUNT(ERH4:ERH400)</f>
        <v>0</v>
      </c>
      <c r="ERI2" s="8">
        <f>COUNT(ERJ4:ERJ400)</f>
        <v>0</v>
      </c>
      <c r="ERK2" s="8">
        <f>COUNT(ERL4:ERL400)</f>
        <v>0</v>
      </c>
      <c r="ERM2" s="8">
        <f>COUNT(ERN4:ERN400)</f>
        <v>0</v>
      </c>
      <c r="ERO2" s="8">
        <f>COUNT(ERP4:ERP400)</f>
        <v>0</v>
      </c>
      <c r="ERQ2" s="8">
        <f>COUNT(ERR4:ERR400)</f>
        <v>0</v>
      </c>
      <c r="ERS2" s="8">
        <f>COUNT(ERT4:ERT400)</f>
        <v>0</v>
      </c>
      <c r="ERU2" s="8">
        <f>COUNT(ERV4:ERV400)</f>
        <v>0</v>
      </c>
      <c r="ERW2" s="8">
        <f>COUNT(ERX4:ERX400)</f>
        <v>0</v>
      </c>
      <c r="ERY2" s="8">
        <f>COUNT(ERZ4:ERZ400)</f>
        <v>0</v>
      </c>
      <c r="ESA2" s="8">
        <f>COUNT(ESB4:ESB400)</f>
        <v>0</v>
      </c>
      <c r="ESC2" s="8">
        <f>COUNT(ESD4:ESD400)</f>
        <v>0</v>
      </c>
      <c r="ESE2" s="8">
        <f>COUNT(ESF4:ESF400)</f>
        <v>0</v>
      </c>
      <c r="ESG2" s="8">
        <f>COUNT(ESH4:ESH400)</f>
        <v>0</v>
      </c>
      <c r="ESI2" s="8">
        <f>COUNT(ESJ4:ESJ400)</f>
        <v>0</v>
      </c>
      <c r="ESK2" s="8">
        <f>COUNT(ESL4:ESL400)</f>
        <v>0</v>
      </c>
      <c r="ESM2" s="8">
        <f>COUNT(ESN4:ESN400)</f>
        <v>0</v>
      </c>
      <c r="ESO2" s="8">
        <f>COUNT(ESP4:ESP400)</f>
        <v>0</v>
      </c>
      <c r="ESQ2" s="8">
        <f>COUNT(ESR4:ESR400)</f>
        <v>0</v>
      </c>
      <c r="ESS2" s="8">
        <f>COUNT(EST4:EST400)</f>
        <v>0</v>
      </c>
      <c r="ESU2" s="8">
        <f>COUNT(ESV4:ESV400)</f>
        <v>0</v>
      </c>
      <c r="ESW2" s="8">
        <f>COUNT(ESX4:ESX400)</f>
        <v>0</v>
      </c>
      <c r="ESY2" s="8">
        <f>COUNT(ESZ4:ESZ400)</f>
        <v>0</v>
      </c>
      <c r="ETA2" s="8">
        <f>COUNT(ETB4:ETB400)</f>
        <v>0</v>
      </c>
      <c r="ETC2" s="8">
        <f>COUNT(ETD4:ETD400)</f>
        <v>0</v>
      </c>
      <c r="ETE2" s="8">
        <f>COUNT(ETF4:ETF400)</f>
        <v>0</v>
      </c>
      <c r="ETG2" s="8">
        <f>COUNT(ETH4:ETH400)</f>
        <v>0</v>
      </c>
      <c r="ETI2" s="8">
        <f>COUNT(ETJ4:ETJ400)</f>
        <v>0</v>
      </c>
      <c r="ETK2" s="8">
        <f>COUNT(ETL4:ETL400)</f>
        <v>0</v>
      </c>
      <c r="ETM2" s="8">
        <f>COUNT(ETN4:ETN400)</f>
        <v>0</v>
      </c>
      <c r="ETO2" s="8">
        <f>COUNT(ETP4:ETP400)</f>
        <v>0</v>
      </c>
      <c r="ETQ2" s="8">
        <f>COUNT(ETR4:ETR400)</f>
        <v>0</v>
      </c>
      <c r="ETS2" s="8">
        <f>COUNT(ETT4:ETT400)</f>
        <v>0</v>
      </c>
      <c r="ETU2" s="8">
        <f>COUNT(ETV4:ETV400)</f>
        <v>0</v>
      </c>
      <c r="ETW2" s="8">
        <f>COUNT(ETX4:ETX400)</f>
        <v>0</v>
      </c>
      <c r="ETY2" s="8">
        <f>COUNT(ETZ4:ETZ400)</f>
        <v>0</v>
      </c>
      <c r="EUA2" s="8">
        <f>COUNT(EUB4:EUB400)</f>
        <v>0</v>
      </c>
      <c r="EUC2" s="8">
        <f>COUNT(EUD4:EUD400)</f>
        <v>0</v>
      </c>
      <c r="EUE2" s="8">
        <f>COUNT(EUF4:EUF400)</f>
        <v>0</v>
      </c>
      <c r="EUG2" s="8">
        <f>COUNT(EUH4:EUH400)</f>
        <v>0</v>
      </c>
      <c r="EUI2" s="8">
        <f>COUNT(EUJ4:EUJ400)</f>
        <v>0</v>
      </c>
      <c r="EUK2" s="8">
        <f>COUNT(EUL4:EUL400)</f>
        <v>0</v>
      </c>
      <c r="EUM2" s="8">
        <f>COUNT(EUN4:EUN400)</f>
        <v>0</v>
      </c>
      <c r="EUO2" s="8">
        <f>COUNT(EUP4:EUP400)</f>
        <v>0</v>
      </c>
      <c r="EUQ2" s="8">
        <f>COUNT(EUR4:EUR400)</f>
        <v>0</v>
      </c>
      <c r="EUS2" s="8">
        <f>COUNT(EUT4:EUT400)</f>
        <v>0</v>
      </c>
      <c r="EUU2" s="8">
        <f>COUNT(EUV4:EUV400)</f>
        <v>0</v>
      </c>
      <c r="EUW2" s="8">
        <f>COUNT(EUX4:EUX400)</f>
        <v>0</v>
      </c>
      <c r="EUY2" s="8">
        <f>COUNT(EUZ4:EUZ400)</f>
        <v>0</v>
      </c>
      <c r="EVA2" s="8">
        <f>COUNT(EVB4:EVB400)</f>
        <v>0</v>
      </c>
      <c r="EVC2" s="8">
        <f>COUNT(EVD4:EVD400)</f>
        <v>0</v>
      </c>
      <c r="EVE2" s="8">
        <f>COUNT(EVF4:EVF400)</f>
        <v>0</v>
      </c>
      <c r="EVG2" s="8">
        <f>COUNT(EVH4:EVH400)</f>
        <v>0</v>
      </c>
      <c r="EVI2" s="8">
        <f>COUNT(EVJ4:EVJ400)</f>
        <v>0</v>
      </c>
      <c r="EVK2" s="8">
        <f>COUNT(EVL4:EVL400)</f>
        <v>0</v>
      </c>
      <c r="EVM2" s="8">
        <f>COUNT(EVN4:EVN400)</f>
        <v>0</v>
      </c>
      <c r="EVO2" s="8">
        <f>COUNT(EVP4:EVP400)</f>
        <v>0</v>
      </c>
      <c r="EVQ2" s="8">
        <f>COUNT(EVR4:EVR400)</f>
        <v>0</v>
      </c>
      <c r="EVS2" s="8">
        <f>COUNT(EVT4:EVT400)</f>
        <v>0</v>
      </c>
      <c r="EVU2" s="8">
        <f>COUNT(EVV4:EVV400)</f>
        <v>0</v>
      </c>
      <c r="EVW2" s="8">
        <f>COUNT(EVX4:EVX400)</f>
        <v>0</v>
      </c>
      <c r="EVY2" s="8">
        <f>COUNT(EVZ4:EVZ400)</f>
        <v>0</v>
      </c>
      <c r="EWA2" s="8">
        <f>COUNT(EWB4:EWB400)</f>
        <v>0</v>
      </c>
      <c r="EWC2" s="8">
        <f>COUNT(EWD4:EWD400)</f>
        <v>0</v>
      </c>
      <c r="EWE2" s="8">
        <f>COUNT(EWF4:EWF400)</f>
        <v>0</v>
      </c>
      <c r="EWG2" s="8">
        <f>COUNT(EWH4:EWH400)</f>
        <v>0</v>
      </c>
      <c r="EWI2" s="8">
        <f>COUNT(EWJ4:EWJ400)</f>
        <v>0</v>
      </c>
      <c r="EWK2" s="8">
        <f>COUNT(EWL4:EWL400)</f>
        <v>0</v>
      </c>
      <c r="EWM2" s="8">
        <f>COUNT(EWN4:EWN400)</f>
        <v>0</v>
      </c>
      <c r="EWO2" s="8">
        <f>COUNT(EWP4:EWP400)</f>
        <v>0</v>
      </c>
      <c r="EWQ2" s="8">
        <f>COUNT(EWR4:EWR400)</f>
        <v>0</v>
      </c>
      <c r="EWS2" s="8">
        <f>COUNT(EWT4:EWT400)</f>
        <v>0</v>
      </c>
      <c r="EWU2" s="8">
        <f>COUNT(EWV4:EWV400)</f>
        <v>0</v>
      </c>
    </row>
    <row r="3" spans="1:4000">
      <c r="A3" s="10" t="s">
        <v>67</v>
      </c>
      <c r="B3" s="10" t="s">
        <v>69</v>
      </c>
      <c r="C3" s="10" t="s">
        <v>67</v>
      </c>
      <c r="D3" s="10" t="s">
        <v>69</v>
      </c>
      <c r="E3" s="10" t="s">
        <v>67</v>
      </c>
      <c r="F3" s="10" t="s">
        <v>69</v>
      </c>
      <c r="G3" s="10" t="s">
        <v>67</v>
      </c>
      <c r="H3" s="10" t="s">
        <v>69</v>
      </c>
      <c r="I3" s="10" t="s">
        <v>67</v>
      </c>
      <c r="J3" s="10" t="s">
        <v>69</v>
      </c>
      <c r="K3" s="10" t="s">
        <v>67</v>
      </c>
      <c r="L3" s="10" t="s">
        <v>69</v>
      </c>
      <c r="M3" s="10" t="s">
        <v>67</v>
      </c>
      <c r="N3" s="10" t="s">
        <v>69</v>
      </c>
      <c r="O3" s="10" t="s">
        <v>67</v>
      </c>
      <c r="P3" s="10" t="s">
        <v>69</v>
      </c>
      <c r="Q3" s="10" t="s">
        <v>67</v>
      </c>
      <c r="R3" s="10" t="s">
        <v>69</v>
      </c>
      <c r="S3" s="10" t="s">
        <v>67</v>
      </c>
      <c r="T3" s="10" t="s">
        <v>69</v>
      </c>
      <c r="U3" s="10" t="s">
        <v>67</v>
      </c>
      <c r="V3" s="10" t="s">
        <v>69</v>
      </c>
      <c r="W3" s="10" t="s">
        <v>67</v>
      </c>
      <c r="X3" s="10" t="s">
        <v>69</v>
      </c>
      <c r="Y3" s="10" t="s">
        <v>67</v>
      </c>
      <c r="Z3" s="10" t="s">
        <v>69</v>
      </c>
      <c r="AA3" s="10" t="s">
        <v>67</v>
      </c>
      <c r="AB3" s="10" t="s">
        <v>69</v>
      </c>
      <c r="AC3" s="10" t="s">
        <v>67</v>
      </c>
      <c r="AD3" s="10" t="s">
        <v>69</v>
      </c>
      <c r="AE3" s="10" t="s">
        <v>67</v>
      </c>
      <c r="AF3" s="10" t="s">
        <v>69</v>
      </c>
      <c r="AG3" s="10" t="s">
        <v>67</v>
      </c>
      <c r="AH3" s="10" t="s">
        <v>69</v>
      </c>
      <c r="AI3" s="10" t="s">
        <v>67</v>
      </c>
      <c r="AJ3" s="10" t="s">
        <v>69</v>
      </c>
      <c r="AK3" s="10" t="s">
        <v>67</v>
      </c>
      <c r="AL3" s="10" t="s">
        <v>69</v>
      </c>
      <c r="AM3" s="10" t="s">
        <v>67</v>
      </c>
      <c r="AN3" s="10" t="s">
        <v>69</v>
      </c>
      <c r="AO3" s="10" t="s">
        <v>67</v>
      </c>
      <c r="AP3" s="10" t="s">
        <v>69</v>
      </c>
      <c r="AQ3" s="10" t="s">
        <v>67</v>
      </c>
      <c r="AR3" s="10" t="s">
        <v>69</v>
      </c>
      <c r="AS3" s="10" t="s">
        <v>67</v>
      </c>
      <c r="AT3" s="10" t="s">
        <v>69</v>
      </c>
      <c r="AU3" s="10" t="s">
        <v>67</v>
      </c>
      <c r="AV3" s="10" t="s">
        <v>69</v>
      </c>
      <c r="AW3" s="10" t="s">
        <v>67</v>
      </c>
      <c r="AX3" s="10" t="s">
        <v>69</v>
      </c>
      <c r="AY3" s="10" t="s">
        <v>67</v>
      </c>
      <c r="AZ3" s="10" t="s">
        <v>69</v>
      </c>
      <c r="BA3" s="10" t="s">
        <v>67</v>
      </c>
      <c r="BB3" s="10" t="s">
        <v>69</v>
      </c>
      <c r="BC3" s="10" t="s">
        <v>67</v>
      </c>
      <c r="BD3" s="10" t="s">
        <v>69</v>
      </c>
      <c r="BE3" s="10" t="s">
        <v>67</v>
      </c>
      <c r="BF3" s="10" t="s">
        <v>69</v>
      </c>
      <c r="BG3" s="10" t="s">
        <v>67</v>
      </c>
      <c r="BH3" s="10" t="s">
        <v>69</v>
      </c>
      <c r="BI3" s="10" t="s">
        <v>67</v>
      </c>
      <c r="BJ3" s="10" t="s">
        <v>69</v>
      </c>
      <c r="BK3" s="10" t="s">
        <v>67</v>
      </c>
      <c r="BL3" s="10" t="s">
        <v>69</v>
      </c>
      <c r="BM3" s="10" t="s">
        <v>67</v>
      </c>
      <c r="BN3" s="10" t="s">
        <v>69</v>
      </c>
      <c r="BO3" s="10" t="s">
        <v>67</v>
      </c>
      <c r="BP3" s="10" t="s">
        <v>69</v>
      </c>
      <c r="BQ3" s="10" t="s">
        <v>67</v>
      </c>
      <c r="BR3" s="10" t="s">
        <v>69</v>
      </c>
      <c r="BS3" s="10" t="s">
        <v>67</v>
      </c>
      <c r="BT3" s="10" t="s">
        <v>69</v>
      </c>
      <c r="BU3" s="10" t="s">
        <v>67</v>
      </c>
      <c r="BV3" s="10" t="s">
        <v>69</v>
      </c>
      <c r="BW3" s="10" t="s">
        <v>67</v>
      </c>
      <c r="BX3" s="10" t="s">
        <v>69</v>
      </c>
      <c r="BY3" s="10" t="s">
        <v>67</v>
      </c>
      <c r="BZ3" s="10" t="s">
        <v>69</v>
      </c>
      <c r="CA3" s="10" t="s">
        <v>67</v>
      </c>
      <c r="CB3" s="10" t="s">
        <v>69</v>
      </c>
      <c r="CC3" s="10" t="s">
        <v>67</v>
      </c>
      <c r="CD3" s="10" t="s">
        <v>69</v>
      </c>
      <c r="CE3" s="10" t="s">
        <v>67</v>
      </c>
      <c r="CF3" s="10" t="s">
        <v>69</v>
      </c>
      <c r="CG3" s="10" t="s">
        <v>67</v>
      </c>
      <c r="CH3" s="10" t="s">
        <v>69</v>
      </c>
      <c r="CI3" s="10" t="s">
        <v>67</v>
      </c>
      <c r="CJ3" s="10" t="s">
        <v>69</v>
      </c>
      <c r="CK3" s="10" t="s">
        <v>67</v>
      </c>
      <c r="CL3" s="10" t="s">
        <v>69</v>
      </c>
      <c r="CM3" s="10" t="s">
        <v>67</v>
      </c>
      <c r="CN3" s="10" t="s">
        <v>69</v>
      </c>
      <c r="CO3" s="10" t="s">
        <v>67</v>
      </c>
      <c r="CP3" s="10" t="s">
        <v>69</v>
      </c>
      <c r="CQ3" s="10" t="s">
        <v>67</v>
      </c>
      <c r="CR3" s="10" t="s">
        <v>69</v>
      </c>
      <c r="CS3" s="10" t="s">
        <v>67</v>
      </c>
      <c r="CT3" s="10" t="s">
        <v>69</v>
      </c>
      <c r="CU3" s="10" t="s">
        <v>67</v>
      </c>
      <c r="CV3" s="10" t="s">
        <v>69</v>
      </c>
      <c r="CW3" s="10" t="s">
        <v>67</v>
      </c>
      <c r="CX3" s="10" t="s">
        <v>69</v>
      </c>
      <c r="CY3" s="10" t="s">
        <v>67</v>
      </c>
      <c r="CZ3" s="10" t="s">
        <v>69</v>
      </c>
      <c r="DA3" s="10" t="s">
        <v>67</v>
      </c>
      <c r="DB3" s="10" t="s">
        <v>69</v>
      </c>
      <c r="DC3" s="10" t="s">
        <v>67</v>
      </c>
      <c r="DD3" s="10" t="s">
        <v>69</v>
      </c>
      <c r="DE3" s="10" t="s">
        <v>67</v>
      </c>
      <c r="DF3" s="10" t="s">
        <v>69</v>
      </c>
      <c r="DG3" s="10" t="s">
        <v>67</v>
      </c>
      <c r="DH3" s="10" t="s">
        <v>69</v>
      </c>
      <c r="DI3" s="10" t="s">
        <v>67</v>
      </c>
      <c r="DJ3" s="10" t="s">
        <v>69</v>
      </c>
      <c r="DK3" s="10" t="s">
        <v>67</v>
      </c>
      <c r="DL3" s="10" t="s">
        <v>69</v>
      </c>
      <c r="DM3" s="10" t="s">
        <v>67</v>
      </c>
      <c r="DN3" s="10" t="s">
        <v>69</v>
      </c>
      <c r="DO3" s="10" t="s">
        <v>67</v>
      </c>
      <c r="DP3" s="10" t="s">
        <v>69</v>
      </c>
      <c r="DQ3" s="10" t="s">
        <v>67</v>
      </c>
      <c r="DR3" s="10" t="s">
        <v>69</v>
      </c>
      <c r="DS3" s="10" t="s">
        <v>67</v>
      </c>
      <c r="DT3" s="10" t="s">
        <v>69</v>
      </c>
      <c r="DU3" s="10" t="s">
        <v>67</v>
      </c>
      <c r="DV3" s="10" t="s">
        <v>69</v>
      </c>
      <c r="DW3" s="10" t="s">
        <v>67</v>
      </c>
      <c r="DX3" s="10" t="s">
        <v>69</v>
      </c>
      <c r="DY3" s="10" t="s">
        <v>67</v>
      </c>
      <c r="DZ3" s="10" t="s">
        <v>69</v>
      </c>
      <c r="EA3" s="10" t="s">
        <v>67</v>
      </c>
      <c r="EB3" s="10" t="s">
        <v>69</v>
      </c>
      <c r="EC3" s="10" t="s">
        <v>67</v>
      </c>
      <c r="ED3" s="10" t="s">
        <v>69</v>
      </c>
      <c r="EE3" s="10" t="s">
        <v>67</v>
      </c>
      <c r="EF3" s="10" t="s">
        <v>69</v>
      </c>
      <c r="EG3" s="10" t="s">
        <v>67</v>
      </c>
      <c r="EH3" s="10" t="s">
        <v>69</v>
      </c>
      <c r="EI3" s="10" t="s">
        <v>67</v>
      </c>
      <c r="EJ3" s="10" t="s">
        <v>69</v>
      </c>
      <c r="EK3" s="10" t="s">
        <v>67</v>
      </c>
      <c r="EL3" s="10" t="s">
        <v>69</v>
      </c>
      <c r="EM3" s="10" t="s">
        <v>67</v>
      </c>
      <c r="EN3" s="10" t="s">
        <v>69</v>
      </c>
      <c r="EO3" s="10" t="s">
        <v>67</v>
      </c>
      <c r="EP3" s="10" t="s">
        <v>69</v>
      </c>
      <c r="EQ3" s="10" t="s">
        <v>67</v>
      </c>
      <c r="ER3" s="10" t="s">
        <v>69</v>
      </c>
      <c r="ES3" s="10" t="s">
        <v>67</v>
      </c>
      <c r="ET3" s="10" t="s">
        <v>69</v>
      </c>
      <c r="EU3" s="10" t="s">
        <v>67</v>
      </c>
      <c r="EV3" s="10" t="s">
        <v>69</v>
      </c>
      <c r="EW3" s="10" t="s">
        <v>67</v>
      </c>
      <c r="EX3" s="10" t="s">
        <v>69</v>
      </c>
      <c r="EY3" s="10" t="s">
        <v>67</v>
      </c>
      <c r="EZ3" s="10" t="s">
        <v>69</v>
      </c>
      <c r="FA3" s="10" t="s">
        <v>67</v>
      </c>
      <c r="FB3" s="10" t="s">
        <v>69</v>
      </c>
      <c r="FC3" s="10" t="s">
        <v>67</v>
      </c>
      <c r="FD3" s="10" t="s">
        <v>69</v>
      </c>
      <c r="FE3" s="10" t="s">
        <v>67</v>
      </c>
      <c r="FF3" s="10" t="s">
        <v>69</v>
      </c>
      <c r="FG3" s="10" t="s">
        <v>67</v>
      </c>
      <c r="FH3" s="10" t="s">
        <v>69</v>
      </c>
      <c r="FI3" s="10" t="s">
        <v>67</v>
      </c>
      <c r="FJ3" s="10" t="s">
        <v>69</v>
      </c>
      <c r="FK3" s="10" t="s">
        <v>67</v>
      </c>
      <c r="FL3" s="10" t="s">
        <v>69</v>
      </c>
      <c r="FM3" s="10" t="s">
        <v>67</v>
      </c>
      <c r="FN3" s="10" t="s">
        <v>69</v>
      </c>
      <c r="FO3" s="10" t="s">
        <v>67</v>
      </c>
      <c r="FP3" s="10" t="s">
        <v>69</v>
      </c>
      <c r="FQ3" s="10" t="s">
        <v>67</v>
      </c>
      <c r="FR3" s="10" t="s">
        <v>69</v>
      </c>
      <c r="FS3" s="10" t="s">
        <v>67</v>
      </c>
      <c r="FT3" s="10" t="s">
        <v>69</v>
      </c>
      <c r="FU3" s="10" t="s">
        <v>67</v>
      </c>
      <c r="FV3" s="10" t="s">
        <v>69</v>
      </c>
      <c r="FW3" s="10" t="s">
        <v>67</v>
      </c>
      <c r="FX3" s="10" t="s">
        <v>69</v>
      </c>
      <c r="FY3" s="10" t="s">
        <v>67</v>
      </c>
      <c r="FZ3" s="10" t="s">
        <v>69</v>
      </c>
      <c r="GA3" s="10" t="s">
        <v>67</v>
      </c>
      <c r="GB3" s="10" t="s">
        <v>69</v>
      </c>
      <c r="GC3" s="10" t="s">
        <v>67</v>
      </c>
      <c r="GD3" s="10" t="s">
        <v>69</v>
      </c>
      <c r="GE3" s="10" t="s">
        <v>67</v>
      </c>
      <c r="GF3" s="10" t="s">
        <v>69</v>
      </c>
      <c r="GG3" s="10" t="s">
        <v>67</v>
      </c>
      <c r="GH3" s="10" t="s">
        <v>69</v>
      </c>
      <c r="GI3" s="10" t="s">
        <v>67</v>
      </c>
      <c r="GJ3" s="10" t="s">
        <v>69</v>
      </c>
      <c r="GK3" s="10" t="s">
        <v>67</v>
      </c>
      <c r="GL3" s="10" t="s">
        <v>69</v>
      </c>
      <c r="GM3" s="10" t="s">
        <v>67</v>
      </c>
      <c r="GN3" s="10" t="s">
        <v>69</v>
      </c>
      <c r="GO3" s="10" t="s">
        <v>67</v>
      </c>
      <c r="GP3" s="10" t="s">
        <v>69</v>
      </c>
      <c r="GQ3" s="10" t="s">
        <v>67</v>
      </c>
      <c r="GR3" s="10" t="s">
        <v>69</v>
      </c>
      <c r="GS3" s="10" t="s">
        <v>67</v>
      </c>
      <c r="GT3" s="10" t="s">
        <v>69</v>
      </c>
      <c r="GU3" s="10" t="s">
        <v>67</v>
      </c>
      <c r="GV3" s="10" t="s">
        <v>69</v>
      </c>
      <c r="GW3" s="10" t="s">
        <v>67</v>
      </c>
      <c r="GX3" s="10" t="s">
        <v>69</v>
      </c>
      <c r="GY3" s="10" t="s">
        <v>67</v>
      </c>
      <c r="GZ3" s="10" t="s">
        <v>69</v>
      </c>
      <c r="HA3" s="10" t="s">
        <v>67</v>
      </c>
      <c r="HB3" s="10" t="s">
        <v>69</v>
      </c>
      <c r="HC3" s="10" t="s">
        <v>67</v>
      </c>
      <c r="HD3" s="10" t="s">
        <v>69</v>
      </c>
      <c r="HE3" s="10" t="s">
        <v>67</v>
      </c>
      <c r="HF3" s="10" t="s">
        <v>69</v>
      </c>
      <c r="HG3" s="10" t="s">
        <v>67</v>
      </c>
      <c r="HH3" s="10" t="s">
        <v>69</v>
      </c>
      <c r="HI3" s="10" t="s">
        <v>67</v>
      </c>
      <c r="HJ3" s="10" t="s">
        <v>69</v>
      </c>
      <c r="HK3" s="10" t="s">
        <v>67</v>
      </c>
      <c r="HL3" s="10" t="s">
        <v>69</v>
      </c>
      <c r="HM3" s="10" t="s">
        <v>67</v>
      </c>
      <c r="HN3" s="10" t="s">
        <v>69</v>
      </c>
      <c r="HO3" s="10" t="s">
        <v>67</v>
      </c>
      <c r="HP3" s="10" t="s">
        <v>69</v>
      </c>
      <c r="HQ3" s="10" t="s">
        <v>67</v>
      </c>
      <c r="HR3" s="10" t="s">
        <v>69</v>
      </c>
      <c r="HS3" s="10" t="s">
        <v>67</v>
      </c>
      <c r="HT3" s="10" t="s">
        <v>69</v>
      </c>
      <c r="HU3" s="10" t="s">
        <v>67</v>
      </c>
      <c r="HV3" s="10" t="s">
        <v>69</v>
      </c>
      <c r="HW3" s="10" t="s">
        <v>67</v>
      </c>
      <c r="HX3" s="10" t="s">
        <v>69</v>
      </c>
      <c r="HY3" s="10" t="s">
        <v>67</v>
      </c>
      <c r="HZ3" s="10" t="s">
        <v>69</v>
      </c>
      <c r="IA3" s="10" t="s">
        <v>67</v>
      </c>
      <c r="IB3" s="10" t="s">
        <v>69</v>
      </c>
      <c r="IC3" s="10" t="s">
        <v>67</v>
      </c>
      <c r="ID3" s="10" t="s">
        <v>69</v>
      </c>
      <c r="IE3" s="10" t="s">
        <v>67</v>
      </c>
      <c r="IF3" s="10" t="s">
        <v>69</v>
      </c>
      <c r="IG3" s="10" t="s">
        <v>67</v>
      </c>
      <c r="IH3" s="10" t="s">
        <v>69</v>
      </c>
      <c r="II3" s="10" t="s">
        <v>67</v>
      </c>
      <c r="IJ3" s="10" t="s">
        <v>69</v>
      </c>
      <c r="IK3" s="10" t="s">
        <v>67</v>
      </c>
      <c r="IL3" s="10" t="s">
        <v>69</v>
      </c>
      <c r="IM3" s="10" t="s">
        <v>67</v>
      </c>
      <c r="IN3" s="10" t="s">
        <v>69</v>
      </c>
      <c r="IO3" s="10" t="s">
        <v>67</v>
      </c>
      <c r="IP3" s="10" t="s">
        <v>69</v>
      </c>
      <c r="IQ3" s="10" t="s">
        <v>67</v>
      </c>
      <c r="IR3" s="10" t="s">
        <v>69</v>
      </c>
      <c r="IS3" s="10" t="s">
        <v>67</v>
      </c>
      <c r="IT3" s="10" t="s">
        <v>69</v>
      </c>
      <c r="IU3" s="10" t="s">
        <v>67</v>
      </c>
      <c r="IV3" s="10" t="s">
        <v>69</v>
      </c>
      <c r="IW3" s="10" t="s">
        <v>67</v>
      </c>
      <c r="IX3" s="10" t="s">
        <v>69</v>
      </c>
      <c r="IY3" s="10" t="s">
        <v>67</v>
      </c>
      <c r="IZ3" s="10" t="s">
        <v>69</v>
      </c>
      <c r="JA3" s="10" t="s">
        <v>67</v>
      </c>
      <c r="JB3" s="10" t="s">
        <v>69</v>
      </c>
      <c r="JC3" s="10" t="s">
        <v>67</v>
      </c>
      <c r="JD3" s="10" t="s">
        <v>69</v>
      </c>
      <c r="JE3" s="10" t="s">
        <v>67</v>
      </c>
      <c r="JF3" s="10" t="s">
        <v>69</v>
      </c>
      <c r="JG3" s="10" t="s">
        <v>67</v>
      </c>
      <c r="JH3" s="10" t="s">
        <v>69</v>
      </c>
      <c r="JI3" s="10" t="s">
        <v>67</v>
      </c>
      <c r="JJ3" s="10" t="s">
        <v>69</v>
      </c>
      <c r="JK3" s="10" t="s">
        <v>67</v>
      </c>
      <c r="JL3" s="10" t="s">
        <v>69</v>
      </c>
      <c r="JM3" s="10" t="s">
        <v>67</v>
      </c>
      <c r="JN3" s="10" t="s">
        <v>69</v>
      </c>
      <c r="JO3" s="10" t="s">
        <v>67</v>
      </c>
      <c r="JP3" s="10" t="s">
        <v>69</v>
      </c>
      <c r="JQ3" s="10" t="s">
        <v>67</v>
      </c>
      <c r="JR3" s="10" t="s">
        <v>69</v>
      </c>
      <c r="JS3" s="10" t="s">
        <v>67</v>
      </c>
      <c r="JT3" s="10" t="s">
        <v>69</v>
      </c>
      <c r="JU3" s="10" t="s">
        <v>67</v>
      </c>
      <c r="JV3" s="10" t="s">
        <v>69</v>
      </c>
      <c r="JW3" s="10" t="s">
        <v>67</v>
      </c>
      <c r="JX3" s="10" t="s">
        <v>69</v>
      </c>
      <c r="JY3" s="10" t="s">
        <v>67</v>
      </c>
      <c r="JZ3" s="10" t="s">
        <v>69</v>
      </c>
      <c r="KA3" s="10" t="s">
        <v>67</v>
      </c>
      <c r="KB3" s="10" t="s">
        <v>69</v>
      </c>
      <c r="KC3" s="10" t="s">
        <v>67</v>
      </c>
      <c r="KD3" s="10" t="s">
        <v>69</v>
      </c>
      <c r="KE3" s="10" t="s">
        <v>67</v>
      </c>
      <c r="KF3" s="10" t="s">
        <v>69</v>
      </c>
      <c r="KG3" s="10" t="s">
        <v>67</v>
      </c>
      <c r="KH3" s="10" t="s">
        <v>69</v>
      </c>
      <c r="KI3" s="10" t="s">
        <v>67</v>
      </c>
      <c r="KJ3" s="10" t="s">
        <v>69</v>
      </c>
      <c r="KK3" s="10" t="s">
        <v>67</v>
      </c>
      <c r="KL3" s="10" t="s">
        <v>69</v>
      </c>
      <c r="KM3" s="10" t="s">
        <v>67</v>
      </c>
      <c r="KN3" s="10" t="s">
        <v>69</v>
      </c>
      <c r="KO3" s="10" t="s">
        <v>67</v>
      </c>
      <c r="KP3" s="10" t="s">
        <v>69</v>
      </c>
      <c r="KQ3" s="10" t="s">
        <v>67</v>
      </c>
      <c r="KR3" s="10" t="s">
        <v>69</v>
      </c>
      <c r="KS3" s="10" t="s">
        <v>67</v>
      </c>
      <c r="KT3" s="10" t="s">
        <v>69</v>
      </c>
      <c r="KU3" s="10" t="s">
        <v>67</v>
      </c>
      <c r="KV3" s="10" t="s">
        <v>69</v>
      </c>
      <c r="KW3" s="10" t="s">
        <v>67</v>
      </c>
      <c r="KX3" s="10" t="s">
        <v>69</v>
      </c>
      <c r="KY3" s="10" t="s">
        <v>67</v>
      </c>
      <c r="KZ3" s="10" t="s">
        <v>69</v>
      </c>
      <c r="LA3" s="10" t="s">
        <v>67</v>
      </c>
      <c r="LB3" s="10" t="s">
        <v>69</v>
      </c>
      <c r="LC3" s="10" t="s">
        <v>67</v>
      </c>
      <c r="LD3" s="10" t="s">
        <v>69</v>
      </c>
      <c r="LE3" s="10" t="s">
        <v>67</v>
      </c>
      <c r="LF3" s="10" t="s">
        <v>69</v>
      </c>
      <c r="LG3" s="10" t="s">
        <v>67</v>
      </c>
      <c r="LH3" s="10" t="s">
        <v>69</v>
      </c>
      <c r="LI3" s="10" t="s">
        <v>67</v>
      </c>
      <c r="LJ3" s="10" t="s">
        <v>69</v>
      </c>
      <c r="LK3" s="10" t="s">
        <v>67</v>
      </c>
      <c r="LL3" s="10" t="s">
        <v>69</v>
      </c>
      <c r="LM3" s="10" t="s">
        <v>67</v>
      </c>
      <c r="LN3" s="10" t="s">
        <v>69</v>
      </c>
      <c r="LO3" s="10" t="s">
        <v>67</v>
      </c>
      <c r="LP3" s="10" t="s">
        <v>69</v>
      </c>
      <c r="LQ3" s="10" t="s">
        <v>67</v>
      </c>
      <c r="LR3" s="10" t="s">
        <v>69</v>
      </c>
      <c r="LS3" s="10" t="s">
        <v>67</v>
      </c>
      <c r="LT3" s="10" t="s">
        <v>69</v>
      </c>
      <c r="LU3" s="10" t="s">
        <v>67</v>
      </c>
      <c r="LV3" s="10" t="s">
        <v>69</v>
      </c>
      <c r="LW3" s="10" t="s">
        <v>67</v>
      </c>
      <c r="LX3" s="10" t="s">
        <v>69</v>
      </c>
      <c r="LY3" s="10" t="s">
        <v>67</v>
      </c>
      <c r="LZ3" s="10" t="s">
        <v>69</v>
      </c>
      <c r="MA3" s="10" t="s">
        <v>67</v>
      </c>
      <c r="MB3" s="10" t="s">
        <v>69</v>
      </c>
      <c r="MC3" s="10" t="s">
        <v>67</v>
      </c>
      <c r="MD3" s="10" t="s">
        <v>69</v>
      </c>
      <c r="ME3" s="10" t="s">
        <v>67</v>
      </c>
      <c r="MF3" s="10" t="s">
        <v>69</v>
      </c>
      <c r="MG3" s="10" t="s">
        <v>67</v>
      </c>
      <c r="MH3" s="10" t="s">
        <v>69</v>
      </c>
      <c r="MI3" s="10" t="s">
        <v>67</v>
      </c>
      <c r="MJ3" s="10" t="s">
        <v>69</v>
      </c>
      <c r="MK3" s="10" t="s">
        <v>67</v>
      </c>
      <c r="ML3" s="10" t="s">
        <v>69</v>
      </c>
      <c r="MM3" s="10" t="s">
        <v>67</v>
      </c>
      <c r="MN3" s="10" t="s">
        <v>69</v>
      </c>
      <c r="MO3" s="10" t="s">
        <v>67</v>
      </c>
      <c r="MP3" s="10" t="s">
        <v>69</v>
      </c>
      <c r="MQ3" s="10" t="s">
        <v>67</v>
      </c>
      <c r="MR3" s="10" t="s">
        <v>69</v>
      </c>
      <c r="MS3" s="10" t="s">
        <v>67</v>
      </c>
      <c r="MT3" s="10" t="s">
        <v>69</v>
      </c>
      <c r="MU3" s="10" t="s">
        <v>67</v>
      </c>
      <c r="MV3" s="10" t="s">
        <v>69</v>
      </c>
      <c r="MW3" s="10" t="s">
        <v>67</v>
      </c>
      <c r="MX3" s="10" t="s">
        <v>69</v>
      </c>
      <c r="MY3" s="10" t="s">
        <v>67</v>
      </c>
      <c r="MZ3" s="10" t="s">
        <v>69</v>
      </c>
      <c r="NA3" s="10" t="s">
        <v>67</v>
      </c>
      <c r="NB3" s="10" t="s">
        <v>69</v>
      </c>
      <c r="NC3" s="10" t="s">
        <v>67</v>
      </c>
      <c r="ND3" s="10" t="s">
        <v>69</v>
      </c>
      <c r="NE3" s="10" t="s">
        <v>67</v>
      </c>
      <c r="NF3" s="10" t="s">
        <v>69</v>
      </c>
      <c r="NG3" s="10" t="s">
        <v>67</v>
      </c>
      <c r="NH3" s="10" t="s">
        <v>69</v>
      </c>
      <c r="NI3" s="10" t="s">
        <v>67</v>
      </c>
      <c r="NJ3" s="10" t="s">
        <v>69</v>
      </c>
      <c r="NK3" s="10" t="s">
        <v>67</v>
      </c>
      <c r="NL3" s="10" t="s">
        <v>69</v>
      </c>
      <c r="NM3" s="10" t="s">
        <v>67</v>
      </c>
      <c r="NN3" s="10" t="s">
        <v>69</v>
      </c>
      <c r="NO3" s="10" t="s">
        <v>67</v>
      </c>
      <c r="NP3" s="10" t="s">
        <v>69</v>
      </c>
      <c r="NQ3" s="10" t="s">
        <v>67</v>
      </c>
      <c r="NR3" s="10" t="s">
        <v>69</v>
      </c>
      <c r="NS3" s="10" t="s">
        <v>67</v>
      </c>
      <c r="NT3" s="10" t="s">
        <v>69</v>
      </c>
      <c r="NU3" s="10" t="s">
        <v>67</v>
      </c>
      <c r="NV3" s="10" t="s">
        <v>69</v>
      </c>
      <c r="NW3" s="10" t="s">
        <v>67</v>
      </c>
      <c r="NX3" s="10" t="s">
        <v>69</v>
      </c>
      <c r="NY3" s="10" t="s">
        <v>67</v>
      </c>
      <c r="NZ3" s="10" t="s">
        <v>69</v>
      </c>
      <c r="OA3" s="10" t="s">
        <v>67</v>
      </c>
      <c r="OB3" s="10" t="s">
        <v>69</v>
      </c>
      <c r="OC3" s="10" t="s">
        <v>67</v>
      </c>
      <c r="OD3" s="10" t="s">
        <v>69</v>
      </c>
      <c r="OE3" s="10" t="s">
        <v>67</v>
      </c>
      <c r="OF3" s="10" t="s">
        <v>69</v>
      </c>
      <c r="OG3" s="10" t="s">
        <v>67</v>
      </c>
      <c r="OH3" s="10" t="s">
        <v>69</v>
      </c>
      <c r="OI3" s="10" t="s">
        <v>67</v>
      </c>
      <c r="OJ3" s="10" t="s">
        <v>69</v>
      </c>
      <c r="OK3" s="10" t="s">
        <v>67</v>
      </c>
      <c r="OL3" s="10" t="s">
        <v>69</v>
      </c>
      <c r="OM3" s="10" t="s">
        <v>67</v>
      </c>
      <c r="ON3" s="10" t="s">
        <v>69</v>
      </c>
      <c r="OO3" s="10" t="s">
        <v>67</v>
      </c>
      <c r="OP3" s="10" t="s">
        <v>69</v>
      </c>
      <c r="OQ3" s="10" t="s">
        <v>67</v>
      </c>
      <c r="OR3" s="10" t="s">
        <v>69</v>
      </c>
      <c r="OS3" s="10" t="s">
        <v>67</v>
      </c>
      <c r="OT3" s="10" t="s">
        <v>69</v>
      </c>
      <c r="OU3" s="10" t="s">
        <v>67</v>
      </c>
      <c r="OV3" s="10" t="s">
        <v>69</v>
      </c>
      <c r="OW3" s="10" t="s">
        <v>67</v>
      </c>
      <c r="OX3" s="10" t="s">
        <v>69</v>
      </c>
      <c r="OY3" s="10" t="s">
        <v>67</v>
      </c>
      <c r="OZ3" s="10" t="s">
        <v>69</v>
      </c>
      <c r="PA3" s="10" t="s">
        <v>67</v>
      </c>
      <c r="PB3" s="10" t="s">
        <v>69</v>
      </c>
      <c r="PC3" s="10" t="s">
        <v>67</v>
      </c>
      <c r="PD3" s="10" t="s">
        <v>69</v>
      </c>
      <c r="PE3" s="10" t="s">
        <v>67</v>
      </c>
      <c r="PF3" s="10" t="s">
        <v>69</v>
      </c>
      <c r="PG3" s="10" t="s">
        <v>67</v>
      </c>
      <c r="PH3" s="10" t="s">
        <v>69</v>
      </c>
      <c r="PI3" s="10" t="s">
        <v>67</v>
      </c>
      <c r="PJ3" s="10" t="s">
        <v>69</v>
      </c>
      <c r="PK3" s="10" t="s">
        <v>67</v>
      </c>
      <c r="PL3" s="10" t="s">
        <v>69</v>
      </c>
      <c r="PM3" s="10" t="s">
        <v>67</v>
      </c>
      <c r="PN3" s="10" t="s">
        <v>69</v>
      </c>
      <c r="PO3" s="10" t="s">
        <v>67</v>
      </c>
      <c r="PP3" s="10" t="s">
        <v>69</v>
      </c>
      <c r="PQ3" s="10" t="s">
        <v>67</v>
      </c>
      <c r="PR3" s="10" t="s">
        <v>69</v>
      </c>
      <c r="PS3" s="10" t="s">
        <v>67</v>
      </c>
      <c r="PT3" s="10" t="s">
        <v>69</v>
      </c>
      <c r="PU3" s="10" t="s">
        <v>67</v>
      </c>
      <c r="PV3" s="10" t="s">
        <v>69</v>
      </c>
      <c r="PW3" s="10" t="s">
        <v>67</v>
      </c>
      <c r="PX3" s="10" t="s">
        <v>69</v>
      </c>
      <c r="PY3" s="10" t="s">
        <v>67</v>
      </c>
      <c r="PZ3" s="10" t="s">
        <v>69</v>
      </c>
      <c r="QA3" s="10" t="s">
        <v>67</v>
      </c>
      <c r="QB3" s="10" t="s">
        <v>69</v>
      </c>
      <c r="QC3" s="10" t="s">
        <v>67</v>
      </c>
      <c r="QD3" s="10" t="s">
        <v>69</v>
      </c>
      <c r="QE3" s="10" t="s">
        <v>67</v>
      </c>
      <c r="QF3" s="10" t="s">
        <v>69</v>
      </c>
      <c r="QG3" s="10" t="s">
        <v>67</v>
      </c>
      <c r="QH3" s="10" t="s">
        <v>69</v>
      </c>
      <c r="QI3" s="10" t="s">
        <v>67</v>
      </c>
      <c r="QJ3" s="10" t="s">
        <v>69</v>
      </c>
      <c r="QK3" s="10" t="s">
        <v>67</v>
      </c>
      <c r="QL3" s="10" t="s">
        <v>69</v>
      </c>
      <c r="QM3" s="10" t="s">
        <v>67</v>
      </c>
      <c r="QN3" s="10" t="s">
        <v>69</v>
      </c>
      <c r="QO3" s="10" t="s">
        <v>67</v>
      </c>
      <c r="QP3" s="10" t="s">
        <v>69</v>
      </c>
      <c r="QQ3" s="10" t="s">
        <v>67</v>
      </c>
      <c r="QR3" s="10" t="s">
        <v>69</v>
      </c>
      <c r="QS3" s="10" t="s">
        <v>67</v>
      </c>
      <c r="QT3" s="10" t="s">
        <v>69</v>
      </c>
      <c r="QU3" s="10" t="s">
        <v>67</v>
      </c>
      <c r="QV3" s="10" t="s">
        <v>69</v>
      </c>
      <c r="QW3" s="10" t="s">
        <v>67</v>
      </c>
      <c r="QX3" s="10" t="s">
        <v>69</v>
      </c>
      <c r="QY3" s="10" t="s">
        <v>67</v>
      </c>
      <c r="QZ3" s="10" t="s">
        <v>69</v>
      </c>
      <c r="RA3" s="10" t="s">
        <v>67</v>
      </c>
      <c r="RB3" s="10" t="s">
        <v>69</v>
      </c>
      <c r="RC3" s="10" t="s">
        <v>67</v>
      </c>
      <c r="RD3" s="10" t="s">
        <v>69</v>
      </c>
      <c r="RE3" s="10" t="s">
        <v>67</v>
      </c>
      <c r="RF3" s="10" t="s">
        <v>69</v>
      </c>
      <c r="RG3" s="10" t="s">
        <v>67</v>
      </c>
      <c r="RH3" s="10" t="s">
        <v>69</v>
      </c>
      <c r="RI3" s="10" t="s">
        <v>67</v>
      </c>
      <c r="RJ3" s="10" t="s">
        <v>69</v>
      </c>
      <c r="RK3" s="10" t="s">
        <v>67</v>
      </c>
      <c r="RL3" s="10" t="s">
        <v>69</v>
      </c>
      <c r="RM3" s="10" t="s">
        <v>67</v>
      </c>
      <c r="RN3" s="10" t="s">
        <v>69</v>
      </c>
      <c r="RO3" s="10" t="s">
        <v>67</v>
      </c>
      <c r="RP3" s="10" t="s">
        <v>69</v>
      </c>
      <c r="RQ3" s="10" t="s">
        <v>67</v>
      </c>
      <c r="RR3" s="10" t="s">
        <v>69</v>
      </c>
      <c r="RS3" s="10" t="s">
        <v>67</v>
      </c>
      <c r="RT3" s="10" t="s">
        <v>69</v>
      </c>
      <c r="RU3" s="10" t="s">
        <v>67</v>
      </c>
      <c r="RV3" s="10" t="s">
        <v>69</v>
      </c>
      <c r="RW3" s="10" t="s">
        <v>67</v>
      </c>
      <c r="RX3" s="10" t="s">
        <v>69</v>
      </c>
      <c r="RY3" s="10" t="s">
        <v>67</v>
      </c>
      <c r="RZ3" s="10" t="s">
        <v>69</v>
      </c>
      <c r="SA3" s="10" t="s">
        <v>67</v>
      </c>
      <c r="SB3" s="10" t="s">
        <v>69</v>
      </c>
      <c r="SC3" s="10" t="s">
        <v>67</v>
      </c>
      <c r="SD3" s="10" t="s">
        <v>69</v>
      </c>
      <c r="SE3" s="10" t="s">
        <v>67</v>
      </c>
      <c r="SF3" s="10" t="s">
        <v>69</v>
      </c>
      <c r="SG3" s="10" t="s">
        <v>67</v>
      </c>
      <c r="SH3" s="10" t="s">
        <v>69</v>
      </c>
      <c r="SI3" s="10" t="s">
        <v>67</v>
      </c>
      <c r="SJ3" s="10" t="s">
        <v>69</v>
      </c>
      <c r="SK3" s="10" t="s">
        <v>67</v>
      </c>
      <c r="SL3" s="10" t="s">
        <v>69</v>
      </c>
      <c r="SM3" s="10" t="s">
        <v>67</v>
      </c>
      <c r="SN3" s="10" t="s">
        <v>69</v>
      </c>
      <c r="SO3" s="10" t="s">
        <v>67</v>
      </c>
      <c r="SP3" s="10" t="s">
        <v>69</v>
      </c>
      <c r="SQ3" s="10" t="s">
        <v>67</v>
      </c>
      <c r="SR3" s="10" t="s">
        <v>69</v>
      </c>
      <c r="SS3" s="10" t="s">
        <v>67</v>
      </c>
      <c r="ST3" s="10" t="s">
        <v>69</v>
      </c>
      <c r="SU3" s="10" t="s">
        <v>67</v>
      </c>
      <c r="SV3" s="10" t="s">
        <v>69</v>
      </c>
      <c r="SW3" s="10" t="s">
        <v>67</v>
      </c>
      <c r="SX3" s="10" t="s">
        <v>69</v>
      </c>
      <c r="SY3" s="10" t="s">
        <v>67</v>
      </c>
      <c r="SZ3" s="10" t="s">
        <v>69</v>
      </c>
      <c r="TA3" s="10" t="s">
        <v>67</v>
      </c>
      <c r="TB3" s="10" t="s">
        <v>69</v>
      </c>
      <c r="TC3" s="10" t="s">
        <v>67</v>
      </c>
      <c r="TD3" s="10" t="s">
        <v>69</v>
      </c>
      <c r="TE3" s="10" t="s">
        <v>67</v>
      </c>
      <c r="TF3" s="10" t="s">
        <v>69</v>
      </c>
      <c r="TG3" s="10" t="s">
        <v>67</v>
      </c>
      <c r="TH3" s="10" t="s">
        <v>69</v>
      </c>
      <c r="TI3" s="10" t="s">
        <v>67</v>
      </c>
      <c r="TJ3" s="10" t="s">
        <v>69</v>
      </c>
      <c r="TK3" s="10" t="s">
        <v>67</v>
      </c>
      <c r="TL3" s="10" t="s">
        <v>69</v>
      </c>
      <c r="TM3" s="10" t="s">
        <v>67</v>
      </c>
      <c r="TN3" s="10" t="s">
        <v>69</v>
      </c>
      <c r="TO3" s="10" t="s">
        <v>67</v>
      </c>
      <c r="TP3" s="10" t="s">
        <v>69</v>
      </c>
      <c r="TQ3" s="10" t="s">
        <v>67</v>
      </c>
      <c r="TR3" s="10" t="s">
        <v>69</v>
      </c>
      <c r="TS3" s="10" t="s">
        <v>67</v>
      </c>
      <c r="TT3" s="10" t="s">
        <v>69</v>
      </c>
      <c r="TU3" s="10" t="s">
        <v>67</v>
      </c>
      <c r="TV3" s="10" t="s">
        <v>69</v>
      </c>
      <c r="TW3" s="10" t="s">
        <v>67</v>
      </c>
      <c r="TX3" s="10" t="s">
        <v>69</v>
      </c>
      <c r="TY3" s="10" t="s">
        <v>67</v>
      </c>
      <c r="TZ3" s="10" t="s">
        <v>69</v>
      </c>
      <c r="UA3" s="10" t="s">
        <v>67</v>
      </c>
      <c r="UB3" s="10" t="s">
        <v>69</v>
      </c>
      <c r="UC3" s="10" t="s">
        <v>67</v>
      </c>
      <c r="UD3" s="10" t="s">
        <v>69</v>
      </c>
      <c r="UE3" s="10" t="s">
        <v>67</v>
      </c>
      <c r="UF3" s="10" t="s">
        <v>69</v>
      </c>
      <c r="UG3" s="10" t="s">
        <v>67</v>
      </c>
      <c r="UH3" s="10" t="s">
        <v>69</v>
      </c>
      <c r="UI3" s="10" t="s">
        <v>67</v>
      </c>
      <c r="UJ3" s="10" t="s">
        <v>69</v>
      </c>
      <c r="UK3" s="10" t="s">
        <v>67</v>
      </c>
      <c r="UL3" s="10" t="s">
        <v>69</v>
      </c>
      <c r="UM3" s="10" t="s">
        <v>67</v>
      </c>
      <c r="UN3" s="10" t="s">
        <v>69</v>
      </c>
      <c r="UO3" s="10" t="s">
        <v>67</v>
      </c>
      <c r="UP3" s="10" t="s">
        <v>69</v>
      </c>
      <c r="UQ3" s="10" t="s">
        <v>67</v>
      </c>
      <c r="UR3" s="10" t="s">
        <v>69</v>
      </c>
      <c r="US3" s="10" t="s">
        <v>67</v>
      </c>
      <c r="UT3" s="10" t="s">
        <v>69</v>
      </c>
      <c r="UU3" s="10" t="s">
        <v>67</v>
      </c>
      <c r="UV3" s="10" t="s">
        <v>69</v>
      </c>
      <c r="UW3" s="10" t="s">
        <v>67</v>
      </c>
      <c r="UX3" s="10" t="s">
        <v>69</v>
      </c>
      <c r="UY3" s="10" t="s">
        <v>67</v>
      </c>
      <c r="UZ3" s="10" t="s">
        <v>69</v>
      </c>
      <c r="VA3" s="10" t="s">
        <v>67</v>
      </c>
      <c r="VB3" s="10" t="s">
        <v>69</v>
      </c>
      <c r="VC3" s="10" t="s">
        <v>67</v>
      </c>
      <c r="VD3" s="10" t="s">
        <v>69</v>
      </c>
      <c r="VE3" s="10" t="s">
        <v>67</v>
      </c>
      <c r="VF3" s="10" t="s">
        <v>69</v>
      </c>
      <c r="VG3" s="10" t="s">
        <v>67</v>
      </c>
      <c r="VH3" s="10" t="s">
        <v>69</v>
      </c>
      <c r="VI3" s="10" t="s">
        <v>67</v>
      </c>
      <c r="VJ3" s="10" t="s">
        <v>69</v>
      </c>
      <c r="VK3" s="10" t="s">
        <v>67</v>
      </c>
      <c r="VL3" s="10" t="s">
        <v>69</v>
      </c>
      <c r="VM3" s="10" t="s">
        <v>67</v>
      </c>
      <c r="VN3" s="10" t="s">
        <v>69</v>
      </c>
      <c r="VO3" s="10" t="s">
        <v>67</v>
      </c>
      <c r="VP3" s="10" t="s">
        <v>69</v>
      </c>
      <c r="VQ3" s="10" t="s">
        <v>67</v>
      </c>
      <c r="VR3" s="10" t="s">
        <v>69</v>
      </c>
      <c r="VS3" s="10" t="s">
        <v>67</v>
      </c>
      <c r="VT3" s="10" t="s">
        <v>69</v>
      </c>
      <c r="VU3" s="10" t="s">
        <v>67</v>
      </c>
      <c r="VV3" s="10" t="s">
        <v>69</v>
      </c>
      <c r="VW3" s="10" t="s">
        <v>67</v>
      </c>
      <c r="VX3" s="10" t="s">
        <v>69</v>
      </c>
      <c r="VY3" s="10" t="s">
        <v>67</v>
      </c>
      <c r="VZ3" s="10" t="s">
        <v>69</v>
      </c>
      <c r="WA3" s="10" t="s">
        <v>67</v>
      </c>
      <c r="WB3" s="10" t="s">
        <v>69</v>
      </c>
      <c r="WC3" s="10" t="s">
        <v>67</v>
      </c>
      <c r="WD3" s="10" t="s">
        <v>69</v>
      </c>
      <c r="WE3" s="10" t="s">
        <v>67</v>
      </c>
      <c r="WF3" s="10" t="s">
        <v>69</v>
      </c>
      <c r="WG3" s="10" t="s">
        <v>67</v>
      </c>
      <c r="WH3" s="10" t="s">
        <v>69</v>
      </c>
      <c r="WI3" s="10" t="s">
        <v>67</v>
      </c>
      <c r="WJ3" s="10" t="s">
        <v>69</v>
      </c>
      <c r="WK3" s="10" t="s">
        <v>67</v>
      </c>
      <c r="WL3" s="10" t="s">
        <v>69</v>
      </c>
      <c r="WM3" s="10" t="s">
        <v>67</v>
      </c>
      <c r="WN3" s="10" t="s">
        <v>69</v>
      </c>
      <c r="WO3" s="10" t="s">
        <v>67</v>
      </c>
      <c r="WP3" s="10" t="s">
        <v>69</v>
      </c>
      <c r="WQ3" s="10" t="s">
        <v>67</v>
      </c>
      <c r="WR3" s="10" t="s">
        <v>69</v>
      </c>
      <c r="WS3" s="10" t="s">
        <v>67</v>
      </c>
      <c r="WT3" s="10" t="s">
        <v>69</v>
      </c>
      <c r="WU3" s="10" t="s">
        <v>67</v>
      </c>
      <c r="WV3" s="10" t="s">
        <v>69</v>
      </c>
      <c r="WW3" s="10" t="s">
        <v>67</v>
      </c>
      <c r="WX3" s="10" t="s">
        <v>69</v>
      </c>
      <c r="WY3" s="10" t="s">
        <v>67</v>
      </c>
      <c r="WZ3" s="10" t="s">
        <v>69</v>
      </c>
      <c r="XA3" s="10" t="s">
        <v>67</v>
      </c>
      <c r="XB3" s="10" t="s">
        <v>69</v>
      </c>
      <c r="XC3" s="10" t="s">
        <v>67</v>
      </c>
      <c r="XD3" s="10" t="s">
        <v>69</v>
      </c>
      <c r="XE3" s="10" t="s">
        <v>67</v>
      </c>
      <c r="XF3" s="10" t="s">
        <v>69</v>
      </c>
      <c r="XG3" s="10" t="s">
        <v>67</v>
      </c>
      <c r="XH3" s="10" t="s">
        <v>69</v>
      </c>
      <c r="XI3" s="10" t="s">
        <v>67</v>
      </c>
      <c r="XJ3" s="10" t="s">
        <v>69</v>
      </c>
      <c r="XK3" s="10" t="s">
        <v>67</v>
      </c>
      <c r="XL3" s="10" t="s">
        <v>69</v>
      </c>
      <c r="XM3" s="10" t="s">
        <v>67</v>
      </c>
      <c r="XN3" s="10" t="s">
        <v>69</v>
      </c>
      <c r="XO3" s="10" t="s">
        <v>67</v>
      </c>
      <c r="XP3" s="10" t="s">
        <v>69</v>
      </c>
      <c r="XQ3" s="10" t="s">
        <v>67</v>
      </c>
      <c r="XR3" s="10" t="s">
        <v>69</v>
      </c>
      <c r="XS3" s="10" t="s">
        <v>67</v>
      </c>
      <c r="XT3" s="10" t="s">
        <v>69</v>
      </c>
      <c r="XU3" s="10" t="s">
        <v>67</v>
      </c>
      <c r="XV3" s="10" t="s">
        <v>69</v>
      </c>
      <c r="XW3" s="10" t="s">
        <v>67</v>
      </c>
      <c r="XX3" s="10" t="s">
        <v>69</v>
      </c>
      <c r="XY3" s="10" t="s">
        <v>67</v>
      </c>
      <c r="XZ3" s="10" t="s">
        <v>69</v>
      </c>
      <c r="YA3" s="10" t="s">
        <v>67</v>
      </c>
      <c r="YB3" s="10" t="s">
        <v>69</v>
      </c>
      <c r="YC3" s="10" t="s">
        <v>67</v>
      </c>
      <c r="YD3" s="10" t="s">
        <v>69</v>
      </c>
      <c r="YE3" s="10" t="s">
        <v>67</v>
      </c>
      <c r="YF3" s="10" t="s">
        <v>69</v>
      </c>
      <c r="YG3" s="10" t="s">
        <v>67</v>
      </c>
      <c r="YH3" s="10" t="s">
        <v>69</v>
      </c>
      <c r="YI3" s="10" t="s">
        <v>67</v>
      </c>
      <c r="YJ3" s="10" t="s">
        <v>69</v>
      </c>
      <c r="YK3" s="10" t="s">
        <v>67</v>
      </c>
      <c r="YL3" s="10" t="s">
        <v>69</v>
      </c>
      <c r="YM3" s="10" t="s">
        <v>67</v>
      </c>
      <c r="YN3" s="10" t="s">
        <v>69</v>
      </c>
      <c r="YO3" s="10" t="s">
        <v>67</v>
      </c>
      <c r="YP3" s="10" t="s">
        <v>69</v>
      </c>
      <c r="YQ3" s="10" t="s">
        <v>67</v>
      </c>
      <c r="YR3" s="10" t="s">
        <v>69</v>
      </c>
      <c r="YS3" s="10" t="s">
        <v>67</v>
      </c>
      <c r="YT3" s="10" t="s">
        <v>69</v>
      </c>
      <c r="YU3" s="10" t="s">
        <v>67</v>
      </c>
      <c r="YV3" s="10" t="s">
        <v>69</v>
      </c>
      <c r="YW3" s="10" t="s">
        <v>67</v>
      </c>
      <c r="YX3" s="10" t="s">
        <v>69</v>
      </c>
      <c r="YY3" s="10" t="s">
        <v>67</v>
      </c>
      <c r="YZ3" s="10" t="s">
        <v>69</v>
      </c>
      <c r="ZA3" s="10" t="s">
        <v>67</v>
      </c>
      <c r="ZB3" s="10" t="s">
        <v>69</v>
      </c>
      <c r="ZC3" s="10" t="s">
        <v>67</v>
      </c>
      <c r="ZD3" s="10" t="s">
        <v>69</v>
      </c>
      <c r="ZE3" s="10" t="s">
        <v>67</v>
      </c>
      <c r="ZF3" s="10" t="s">
        <v>69</v>
      </c>
      <c r="ZG3" s="10" t="s">
        <v>67</v>
      </c>
      <c r="ZH3" s="10" t="s">
        <v>69</v>
      </c>
      <c r="ZI3" s="10" t="s">
        <v>67</v>
      </c>
      <c r="ZJ3" s="10" t="s">
        <v>69</v>
      </c>
      <c r="ZK3" s="10" t="s">
        <v>67</v>
      </c>
      <c r="ZL3" s="10" t="s">
        <v>69</v>
      </c>
      <c r="ZM3" s="10" t="s">
        <v>67</v>
      </c>
      <c r="ZN3" s="10" t="s">
        <v>69</v>
      </c>
      <c r="ZO3" s="10" t="s">
        <v>67</v>
      </c>
      <c r="ZP3" s="10" t="s">
        <v>69</v>
      </c>
      <c r="ZQ3" s="10" t="s">
        <v>67</v>
      </c>
      <c r="ZR3" s="10" t="s">
        <v>69</v>
      </c>
      <c r="ZS3" s="10" t="s">
        <v>67</v>
      </c>
      <c r="ZT3" s="10" t="s">
        <v>69</v>
      </c>
      <c r="ZU3" s="10" t="s">
        <v>67</v>
      </c>
      <c r="ZV3" s="10" t="s">
        <v>69</v>
      </c>
      <c r="ZW3" s="10" t="s">
        <v>67</v>
      </c>
      <c r="ZX3" s="10" t="s">
        <v>69</v>
      </c>
      <c r="ZY3" s="10" t="s">
        <v>67</v>
      </c>
      <c r="ZZ3" s="10" t="s">
        <v>69</v>
      </c>
      <c r="AAA3" s="10" t="s">
        <v>67</v>
      </c>
      <c r="AAB3" s="10" t="s">
        <v>69</v>
      </c>
      <c r="AAC3" s="10" t="s">
        <v>67</v>
      </c>
      <c r="AAD3" s="10" t="s">
        <v>69</v>
      </c>
      <c r="AAE3" s="10" t="s">
        <v>67</v>
      </c>
      <c r="AAF3" s="10" t="s">
        <v>69</v>
      </c>
      <c r="AAG3" s="10" t="s">
        <v>67</v>
      </c>
      <c r="AAH3" s="10" t="s">
        <v>69</v>
      </c>
      <c r="AAI3" s="10" t="s">
        <v>67</v>
      </c>
      <c r="AAJ3" s="10" t="s">
        <v>69</v>
      </c>
      <c r="AAK3" s="10" t="s">
        <v>67</v>
      </c>
      <c r="AAL3" s="10" t="s">
        <v>69</v>
      </c>
      <c r="AAM3" s="10" t="s">
        <v>67</v>
      </c>
      <c r="AAN3" s="10" t="s">
        <v>69</v>
      </c>
      <c r="AAO3" s="10" t="s">
        <v>67</v>
      </c>
      <c r="AAP3" s="10" t="s">
        <v>69</v>
      </c>
      <c r="AAQ3" s="10" t="s">
        <v>67</v>
      </c>
      <c r="AAR3" s="10" t="s">
        <v>69</v>
      </c>
      <c r="AAS3" s="10" t="s">
        <v>67</v>
      </c>
      <c r="AAT3" s="10" t="s">
        <v>69</v>
      </c>
      <c r="AAU3" s="10" t="s">
        <v>67</v>
      </c>
      <c r="AAV3" s="10" t="s">
        <v>69</v>
      </c>
      <c r="AAW3" s="10" t="s">
        <v>67</v>
      </c>
      <c r="AAX3" s="10" t="s">
        <v>69</v>
      </c>
      <c r="AAY3" s="10" t="s">
        <v>67</v>
      </c>
      <c r="AAZ3" s="10" t="s">
        <v>69</v>
      </c>
      <c r="ABA3" s="10" t="s">
        <v>67</v>
      </c>
      <c r="ABB3" s="10" t="s">
        <v>69</v>
      </c>
      <c r="ABC3" s="10" t="s">
        <v>67</v>
      </c>
      <c r="ABD3" s="10" t="s">
        <v>69</v>
      </c>
      <c r="ABE3" s="10" t="s">
        <v>67</v>
      </c>
      <c r="ABF3" s="10" t="s">
        <v>69</v>
      </c>
      <c r="ABG3" s="10" t="s">
        <v>67</v>
      </c>
      <c r="ABH3" s="10" t="s">
        <v>69</v>
      </c>
      <c r="ABI3" s="10" t="s">
        <v>67</v>
      </c>
      <c r="ABJ3" s="10" t="s">
        <v>69</v>
      </c>
      <c r="ABK3" s="10" t="s">
        <v>67</v>
      </c>
      <c r="ABL3" s="10" t="s">
        <v>69</v>
      </c>
      <c r="ABM3" s="10" t="s">
        <v>67</v>
      </c>
      <c r="ABN3" s="10" t="s">
        <v>69</v>
      </c>
      <c r="ABO3" s="10" t="s">
        <v>67</v>
      </c>
      <c r="ABP3" s="10" t="s">
        <v>69</v>
      </c>
      <c r="ABQ3" s="10" t="s">
        <v>67</v>
      </c>
      <c r="ABR3" s="10" t="s">
        <v>69</v>
      </c>
      <c r="ABS3" s="10" t="s">
        <v>67</v>
      </c>
      <c r="ABT3" s="10" t="s">
        <v>69</v>
      </c>
      <c r="ABU3" s="10" t="s">
        <v>67</v>
      </c>
      <c r="ABV3" s="10" t="s">
        <v>69</v>
      </c>
      <c r="ABW3" s="10" t="s">
        <v>67</v>
      </c>
      <c r="ABX3" s="10" t="s">
        <v>69</v>
      </c>
      <c r="ABY3" s="10" t="s">
        <v>67</v>
      </c>
      <c r="ABZ3" s="10" t="s">
        <v>69</v>
      </c>
      <c r="ACA3" s="10" t="s">
        <v>67</v>
      </c>
      <c r="ACB3" s="10" t="s">
        <v>69</v>
      </c>
      <c r="ACC3" s="10" t="s">
        <v>67</v>
      </c>
      <c r="ACD3" s="10" t="s">
        <v>69</v>
      </c>
      <c r="ACE3" s="10" t="s">
        <v>67</v>
      </c>
      <c r="ACF3" s="10" t="s">
        <v>69</v>
      </c>
      <c r="ACG3" s="10" t="s">
        <v>67</v>
      </c>
      <c r="ACH3" s="10" t="s">
        <v>69</v>
      </c>
      <c r="ACI3" s="10" t="s">
        <v>67</v>
      </c>
      <c r="ACJ3" s="10" t="s">
        <v>69</v>
      </c>
      <c r="ACK3" s="10" t="s">
        <v>67</v>
      </c>
      <c r="ACL3" s="10" t="s">
        <v>69</v>
      </c>
      <c r="ACM3" s="10" t="s">
        <v>67</v>
      </c>
      <c r="ACN3" s="10" t="s">
        <v>69</v>
      </c>
      <c r="ACO3" s="10" t="s">
        <v>67</v>
      </c>
      <c r="ACP3" s="10" t="s">
        <v>69</v>
      </c>
      <c r="ACQ3" s="10" t="s">
        <v>67</v>
      </c>
      <c r="ACR3" s="10" t="s">
        <v>69</v>
      </c>
      <c r="ACS3" s="10" t="s">
        <v>67</v>
      </c>
      <c r="ACT3" s="10" t="s">
        <v>69</v>
      </c>
      <c r="ACU3" s="10" t="s">
        <v>67</v>
      </c>
      <c r="ACV3" s="10" t="s">
        <v>69</v>
      </c>
      <c r="ACW3" s="10" t="s">
        <v>67</v>
      </c>
      <c r="ACX3" s="10" t="s">
        <v>69</v>
      </c>
      <c r="ACY3" s="10" t="s">
        <v>67</v>
      </c>
      <c r="ACZ3" s="10" t="s">
        <v>69</v>
      </c>
      <c r="ADA3" s="10" t="s">
        <v>67</v>
      </c>
      <c r="ADB3" s="10" t="s">
        <v>69</v>
      </c>
      <c r="ADC3" s="10" t="s">
        <v>67</v>
      </c>
      <c r="ADD3" s="10" t="s">
        <v>69</v>
      </c>
      <c r="ADE3" s="10" t="s">
        <v>67</v>
      </c>
      <c r="ADF3" s="10" t="s">
        <v>69</v>
      </c>
      <c r="ADG3" s="10" t="s">
        <v>67</v>
      </c>
      <c r="ADH3" s="10" t="s">
        <v>69</v>
      </c>
      <c r="ADI3" s="10" t="s">
        <v>67</v>
      </c>
      <c r="ADJ3" s="10" t="s">
        <v>69</v>
      </c>
      <c r="ADK3" s="10" t="s">
        <v>67</v>
      </c>
      <c r="ADL3" s="10" t="s">
        <v>69</v>
      </c>
      <c r="ADM3" s="10" t="s">
        <v>67</v>
      </c>
      <c r="ADN3" s="10" t="s">
        <v>69</v>
      </c>
      <c r="ADO3" s="10" t="s">
        <v>67</v>
      </c>
      <c r="ADP3" s="10" t="s">
        <v>69</v>
      </c>
      <c r="ADQ3" s="10" t="s">
        <v>67</v>
      </c>
      <c r="ADR3" s="10" t="s">
        <v>69</v>
      </c>
      <c r="ADS3" s="10" t="s">
        <v>67</v>
      </c>
      <c r="ADT3" s="10" t="s">
        <v>69</v>
      </c>
      <c r="ADU3" s="10" t="s">
        <v>67</v>
      </c>
      <c r="ADV3" s="10" t="s">
        <v>69</v>
      </c>
      <c r="ADW3" s="10" t="s">
        <v>67</v>
      </c>
      <c r="ADX3" s="10" t="s">
        <v>69</v>
      </c>
      <c r="ADY3" s="10" t="s">
        <v>67</v>
      </c>
      <c r="ADZ3" s="10" t="s">
        <v>69</v>
      </c>
      <c r="AEA3" s="10" t="s">
        <v>67</v>
      </c>
      <c r="AEB3" s="10" t="s">
        <v>69</v>
      </c>
      <c r="AEC3" s="10" t="s">
        <v>67</v>
      </c>
      <c r="AED3" s="10" t="s">
        <v>69</v>
      </c>
      <c r="AEE3" s="10" t="s">
        <v>67</v>
      </c>
      <c r="AEF3" s="10" t="s">
        <v>69</v>
      </c>
      <c r="AEG3" s="10" t="s">
        <v>67</v>
      </c>
      <c r="AEH3" s="10" t="s">
        <v>69</v>
      </c>
      <c r="AEI3" s="10" t="s">
        <v>67</v>
      </c>
      <c r="AEJ3" s="10" t="s">
        <v>69</v>
      </c>
      <c r="AEK3" s="10" t="s">
        <v>67</v>
      </c>
      <c r="AEL3" s="10" t="s">
        <v>69</v>
      </c>
      <c r="AEM3" s="10" t="s">
        <v>67</v>
      </c>
      <c r="AEN3" s="10" t="s">
        <v>69</v>
      </c>
      <c r="AEO3" s="10" t="s">
        <v>67</v>
      </c>
      <c r="AEP3" s="10" t="s">
        <v>69</v>
      </c>
      <c r="AEQ3" s="10" t="s">
        <v>67</v>
      </c>
      <c r="AER3" s="10" t="s">
        <v>69</v>
      </c>
      <c r="AES3" s="10" t="s">
        <v>67</v>
      </c>
      <c r="AET3" s="10" t="s">
        <v>69</v>
      </c>
      <c r="AEU3" s="10" t="s">
        <v>67</v>
      </c>
      <c r="AEV3" s="10" t="s">
        <v>69</v>
      </c>
      <c r="AEW3" s="10" t="s">
        <v>67</v>
      </c>
      <c r="AEX3" s="10" t="s">
        <v>69</v>
      </c>
      <c r="AEY3" s="10" t="s">
        <v>67</v>
      </c>
      <c r="AEZ3" s="10" t="s">
        <v>69</v>
      </c>
      <c r="AFA3" s="10" t="s">
        <v>67</v>
      </c>
      <c r="AFB3" s="10" t="s">
        <v>69</v>
      </c>
      <c r="AFC3" s="10" t="s">
        <v>67</v>
      </c>
      <c r="AFD3" s="10" t="s">
        <v>69</v>
      </c>
      <c r="AFE3" s="10" t="s">
        <v>67</v>
      </c>
      <c r="AFF3" s="10" t="s">
        <v>69</v>
      </c>
      <c r="AFG3" s="10" t="s">
        <v>67</v>
      </c>
      <c r="AFH3" s="10" t="s">
        <v>69</v>
      </c>
      <c r="AFI3" s="10" t="s">
        <v>67</v>
      </c>
      <c r="AFJ3" s="10" t="s">
        <v>69</v>
      </c>
      <c r="AFK3" s="10" t="s">
        <v>67</v>
      </c>
      <c r="AFL3" s="10" t="s">
        <v>69</v>
      </c>
      <c r="AFM3" s="10" t="s">
        <v>67</v>
      </c>
      <c r="AFN3" s="10" t="s">
        <v>69</v>
      </c>
      <c r="AFO3" s="10" t="s">
        <v>67</v>
      </c>
      <c r="AFP3" s="10" t="s">
        <v>69</v>
      </c>
      <c r="AFQ3" s="10" t="s">
        <v>67</v>
      </c>
      <c r="AFR3" s="10" t="s">
        <v>69</v>
      </c>
      <c r="AFS3" s="10" t="s">
        <v>67</v>
      </c>
      <c r="AFT3" s="10" t="s">
        <v>69</v>
      </c>
      <c r="AFU3" s="10" t="s">
        <v>67</v>
      </c>
      <c r="AFV3" s="10" t="s">
        <v>69</v>
      </c>
      <c r="AFW3" s="10" t="s">
        <v>67</v>
      </c>
      <c r="AFX3" s="10" t="s">
        <v>69</v>
      </c>
      <c r="AFY3" s="10" t="s">
        <v>67</v>
      </c>
      <c r="AFZ3" s="10" t="s">
        <v>69</v>
      </c>
      <c r="AGA3" s="10" t="s">
        <v>67</v>
      </c>
      <c r="AGB3" s="10" t="s">
        <v>69</v>
      </c>
      <c r="AGC3" s="10" t="s">
        <v>67</v>
      </c>
      <c r="AGD3" s="10" t="s">
        <v>69</v>
      </c>
      <c r="AGE3" s="10" t="s">
        <v>67</v>
      </c>
      <c r="AGF3" s="10" t="s">
        <v>69</v>
      </c>
      <c r="AGG3" s="10" t="s">
        <v>67</v>
      </c>
      <c r="AGH3" s="10" t="s">
        <v>69</v>
      </c>
      <c r="AGI3" s="10" t="s">
        <v>67</v>
      </c>
      <c r="AGJ3" s="10" t="s">
        <v>69</v>
      </c>
      <c r="AGK3" s="10" t="s">
        <v>67</v>
      </c>
      <c r="AGL3" s="10" t="s">
        <v>69</v>
      </c>
      <c r="AGM3" s="10" t="s">
        <v>67</v>
      </c>
      <c r="AGN3" s="10" t="s">
        <v>69</v>
      </c>
      <c r="AGO3" s="10" t="s">
        <v>67</v>
      </c>
      <c r="AGP3" s="10" t="s">
        <v>69</v>
      </c>
      <c r="AGQ3" s="10" t="s">
        <v>67</v>
      </c>
      <c r="AGR3" s="10" t="s">
        <v>69</v>
      </c>
      <c r="AGS3" s="10" t="s">
        <v>67</v>
      </c>
      <c r="AGT3" s="10" t="s">
        <v>69</v>
      </c>
      <c r="AGU3" s="10" t="s">
        <v>67</v>
      </c>
      <c r="AGV3" s="10" t="s">
        <v>69</v>
      </c>
      <c r="AGW3" s="10" t="s">
        <v>67</v>
      </c>
      <c r="AGX3" s="10" t="s">
        <v>69</v>
      </c>
      <c r="AGY3" s="10" t="s">
        <v>67</v>
      </c>
      <c r="AGZ3" s="10" t="s">
        <v>69</v>
      </c>
      <c r="AHA3" s="10" t="s">
        <v>67</v>
      </c>
      <c r="AHB3" s="10" t="s">
        <v>69</v>
      </c>
      <c r="AHC3" s="10" t="s">
        <v>67</v>
      </c>
      <c r="AHD3" s="10" t="s">
        <v>69</v>
      </c>
      <c r="AHE3" s="10" t="s">
        <v>67</v>
      </c>
      <c r="AHF3" s="10" t="s">
        <v>69</v>
      </c>
      <c r="AHG3" s="10" t="s">
        <v>67</v>
      </c>
      <c r="AHH3" s="10" t="s">
        <v>69</v>
      </c>
      <c r="AHI3" s="10" t="s">
        <v>67</v>
      </c>
      <c r="AHJ3" s="10" t="s">
        <v>69</v>
      </c>
      <c r="AHK3" s="10" t="s">
        <v>67</v>
      </c>
      <c r="AHL3" s="10" t="s">
        <v>69</v>
      </c>
      <c r="AHM3" s="10" t="s">
        <v>67</v>
      </c>
      <c r="AHN3" s="10" t="s">
        <v>69</v>
      </c>
      <c r="AHO3" s="10" t="s">
        <v>67</v>
      </c>
      <c r="AHP3" s="10" t="s">
        <v>69</v>
      </c>
      <c r="AHQ3" s="10" t="s">
        <v>67</v>
      </c>
      <c r="AHR3" s="10" t="s">
        <v>69</v>
      </c>
      <c r="AHS3" s="10" t="s">
        <v>67</v>
      </c>
      <c r="AHT3" s="10" t="s">
        <v>69</v>
      </c>
      <c r="AHU3" s="10" t="s">
        <v>67</v>
      </c>
      <c r="AHV3" s="10" t="s">
        <v>69</v>
      </c>
      <c r="AHW3" s="10" t="s">
        <v>67</v>
      </c>
      <c r="AHX3" s="10" t="s">
        <v>69</v>
      </c>
      <c r="AHY3" s="10" t="s">
        <v>67</v>
      </c>
      <c r="AHZ3" s="10" t="s">
        <v>69</v>
      </c>
      <c r="AIA3" s="10" t="s">
        <v>67</v>
      </c>
      <c r="AIB3" s="10" t="s">
        <v>69</v>
      </c>
      <c r="AIC3" s="10" t="s">
        <v>67</v>
      </c>
      <c r="AID3" s="10" t="s">
        <v>69</v>
      </c>
      <c r="AIE3" s="10" t="s">
        <v>67</v>
      </c>
      <c r="AIF3" s="10" t="s">
        <v>69</v>
      </c>
      <c r="AIG3" s="10" t="s">
        <v>67</v>
      </c>
      <c r="AIH3" s="10" t="s">
        <v>69</v>
      </c>
      <c r="AII3" s="10" t="s">
        <v>67</v>
      </c>
      <c r="AIJ3" s="10" t="s">
        <v>69</v>
      </c>
      <c r="AIK3" s="10" t="s">
        <v>67</v>
      </c>
      <c r="AIL3" s="10" t="s">
        <v>69</v>
      </c>
      <c r="AIM3" s="10" t="s">
        <v>67</v>
      </c>
      <c r="AIN3" s="10" t="s">
        <v>69</v>
      </c>
      <c r="AIO3" s="10" t="s">
        <v>67</v>
      </c>
      <c r="AIP3" s="10" t="s">
        <v>69</v>
      </c>
      <c r="AIQ3" s="10" t="s">
        <v>67</v>
      </c>
      <c r="AIR3" s="10" t="s">
        <v>69</v>
      </c>
      <c r="AIS3" s="10" t="s">
        <v>67</v>
      </c>
      <c r="AIT3" s="10" t="s">
        <v>69</v>
      </c>
      <c r="AIU3" s="10" t="s">
        <v>67</v>
      </c>
      <c r="AIV3" s="10" t="s">
        <v>69</v>
      </c>
      <c r="AIW3" s="10" t="s">
        <v>67</v>
      </c>
      <c r="AIX3" s="10" t="s">
        <v>69</v>
      </c>
      <c r="AIY3" s="10" t="s">
        <v>67</v>
      </c>
      <c r="AIZ3" s="10" t="s">
        <v>69</v>
      </c>
      <c r="AJA3" s="10" t="s">
        <v>67</v>
      </c>
      <c r="AJB3" s="10" t="s">
        <v>69</v>
      </c>
      <c r="AJC3" s="10" t="s">
        <v>67</v>
      </c>
      <c r="AJD3" s="10" t="s">
        <v>69</v>
      </c>
      <c r="AJE3" s="10" t="s">
        <v>67</v>
      </c>
      <c r="AJF3" s="10" t="s">
        <v>69</v>
      </c>
      <c r="AJG3" s="10" t="s">
        <v>67</v>
      </c>
      <c r="AJH3" s="10" t="s">
        <v>69</v>
      </c>
      <c r="AJI3" s="10" t="s">
        <v>67</v>
      </c>
      <c r="AJJ3" s="10" t="s">
        <v>69</v>
      </c>
      <c r="AJK3" s="10" t="s">
        <v>67</v>
      </c>
      <c r="AJL3" s="10" t="s">
        <v>69</v>
      </c>
      <c r="AJM3" s="10" t="s">
        <v>67</v>
      </c>
      <c r="AJN3" s="10" t="s">
        <v>69</v>
      </c>
      <c r="AJO3" s="10" t="s">
        <v>67</v>
      </c>
      <c r="AJP3" s="10" t="s">
        <v>69</v>
      </c>
      <c r="AJQ3" s="10" t="s">
        <v>67</v>
      </c>
      <c r="AJR3" s="10" t="s">
        <v>69</v>
      </c>
      <c r="AJS3" s="10" t="s">
        <v>67</v>
      </c>
      <c r="AJT3" s="10" t="s">
        <v>69</v>
      </c>
      <c r="AJU3" s="10" t="s">
        <v>67</v>
      </c>
      <c r="AJV3" s="10" t="s">
        <v>69</v>
      </c>
      <c r="AJW3" s="10" t="s">
        <v>67</v>
      </c>
      <c r="AJX3" s="10" t="s">
        <v>69</v>
      </c>
      <c r="AJY3" s="10" t="s">
        <v>67</v>
      </c>
      <c r="AJZ3" s="10" t="s">
        <v>69</v>
      </c>
      <c r="AKA3" s="10" t="s">
        <v>67</v>
      </c>
      <c r="AKB3" s="10" t="s">
        <v>69</v>
      </c>
      <c r="AKC3" s="10" t="s">
        <v>67</v>
      </c>
      <c r="AKD3" s="10" t="s">
        <v>69</v>
      </c>
      <c r="AKE3" s="10" t="s">
        <v>67</v>
      </c>
      <c r="AKF3" s="10" t="s">
        <v>69</v>
      </c>
      <c r="AKG3" s="10" t="s">
        <v>67</v>
      </c>
      <c r="AKH3" s="10" t="s">
        <v>69</v>
      </c>
      <c r="AKI3" s="10" t="s">
        <v>67</v>
      </c>
      <c r="AKJ3" s="10" t="s">
        <v>69</v>
      </c>
      <c r="AKK3" s="10" t="s">
        <v>67</v>
      </c>
      <c r="AKL3" s="10" t="s">
        <v>69</v>
      </c>
      <c r="AKM3" s="10" t="s">
        <v>67</v>
      </c>
      <c r="AKN3" s="10" t="s">
        <v>69</v>
      </c>
      <c r="AKO3" s="10" t="s">
        <v>67</v>
      </c>
      <c r="AKP3" s="10" t="s">
        <v>69</v>
      </c>
      <c r="AKQ3" s="10" t="s">
        <v>67</v>
      </c>
      <c r="AKR3" s="10" t="s">
        <v>69</v>
      </c>
      <c r="AKS3" s="10" t="s">
        <v>67</v>
      </c>
      <c r="AKT3" s="10" t="s">
        <v>69</v>
      </c>
      <c r="AKU3" s="10" t="s">
        <v>67</v>
      </c>
      <c r="AKV3" s="10" t="s">
        <v>69</v>
      </c>
      <c r="AKW3" s="10" t="s">
        <v>67</v>
      </c>
      <c r="AKX3" s="10" t="s">
        <v>69</v>
      </c>
      <c r="AKY3" s="10" t="s">
        <v>67</v>
      </c>
      <c r="AKZ3" s="10" t="s">
        <v>69</v>
      </c>
      <c r="ALA3" s="10" t="s">
        <v>67</v>
      </c>
      <c r="ALB3" s="10" t="s">
        <v>69</v>
      </c>
      <c r="ALC3" s="10" t="s">
        <v>67</v>
      </c>
      <c r="ALD3" s="10" t="s">
        <v>69</v>
      </c>
      <c r="ALE3" s="10" t="s">
        <v>67</v>
      </c>
      <c r="ALF3" s="10" t="s">
        <v>69</v>
      </c>
      <c r="ALG3" s="10" t="s">
        <v>67</v>
      </c>
      <c r="ALH3" s="10" t="s">
        <v>69</v>
      </c>
      <c r="ALI3" s="10" t="s">
        <v>67</v>
      </c>
      <c r="ALJ3" s="10" t="s">
        <v>69</v>
      </c>
      <c r="ALK3" s="10" t="s">
        <v>67</v>
      </c>
      <c r="ALL3" s="10" t="s">
        <v>69</v>
      </c>
      <c r="ALM3" s="10" t="s">
        <v>67</v>
      </c>
      <c r="ALN3" s="10" t="s">
        <v>69</v>
      </c>
      <c r="ALO3" s="10" t="s">
        <v>67</v>
      </c>
      <c r="ALP3" s="10" t="s">
        <v>69</v>
      </c>
      <c r="ALQ3" s="10" t="s">
        <v>67</v>
      </c>
      <c r="ALR3" s="10" t="s">
        <v>69</v>
      </c>
      <c r="ALS3" s="10" t="s">
        <v>67</v>
      </c>
      <c r="ALT3" s="10" t="s">
        <v>69</v>
      </c>
      <c r="ALU3" s="10" t="s">
        <v>67</v>
      </c>
      <c r="ALV3" s="10" t="s">
        <v>69</v>
      </c>
      <c r="ALW3" s="10" t="s">
        <v>67</v>
      </c>
      <c r="ALX3" s="10" t="s">
        <v>69</v>
      </c>
      <c r="ALY3" s="10" t="s">
        <v>67</v>
      </c>
      <c r="ALZ3" s="10" t="s">
        <v>69</v>
      </c>
      <c r="AMA3" s="10" t="s">
        <v>67</v>
      </c>
      <c r="AMB3" s="10" t="s">
        <v>69</v>
      </c>
      <c r="AMC3" s="10" t="s">
        <v>67</v>
      </c>
      <c r="AMD3" s="10" t="s">
        <v>69</v>
      </c>
      <c r="AME3" s="10" t="s">
        <v>67</v>
      </c>
      <c r="AMF3" s="10" t="s">
        <v>69</v>
      </c>
      <c r="AMG3" s="10" t="s">
        <v>67</v>
      </c>
      <c r="AMH3" s="10" t="s">
        <v>69</v>
      </c>
      <c r="AMI3" s="10" t="s">
        <v>67</v>
      </c>
      <c r="AMJ3" s="10" t="s">
        <v>69</v>
      </c>
      <c r="AMK3" s="10" t="s">
        <v>67</v>
      </c>
      <c r="AML3" s="10" t="s">
        <v>69</v>
      </c>
      <c r="AMM3" s="10" t="s">
        <v>67</v>
      </c>
      <c r="AMN3" s="10" t="s">
        <v>69</v>
      </c>
      <c r="AMO3" s="10" t="s">
        <v>67</v>
      </c>
      <c r="AMP3" s="10" t="s">
        <v>69</v>
      </c>
      <c r="AMQ3" s="10" t="s">
        <v>67</v>
      </c>
      <c r="AMR3" s="10" t="s">
        <v>69</v>
      </c>
      <c r="AMS3" s="10" t="s">
        <v>67</v>
      </c>
      <c r="AMT3" s="10" t="s">
        <v>69</v>
      </c>
      <c r="AMU3" s="10" t="s">
        <v>67</v>
      </c>
      <c r="AMV3" s="10" t="s">
        <v>69</v>
      </c>
      <c r="AMW3" s="10" t="s">
        <v>67</v>
      </c>
      <c r="AMX3" s="10" t="s">
        <v>69</v>
      </c>
      <c r="AMY3" s="10" t="s">
        <v>67</v>
      </c>
      <c r="AMZ3" s="10" t="s">
        <v>69</v>
      </c>
      <c r="ANA3" s="10" t="s">
        <v>67</v>
      </c>
      <c r="ANB3" s="10" t="s">
        <v>69</v>
      </c>
      <c r="ANC3" s="10" t="s">
        <v>67</v>
      </c>
      <c r="AND3" s="10" t="s">
        <v>69</v>
      </c>
      <c r="ANE3" s="10" t="s">
        <v>67</v>
      </c>
      <c r="ANF3" s="10" t="s">
        <v>69</v>
      </c>
      <c r="ANG3" s="10" t="s">
        <v>67</v>
      </c>
      <c r="ANH3" s="10" t="s">
        <v>69</v>
      </c>
      <c r="ANI3" s="10" t="s">
        <v>67</v>
      </c>
      <c r="ANJ3" s="10" t="s">
        <v>69</v>
      </c>
      <c r="ANK3" s="10" t="s">
        <v>67</v>
      </c>
      <c r="ANL3" s="10" t="s">
        <v>69</v>
      </c>
      <c r="ANM3" s="10" t="s">
        <v>67</v>
      </c>
      <c r="ANN3" s="10" t="s">
        <v>69</v>
      </c>
      <c r="ANO3" s="10" t="s">
        <v>67</v>
      </c>
      <c r="ANP3" s="10" t="s">
        <v>69</v>
      </c>
      <c r="ANQ3" s="10" t="s">
        <v>67</v>
      </c>
      <c r="ANR3" s="10" t="s">
        <v>69</v>
      </c>
      <c r="ANS3" s="10" t="s">
        <v>67</v>
      </c>
      <c r="ANT3" s="10" t="s">
        <v>69</v>
      </c>
      <c r="ANU3" s="10" t="s">
        <v>67</v>
      </c>
      <c r="ANV3" s="10" t="s">
        <v>69</v>
      </c>
      <c r="ANW3" s="10" t="s">
        <v>67</v>
      </c>
      <c r="ANX3" s="10" t="s">
        <v>69</v>
      </c>
      <c r="ANY3" s="10" t="s">
        <v>67</v>
      </c>
      <c r="ANZ3" s="10" t="s">
        <v>69</v>
      </c>
      <c r="AOA3" s="10" t="s">
        <v>67</v>
      </c>
      <c r="AOB3" s="10" t="s">
        <v>69</v>
      </c>
      <c r="AOC3" s="10" t="s">
        <v>67</v>
      </c>
      <c r="AOD3" s="10" t="s">
        <v>69</v>
      </c>
      <c r="AOE3" s="10" t="s">
        <v>67</v>
      </c>
      <c r="AOF3" s="10" t="s">
        <v>69</v>
      </c>
      <c r="AOG3" s="10" t="s">
        <v>67</v>
      </c>
      <c r="AOH3" s="10" t="s">
        <v>69</v>
      </c>
      <c r="AOI3" s="10" t="s">
        <v>67</v>
      </c>
      <c r="AOJ3" s="10" t="s">
        <v>69</v>
      </c>
      <c r="AOK3" s="10" t="s">
        <v>67</v>
      </c>
      <c r="AOL3" s="10" t="s">
        <v>69</v>
      </c>
      <c r="AOM3" s="10" t="s">
        <v>67</v>
      </c>
      <c r="AON3" s="10" t="s">
        <v>69</v>
      </c>
      <c r="AOO3" s="10" t="s">
        <v>67</v>
      </c>
      <c r="AOP3" s="10" t="s">
        <v>69</v>
      </c>
      <c r="AOQ3" s="10" t="s">
        <v>67</v>
      </c>
      <c r="AOR3" s="10" t="s">
        <v>69</v>
      </c>
      <c r="AOS3" s="10" t="s">
        <v>67</v>
      </c>
      <c r="AOT3" s="10" t="s">
        <v>69</v>
      </c>
      <c r="AOU3" s="10" t="s">
        <v>67</v>
      </c>
      <c r="AOV3" s="10" t="s">
        <v>69</v>
      </c>
      <c r="AOW3" s="10" t="s">
        <v>67</v>
      </c>
      <c r="AOX3" s="10" t="s">
        <v>69</v>
      </c>
      <c r="AOY3" s="10" t="s">
        <v>67</v>
      </c>
      <c r="AOZ3" s="10" t="s">
        <v>69</v>
      </c>
      <c r="APA3" s="10" t="s">
        <v>67</v>
      </c>
      <c r="APB3" s="10" t="s">
        <v>69</v>
      </c>
      <c r="APC3" s="10" t="s">
        <v>67</v>
      </c>
      <c r="APD3" s="10" t="s">
        <v>69</v>
      </c>
      <c r="APE3" s="10" t="s">
        <v>67</v>
      </c>
      <c r="APF3" s="10" t="s">
        <v>69</v>
      </c>
      <c r="APG3" s="10" t="s">
        <v>67</v>
      </c>
      <c r="APH3" s="10" t="s">
        <v>69</v>
      </c>
      <c r="API3" s="10" t="s">
        <v>67</v>
      </c>
      <c r="APJ3" s="10" t="s">
        <v>69</v>
      </c>
      <c r="APK3" s="10" t="s">
        <v>67</v>
      </c>
      <c r="APL3" s="10" t="s">
        <v>69</v>
      </c>
      <c r="APM3" s="10" t="s">
        <v>67</v>
      </c>
      <c r="APN3" s="10" t="s">
        <v>69</v>
      </c>
      <c r="APO3" s="10" t="s">
        <v>67</v>
      </c>
      <c r="APP3" s="10" t="s">
        <v>69</v>
      </c>
      <c r="APQ3" s="10" t="s">
        <v>67</v>
      </c>
      <c r="APR3" s="10" t="s">
        <v>69</v>
      </c>
      <c r="APS3" s="10" t="s">
        <v>67</v>
      </c>
      <c r="APT3" s="10" t="s">
        <v>69</v>
      </c>
      <c r="APU3" s="10" t="s">
        <v>67</v>
      </c>
      <c r="APV3" s="10" t="s">
        <v>69</v>
      </c>
      <c r="APW3" s="10" t="s">
        <v>67</v>
      </c>
      <c r="APX3" s="10" t="s">
        <v>69</v>
      </c>
      <c r="APY3" s="10" t="s">
        <v>67</v>
      </c>
      <c r="APZ3" s="10" t="s">
        <v>69</v>
      </c>
      <c r="AQA3" s="10" t="s">
        <v>67</v>
      </c>
      <c r="AQB3" s="10" t="s">
        <v>69</v>
      </c>
      <c r="AQC3" s="10" t="s">
        <v>67</v>
      </c>
      <c r="AQD3" s="10" t="s">
        <v>69</v>
      </c>
      <c r="AQE3" s="10" t="s">
        <v>67</v>
      </c>
      <c r="AQF3" s="10" t="s">
        <v>69</v>
      </c>
      <c r="AQG3" s="10" t="s">
        <v>67</v>
      </c>
      <c r="AQH3" s="10" t="s">
        <v>69</v>
      </c>
      <c r="AQI3" s="10" t="s">
        <v>67</v>
      </c>
      <c r="AQJ3" s="10" t="s">
        <v>69</v>
      </c>
      <c r="AQK3" s="10" t="s">
        <v>67</v>
      </c>
      <c r="AQL3" s="10" t="s">
        <v>69</v>
      </c>
      <c r="AQM3" s="10" t="s">
        <v>67</v>
      </c>
      <c r="AQN3" s="10" t="s">
        <v>69</v>
      </c>
      <c r="AQO3" s="10" t="s">
        <v>67</v>
      </c>
      <c r="AQP3" s="10" t="s">
        <v>69</v>
      </c>
      <c r="AQQ3" s="10" t="s">
        <v>67</v>
      </c>
      <c r="AQR3" s="10" t="s">
        <v>69</v>
      </c>
      <c r="AQS3" s="10" t="s">
        <v>67</v>
      </c>
      <c r="AQT3" s="10" t="s">
        <v>69</v>
      </c>
      <c r="AQU3" s="10" t="s">
        <v>67</v>
      </c>
      <c r="AQV3" s="10" t="s">
        <v>69</v>
      </c>
      <c r="AQW3" s="10" t="s">
        <v>67</v>
      </c>
      <c r="AQX3" s="10" t="s">
        <v>69</v>
      </c>
      <c r="AQY3" s="10" t="s">
        <v>67</v>
      </c>
      <c r="AQZ3" s="10" t="s">
        <v>69</v>
      </c>
      <c r="ARA3" s="10" t="s">
        <v>67</v>
      </c>
      <c r="ARB3" s="10" t="s">
        <v>69</v>
      </c>
      <c r="ARC3" s="10" t="s">
        <v>67</v>
      </c>
      <c r="ARD3" s="10" t="s">
        <v>69</v>
      </c>
      <c r="ARE3" s="10" t="s">
        <v>67</v>
      </c>
      <c r="ARF3" s="10" t="s">
        <v>69</v>
      </c>
      <c r="ARG3" s="10" t="s">
        <v>67</v>
      </c>
      <c r="ARH3" s="10" t="s">
        <v>69</v>
      </c>
      <c r="ARI3" s="10" t="s">
        <v>67</v>
      </c>
      <c r="ARJ3" s="10" t="s">
        <v>69</v>
      </c>
      <c r="ARK3" s="10" t="s">
        <v>67</v>
      </c>
      <c r="ARL3" s="10" t="s">
        <v>69</v>
      </c>
      <c r="ARM3" s="10" t="s">
        <v>67</v>
      </c>
      <c r="ARN3" s="10" t="s">
        <v>69</v>
      </c>
      <c r="ARO3" s="10" t="s">
        <v>67</v>
      </c>
      <c r="ARP3" s="10" t="s">
        <v>69</v>
      </c>
      <c r="ARQ3" s="10" t="s">
        <v>67</v>
      </c>
      <c r="ARR3" s="10" t="s">
        <v>69</v>
      </c>
      <c r="ARS3" s="10" t="s">
        <v>67</v>
      </c>
      <c r="ART3" s="10" t="s">
        <v>69</v>
      </c>
      <c r="ARU3" s="10" t="s">
        <v>67</v>
      </c>
      <c r="ARV3" s="10" t="s">
        <v>69</v>
      </c>
      <c r="ARW3" s="10" t="s">
        <v>67</v>
      </c>
      <c r="ARX3" s="10" t="s">
        <v>69</v>
      </c>
      <c r="ARY3" s="10" t="s">
        <v>67</v>
      </c>
      <c r="ARZ3" s="10" t="s">
        <v>69</v>
      </c>
      <c r="ASA3" s="10" t="s">
        <v>67</v>
      </c>
      <c r="ASB3" s="10" t="s">
        <v>69</v>
      </c>
      <c r="ASC3" s="10" t="s">
        <v>67</v>
      </c>
      <c r="ASD3" s="10" t="s">
        <v>69</v>
      </c>
      <c r="ASE3" s="10" t="s">
        <v>67</v>
      </c>
      <c r="ASF3" s="10" t="s">
        <v>69</v>
      </c>
      <c r="ASG3" s="10" t="s">
        <v>67</v>
      </c>
      <c r="ASH3" s="10" t="s">
        <v>69</v>
      </c>
      <c r="ASI3" s="10" t="s">
        <v>67</v>
      </c>
      <c r="ASJ3" s="10" t="s">
        <v>69</v>
      </c>
      <c r="ASK3" s="10" t="s">
        <v>67</v>
      </c>
      <c r="ASL3" s="10" t="s">
        <v>69</v>
      </c>
      <c r="ASM3" s="10" t="s">
        <v>67</v>
      </c>
      <c r="ASN3" s="10" t="s">
        <v>69</v>
      </c>
      <c r="ASO3" s="10" t="s">
        <v>67</v>
      </c>
      <c r="ASP3" s="10" t="s">
        <v>69</v>
      </c>
      <c r="ASQ3" s="10" t="s">
        <v>67</v>
      </c>
      <c r="ASR3" s="10" t="s">
        <v>69</v>
      </c>
      <c r="ASS3" s="10" t="s">
        <v>67</v>
      </c>
      <c r="AST3" s="10" t="s">
        <v>69</v>
      </c>
      <c r="ASU3" s="10" t="s">
        <v>67</v>
      </c>
      <c r="ASV3" s="10" t="s">
        <v>69</v>
      </c>
      <c r="ASW3" s="10" t="s">
        <v>67</v>
      </c>
      <c r="ASX3" s="10" t="s">
        <v>69</v>
      </c>
      <c r="ASY3" s="10" t="s">
        <v>67</v>
      </c>
      <c r="ASZ3" s="10" t="s">
        <v>69</v>
      </c>
      <c r="ATA3" s="10" t="s">
        <v>67</v>
      </c>
      <c r="ATB3" s="10" t="s">
        <v>69</v>
      </c>
      <c r="ATC3" s="10" t="s">
        <v>67</v>
      </c>
      <c r="ATD3" s="10" t="s">
        <v>69</v>
      </c>
      <c r="ATE3" s="10" t="s">
        <v>67</v>
      </c>
      <c r="ATF3" s="10" t="s">
        <v>69</v>
      </c>
      <c r="ATG3" s="10" t="s">
        <v>67</v>
      </c>
      <c r="ATH3" s="10" t="s">
        <v>69</v>
      </c>
      <c r="ATI3" s="10" t="s">
        <v>67</v>
      </c>
      <c r="ATJ3" s="10" t="s">
        <v>69</v>
      </c>
      <c r="ATK3" s="10" t="s">
        <v>67</v>
      </c>
      <c r="ATL3" s="10" t="s">
        <v>69</v>
      </c>
      <c r="ATM3" s="10" t="s">
        <v>67</v>
      </c>
      <c r="ATN3" s="10" t="s">
        <v>69</v>
      </c>
      <c r="ATO3" s="10" t="s">
        <v>67</v>
      </c>
      <c r="ATP3" s="10" t="s">
        <v>69</v>
      </c>
      <c r="ATQ3" s="10" t="s">
        <v>67</v>
      </c>
      <c r="ATR3" s="10" t="s">
        <v>69</v>
      </c>
      <c r="ATS3" s="10" t="s">
        <v>67</v>
      </c>
      <c r="ATT3" s="10" t="s">
        <v>69</v>
      </c>
      <c r="ATU3" s="10" t="s">
        <v>67</v>
      </c>
      <c r="ATV3" s="10" t="s">
        <v>69</v>
      </c>
      <c r="ATW3" s="10" t="s">
        <v>67</v>
      </c>
      <c r="ATX3" s="10" t="s">
        <v>69</v>
      </c>
      <c r="ATY3" s="10" t="s">
        <v>67</v>
      </c>
      <c r="ATZ3" s="10" t="s">
        <v>69</v>
      </c>
      <c r="AUA3" s="10" t="s">
        <v>67</v>
      </c>
      <c r="AUB3" s="10" t="s">
        <v>69</v>
      </c>
      <c r="AUC3" s="10" t="s">
        <v>67</v>
      </c>
      <c r="AUD3" s="10" t="s">
        <v>69</v>
      </c>
      <c r="AUE3" s="10" t="s">
        <v>67</v>
      </c>
      <c r="AUF3" s="10" t="s">
        <v>69</v>
      </c>
      <c r="AUG3" s="10" t="s">
        <v>67</v>
      </c>
      <c r="AUH3" s="10" t="s">
        <v>69</v>
      </c>
      <c r="AUI3" s="10" t="s">
        <v>67</v>
      </c>
      <c r="AUJ3" s="10" t="s">
        <v>69</v>
      </c>
      <c r="AUK3" s="10" t="s">
        <v>67</v>
      </c>
      <c r="AUL3" s="10" t="s">
        <v>69</v>
      </c>
      <c r="AUM3" s="10" t="s">
        <v>67</v>
      </c>
      <c r="AUN3" s="10" t="s">
        <v>69</v>
      </c>
      <c r="AUO3" s="10" t="s">
        <v>67</v>
      </c>
      <c r="AUP3" s="10" t="s">
        <v>69</v>
      </c>
      <c r="AUQ3" s="10" t="s">
        <v>67</v>
      </c>
      <c r="AUR3" s="10" t="s">
        <v>69</v>
      </c>
      <c r="AUS3" s="10" t="s">
        <v>67</v>
      </c>
      <c r="AUT3" s="10" t="s">
        <v>69</v>
      </c>
      <c r="AUU3" s="10" t="s">
        <v>67</v>
      </c>
      <c r="AUV3" s="10" t="s">
        <v>69</v>
      </c>
      <c r="AUW3" s="10" t="s">
        <v>67</v>
      </c>
      <c r="AUX3" s="10" t="s">
        <v>69</v>
      </c>
      <c r="AUY3" s="10" t="s">
        <v>67</v>
      </c>
      <c r="AUZ3" s="10" t="s">
        <v>69</v>
      </c>
      <c r="AVA3" s="10" t="s">
        <v>67</v>
      </c>
      <c r="AVB3" s="10" t="s">
        <v>69</v>
      </c>
      <c r="AVC3" s="10" t="s">
        <v>67</v>
      </c>
      <c r="AVD3" s="10" t="s">
        <v>69</v>
      </c>
      <c r="AVE3" s="10" t="s">
        <v>67</v>
      </c>
      <c r="AVF3" s="10" t="s">
        <v>69</v>
      </c>
      <c r="AVG3" s="10" t="s">
        <v>67</v>
      </c>
      <c r="AVH3" s="10" t="s">
        <v>69</v>
      </c>
      <c r="AVI3" s="10" t="s">
        <v>67</v>
      </c>
      <c r="AVJ3" s="10" t="s">
        <v>69</v>
      </c>
      <c r="AVK3" s="10" t="s">
        <v>67</v>
      </c>
      <c r="AVL3" s="10" t="s">
        <v>69</v>
      </c>
      <c r="AVM3" s="10" t="s">
        <v>67</v>
      </c>
      <c r="AVN3" s="10" t="s">
        <v>69</v>
      </c>
      <c r="AVO3" s="10" t="s">
        <v>67</v>
      </c>
      <c r="AVP3" s="10" t="s">
        <v>69</v>
      </c>
      <c r="AVQ3" s="10" t="s">
        <v>67</v>
      </c>
      <c r="AVR3" s="10" t="s">
        <v>69</v>
      </c>
      <c r="AVS3" s="10" t="s">
        <v>67</v>
      </c>
      <c r="AVT3" s="10" t="s">
        <v>69</v>
      </c>
      <c r="AVU3" s="10" t="s">
        <v>67</v>
      </c>
      <c r="AVV3" s="10" t="s">
        <v>69</v>
      </c>
      <c r="AVW3" s="10" t="s">
        <v>67</v>
      </c>
      <c r="AVX3" s="10" t="s">
        <v>69</v>
      </c>
      <c r="AVY3" s="10" t="s">
        <v>67</v>
      </c>
      <c r="AVZ3" s="10" t="s">
        <v>69</v>
      </c>
      <c r="AWA3" s="10" t="s">
        <v>67</v>
      </c>
      <c r="AWB3" s="10" t="s">
        <v>69</v>
      </c>
      <c r="AWC3" s="10" t="s">
        <v>67</v>
      </c>
      <c r="AWD3" s="10" t="s">
        <v>69</v>
      </c>
      <c r="AWE3" s="10" t="s">
        <v>67</v>
      </c>
      <c r="AWF3" s="10" t="s">
        <v>69</v>
      </c>
      <c r="AWG3" s="10" t="s">
        <v>67</v>
      </c>
      <c r="AWH3" s="10" t="s">
        <v>69</v>
      </c>
      <c r="AWI3" s="10" t="s">
        <v>67</v>
      </c>
      <c r="AWJ3" s="10" t="s">
        <v>69</v>
      </c>
      <c r="AWK3" s="10" t="s">
        <v>67</v>
      </c>
      <c r="AWL3" s="10" t="s">
        <v>69</v>
      </c>
      <c r="AWM3" s="10" t="s">
        <v>67</v>
      </c>
      <c r="AWN3" s="10" t="s">
        <v>69</v>
      </c>
      <c r="AWO3" s="10" t="s">
        <v>67</v>
      </c>
      <c r="AWP3" s="10" t="s">
        <v>69</v>
      </c>
      <c r="AWQ3" s="10" t="s">
        <v>67</v>
      </c>
      <c r="AWR3" s="10" t="s">
        <v>69</v>
      </c>
      <c r="AWS3" s="10" t="s">
        <v>67</v>
      </c>
      <c r="AWT3" s="10" t="s">
        <v>69</v>
      </c>
      <c r="AWU3" s="10" t="s">
        <v>67</v>
      </c>
      <c r="AWV3" s="10" t="s">
        <v>69</v>
      </c>
      <c r="AWW3" s="10" t="s">
        <v>67</v>
      </c>
      <c r="AWX3" s="10" t="s">
        <v>69</v>
      </c>
      <c r="AWY3" s="10" t="s">
        <v>67</v>
      </c>
      <c r="AWZ3" s="10" t="s">
        <v>69</v>
      </c>
      <c r="AXA3" s="10" t="s">
        <v>67</v>
      </c>
      <c r="AXB3" s="10" t="s">
        <v>69</v>
      </c>
      <c r="AXC3" s="10" t="s">
        <v>67</v>
      </c>
      <c r="AXD3" s="10" t="s">
        <v>69</v>
      </c>
      <c r="AXE3" s="10" t="s">
        <v>67</v>
      </c>
      <c r="AXF3" s="10" t="s">
        <v>69</v>
      </c>
      <c r="AXG3" s="10" t="s">
        <v>67</v>
      </c>
      <c r="AXH3" s="10" t="s">
        <v>69</v>
      </c>
      <c r="AXI3" s="10" t="s">
        <v>67</v>
      </c>
      <c r="AXJ3" s="10" t="s">
        <v>69</v>
      </c>
      <c r="AXK3" s="10" t="s">
        <v>67</v>
      </c>
      <c r="AXL3" s="10" t="s">
        <v>69</v>
      </c>
      <c r="AXM3" s="10" t="s">
        <v>67</v>
      </c>
      <c r="AXN3" s="10" t="s">
        <v>69</v>
      </c>
      <c r="AXO3" s="10" t="s">
        <v>67</v>
      </c>
      <c r="AXP3" s="10" t="s">
        <v>69</v>
      </c>
      <c r="AXQ3" s="10" t="s">
        <v>67</v>
      </c>
      <c r="AXR3" s="10" t="s">
        <v>69</v>
      </c>
      <c r="AXS3" s="10" t="s">
        <v>67</v>
      </c>
      <c r="AXT3" s="10" t="s">
        <v>69</v>
      </c>
      <c r="AXU3" s="10" t="s">
        <v>67</v>
      </c>
      <c r="AXV3" s="10" t="s">
        <v>69</v>
      </c>
      <c r="AXW3" s="10" t="s">
        <v>67</v>
      </c>
      <c r="AXX3" s="10" t="s">
        <v>69</v>
      </c>
      <c r="AXY3" s="10" t="s">
        <v>67</v>
      </c>
      <c r="AXZ3" s="10" t="s">
        <v>69</v>
      </c>
      <c r="AYA3" s="10" t="s">
        <v>67</v>
      </c>
      <c r="AYB3" s="10" t="s">
        <v>69</v>
      </c>
      <c r="AYC3" s="10" t="s">
        <v>67</v>
      </c>
      <c r="AYD3" s="10" t="s">
        <v>69</v>
      </c>
      <c r="AYE3" s="10" t="s">
        <v>67</v>
      </c>
      <c r="AYF3" s="10" t="s">
        <v>69</v>
      </c>
      <c r="AYG3" s="10" t="s">
        <v>67</v>
      </c>
      <c r="AYH3" s="10" t="s">
        <v>69</v>
      </c>
      <c r="AYI3" s="10" t="s">
        <v>67</v>
      </c>
      <c r="AYJ3" s="10" t="s">
        <v>69</v>
      </c>
      <c r="AYK3" s="10" t="s">
        <v>67</v>
      </c>
      <c r="AYL3" s="10" t="s">
        <v>69</v>
      </c>
      <c r="AYM3" s="10" t="s">
        <v>67</v>
      </c>
      <c r="AYN3" s="10" t="s">
        <v>69</v>
      </c>
      <c r="AYO3" s="10" t="s">
        <v>67</v>
      </c>
      <c r="AYP3" s="10" t="s">
        <v>69</v>
      </c>
      <c r="AYQ3" s="10" t="s">
        <v>67</v>
      </c>
      <c r="AYR3" s="10" t="s">
        <v>69</v>
      </c>
      <c r="AYS3" s="10" t="s">
        <v>67</v>
      </c>
      <c r="AYT3" s="10" t="s">
        <v>69</v>
      </c>
      <c r="AYU3" s="10" t="s">
        <v>67</v>
      </c>
      <c r="AYV3" s="10" t="s">
        <v>69</v>
      </c>
      <c r="AYW3" s="10" t="s">
        <v>67</v>
      </c>
      <c r="AYX3" s="10" t="s">
        <v>69</v>
      </c>
      <c r="AYY3" s="10" t="s">
        <v>67</v>
      </c>
      <c r="AYZ3" s="10" t="s">
        <v>69</v>
      </c>
      <c r="AZA3" s="10" t="s">
        <v>67</v>
      </c>
      <c r="AZB3" s="10" t="s">
        <v>69</v>
      </c>
      <c r="AZC3" s="10" t="s">
        <v>67</v>
      </c>
      <c r="AZD3" s="10" t="s">
        <v>69</v>
      </c>
      <c r="AZE3" s="10" t="s">
        <v>67</v>
      </c>
      <c r="AZF3" s="10" t="s">
        <v>69</v>
      </c>
      <c r="AZG3" s="10" t="s">
        <v>67</v>
      </c>
      <c r="AZH3" s="10" t="s">
        <v>69</v>
      </c>
      <c r="AZI3" s="10" t="s">
        <v>67</v>
      </c>
      <c r="AZJ3" s="10" t="s">
        <v>69</v>
      </c>
      <c r="AZK3" s="10" t="s">
        <v>67</v>
      </c>
      <c r="AZL3" s="10" t="s">
        <v>69</v>
      </c>
      <c r="AZM3" s="10" t="s">
        <v>67</v>
      </c>
      <c r="AZN3" s="10" t="s">
        <v>69</v>
      </c>
      <c r="AZO3" s="10" t="s">
        <v>67</v>
      </c>
      <c r="AZP3" s="10" t="s">
        <v>69</v>
      </c>
      <c r="AZQ3" s="10" t="s">
        <v>67</v>
      </c>
      <c r="AZR3" s="10" t="s">
        <v>69</v>
      </c>
      <c r="AZS3" s="10" t="s">
        <v>67</v>
      </c>
      <c r="AZT3" s="10" t="s">
        <v>69</v>
      </c>
      <c r="AZU3" s="10" t="s">
        <v>67</v>
      </c>
      <c r="AZV3" s="10" t="s">
        <v>69</v>
      </c>
      <c r="AZW3" s="10" t="s">
        <v>67</v>
      </c>
      <c r="AZX3" s="10" t="s">
        <v>69</v>
      </c>
      <c r="AZY3" s="10" t="s">
        <v>67</v>
      </c>
      <c r="AZZ3" s="10" t="s">
        <v>69</v>
      </c>
      <c r="BAA3" s="10" t="s">
        <v>67</v>
      </c>
      <c r="BAB3" s="10" t="s">
        <v>69</v>
      </c>
      <c r="BAC3" s="10" t="s">
        <v>67</v>
      </c>
      <c r="BAD3" s="10" t="s">
        <v>69</v>
      </c>
      <c r="BAE3" s="10" t="s">
        <v>67</v>
      </c>
      <c r="BAF3" s="10" t="s">
        <v>69</v>
      </c>
      <c r="BAG3" s="10" t="s">
        <v>67</v>
      </c>
      <c r="BAH3" s="10" t="s">
        <v>69</v>
      </c>
      <c r="BAI3" s="10" t="s">
        <v>67</v>
      </c>
      <c r="BAJ3" s="10" t="s">
        <v>69</v>
      </c>
      <c r="BAK3" s="10" t="s">
        <v>67</v>
      </c>
      <c r="BAL3" s="10" t="s">
        <v>69</v>
      </c>
      <c r="BAM3" s="10" t="s">
        <v>67</v>
      </c>
      <c r="BAN3" s="10" t="s">
        <v>69</v>
      </c>
      <c r="BAO3" s="10" t="s">
        <v>67</v>
      </c>
      <c r="BAP3" s="10" t="s">
        <v>69</v>
      </c>
      <c r="BAQ3" s="10" t="s">
        <v>67</v>
      </c>
      <c r="BAR3" s="10" t="s">
        <v>69</v>
      </c>
      <c r="BAS3" s="10" t="s">
        <v>67</v>
      </c>
      <c r="BAT3" s="10" t="s">
        <v>69</v>
      </c>
      <c r="BAU3" s="10" t="s">
        <v>67</v>
      </c>
      <c r="BAV3" s="10" t="s">
        <v>69</v>
      </c>
      <c r="BAW3" s="10" t="s">
        <v>67</v>
      </c>
      <c r="BAX3" s="10" t="s">
        <v>69</v>
      </c>
      <c r="BAY3" s="10" t="s">
        <v>67</v>
      </c>
      <c r="BAZ3" s="10" t="s">
        <v>69</v>
      </c>
      <c r="BBA3" s="10" t="s">
        <v>67</v>
      </c>
      <c r="BBB3" s="10" t="s">
        <v>69</v>
      </c>
      <c r="BBC3" s="10" t="s">
        <v>67</v>
      </c>
      <c r="BBD3" s="10" t="s">
        <v>69</v>
      </c>
      <c r="BBE3" s="10" t="s">
        <v>67</v>
      </c>
      <c r="BBF3" s="10" t="s">
        <v>69</v>
      </c>
      <c r="BBG3" s="10" t="s">
        <v>67</v>
      </c>
      <c r="BBH3" s="10" t="s">
        <v>69</v>
      </c>
      <c r="BBI3" s="10" t="s">
        <v>67</v>
      </c>
      <c r="BBJ3" s="10" t="s">
        <v>69</v>
      </c>
      <c r="BBK3" s="10" t="s">
        <v>67</v>
      </c>
      <c r="BBL3" s="10" t="s">
        <v>69</v>
      </c>
      <c r="BBM3" s="10" t="s">
        <v>67</v>
      </c>
      <c r="BBN3" s="10" t="s">
        <v>69</v>
      </c>
      <c r="BBO3" s="10" t="s">
        <v>67</v>
      </c>
      <c r="BBP3" s="10" t="s">
        <v>69</v>
      </c>
      <c r="BBQ3" s="10" t="s">
        <v>67</v>
      </c>
      <c r="BBR3" s="10" t="s">
        <v>69</v>
      </c>
      <c r="BBS3" s="10" t="s">
        <v>67</v>
      </c>
      <c r="BBT3" s="10" t="s">
        <v>69</v>
      </c>
      <c r="BBU3" s="10" t="s">
        <v>67</v>
      </c>
      <c r="BBV3" s="10" t="s">
        <v>69</v>
      </c>
      <c r="BBW3" s="10" t="s">
        <v>67</v>
      </c>
      <c r="BBX3" s="10" t="s">
        <v>69</v>
      </c>
      <c r="BBY3" s="10" t="s">
        <v>67</v>
      </c>
      <c r="BBZ3" s="10" t="s">
        <v>69</v>
      </c>
      <c r="BCA3" s="10" t="s">
        <v>67</v>
      </c>
      <c r="BCB3" s="10" t="s">
        <v>69</v>
      </c>
      <c r="BCC3" s="10" t="s">
        <v>67</v>
      </c>
      <c r="BCD3" s="10" t="s">
        <v>69</v>
      </c>
      <c r="BCE3" s="10" t="s">
        <v>67</v>
      </c>
      <c r="BCF3" s="10" t="s">
        <v>69</v>
      </c>
      <c r="BCG3" s="10" t="s">
        <v>67</v>
      </c>
      <c r="BCH3" s="10" t="s">
        <v>69</v>
      </c>
      <c r="BCI3" s="10" t="s">
        <v>67</v>
      </c>
      <c r="BCJ3" s="10" t="s">
        <v>69</v>
      </c>
      <c r="BCK3" s="10" t="s">
        <v>67</v>
      </c>
      <c r="BCL3" s="10" t="s">
        <v>69</v>
      </c>
      <c r="BCM3" s="10" t="s">
        <v>67</v>
      </c>
      <c r="BCN3" s="10" t="s">
        <v>69</v>
      </c>
      <c r="BCO3" s="10" t="s">
        <v>67</v>
      </c>
      <c r="BCP3" s="10" t="s">
        <v>69</v>
      </c>
      <c r="BCQ3" s="10" t="s">
        <v>67</v>
      </c>
      <c r="BCR3" s="10" t="s">
        <v>69</v>
      </c>
      <c r="BCS3" s="10" t="s">
        <v>67</v>
      </c>
      <c r="BCT3" s="10" t="s">
        <v>69</v>
      </c>
      <c r="BCU3" s="10" t="s">
        <v>67</v>
      </c>
      <c r="BCV3" s="10" t="s">
        <v>69</v>
      </c>
      <c r="BCW3" s="10" t="s">
        <v>67</v>
      </c>
      <c r="BCX3" s="10" t="s">
        <v>69</v>
      </c>
      <c r="BCY3" s="10" t="s">
        <v>67</v>
      </c>
      <c r="BCZ3" s="10" t="s">
        <v>69</v>
      </c>
      <c r="BDA3" s="10" t="s">
        <v>67</v>
      </c>
      <c r="BDB3" s="10" t="s">
        <v>69</v>
      </c>
      <c r="BDC3" s="10" t="s">
        <v>67</v>
      </c>
      <c r="BDD3" s="10" t="s">
        <v>69</v>
      </c>
      <c r="BDE3" s="10" t="s">
        <v>67</v>
      </c>
      <c r="BDF3" s="10" t="s">
        <v>69</v>
      </c>
      <c r="BDG3" s="10" t="s">
        <v>67</v>
      </c>
      <c r="BDH3" s="10" t="s">
        <v>69</v>
      </c>
      <c r="BDI3" s="10" t="s">
        <v>67</v>
      </c>
      <c r="BDJ3" s="10" t="s">
        <v>69</v>
      </c>
      <c r="BDK3" s="10" t="s">
        <v>67</v>
      </c>
      <c r="BDL3" s="10" t="s">
        <v>69</v>
      </c>
      <c r="BDM3" s="10" t="s">
        <v>67</v>
      </c>
      <c r="BDN3" s="10" t="s">
        <v>69</v>
      </c>
      <c r="BDO3" s="10" t="s">
        <v>67</v>
      </c>
      <c r="BDP3" s="10" t="s">
        <v>69</v>
      </c>
      <c r="BDQ3" s="10" t="s">
        <v>67</v>
      </c>
      <c r="BDR3" s="10" t="s">
        <v>69</v>
      </c>
      <c r="BDS3" s="10" t="s">
        <v>67</v>
      </c>
      <c r="BDT3" s="10" t="s">
        <v>69</v>
      </c>
      <c r="BDU3" s="10" t="s">
        <v>67</v>
      </c>
      <c r="BDV3" s="10" t="s">
        <v>69</v>
      </c>
      <c r="BDW3" s="10" t="s">
        <v>67</v>
      </c>
      <c r="BDX3" s="10" t="s">
        <v>69</v>
      </c>
      <c r="BDY3" s="10" t="s">
        <v>67</v>
      </c>
      <c r="BDZ3" s="10" t="s">
        <v>69</v>
      </c>
      <c r="BEA3" s="10" t="s">
        <v>67</v>
      </c>
      <c r="BEB3" s="10" t="s">
        <v>69</v>
      </c>
      <c r="BEC3" s="10" t="s">
        <v>67</v>
      </c>
      <c r="BED3" s="10" t="s">
        <v>69</v>
      </c>
      <c r="BEE3" s="10" t="s">
        <v>67</v>
      </c>
      <c r="BEF3" s="10" t="s">
        <v>69</v>
      </c>
      <c r="BEG3" s="10" t="s">
        <v>67</v>
      </c>
      <c r="BEH3" s="10" t="s">
        <v>69</v>
      </c>
      <c r="BEI3" s="10" t="s">
        <v>67</v>
      </c>
      <c r="BEJ3" s="10" t="s">
        <v>69</v>
      </c>
      <c r="BEK3" s="10" t="s">
        <v>67</v>
      </c>
      <c r="BEL3" s="10" t="s">
        <v>69</v>
      </c>
      <c r="BEM3" s="10" t="s">
        <v>67</v>
      </c>
      <c r="BEN3" s="10" t="s">
        <v>69</v>
      </c>
      <c r="BEO3" s="10" t="s">
        <v>67</v>
      </c>
      <c r="BEP3" s="10" t="s">
        <v>69</v>
      </c>
      <c r="BEQ3" s="10" t="s">
        <v>67</v>
      </c>
      <c r="BER3" s="10" t="s">
        <v>69</v>
      </c>
      <c r="BES3" s="10" t="s">
        <v>67</v>
      </c>
      <c r="BET3" s="10" t="s">
        <v>69</v>
      </c>
      <c r="BEU3" s="10" t="s">
        <v>67</v>
      </c>
      <c r="BEV3" s="10" t="s">
        <v>69</v>
      </c>
      <c r="BEW3" s="10" t="s">
        <v>67</v>
      </c>
      <c r="BEX3" s="10" t="s">
        <v>69</v>
      </c>
      <c r="BEY3" s="10" t="s">
        <v>67</v>
      </c>
      <c r="BEZ3" s="10" t="s">
        <v>69</v>
      </c>
      <c r="BFA3" s="10" t="s">
        <v>67</v>
      </c>
      <c r="BFB3" s="10" t="s">
        <v>69</v>
      </c>
      <c r="BFC3" s="10" t="s">
        <v>67</v>
      </c>
      <c r="BFD3" s="10" t="s">
        <v>69</v>
      </c>
      <c r="BFE3" s="10" t="s">
        <v>67</v>
      </c>
      <c r="BFF3" s="10" t="s">
        <v>69</v>
      </c>
      <c r="BFG3" s="10" t="s">
        <v>67</v>
      </c>
      <c r="BFH3" s="10" t="s">
        <v>69</v>
      </c>
      <c r="BFI3" s="10" t="s">
        <v>67</v>
      </c>
      <c r="BFJ3" s="10" t="s">
        <v>69</v>
      </c>
      <c r="BFK3" s="10" t="s">
        <v>67</v>
      </c>
      <c r="BFL3" s="10" t="s">
        <v>69</v>
      </c>
      <c r="BFM3" s="10" t="s">
        <v>67</v>
      </c>
      <c r="BFN3" s="10" t="s">
        <v>69</v>
      </c>
      <c r="BFO3" s="10" t="s">
        <v>67</v>
      </c>
      <c r="BFP3" s="10" t="s">
        <v>69</v>
      </c>
      <c r="BFQ3" s="10" t="s">
        <v>67</v>
      </c>
      <c r="BFR3" s="10" t="s">
        <v>69</v>
      </c>
      <c r="BFS3" s="10" t="s">
        <v>67</v>
      </c>
      <c r="BFT3" s="10" t="s">
        <v>69</v>
      </c>
      <c r="BFU3" s="10" t="s">
        <v>67</v>
      </c>
      <c r="BFV3" s="10" t="s">
        <v>69</v>
      </c>
      <c r="BFW3" s="10" t="s">
        <v>67</v>
      </c>
      <c r="BFX3" s="10" t="s">
        <v>69</v>
      </c>
      <c r="BFY3" s="10" t="s">
        <v>67</v>
      </c>
      <c r="BFZ3" s="10" t="s">
        <v>69</v>
      </c>
      <c r="BGA3" s="10" t="s">
        <v>67</v>
      </c>
      <c r="BGB3" s="10" t="s">
        <v>69</v>
      </c>
      <c r="BGC3" s="10" t="s">
        <v>67</v>
      </c>
      <c r="BGD3" s="10" t="s">
        <v>69</v>
      </c>
      <c r="BGE3" s="10" t="s">
        <v>67</v>
      </c>
      <c r="BGF3" s="10" t="s">
        <v>69</v>
      </c>
      <c r="BGG3" s="10" t="s">
        <v>67</v>
      </c>
      <c r="BGH3" s="10" t="s">
        <v>69</v>
      </c>
      <c r="BGI3" s="10" t="s">
        <v>67</v>
      </c>
      <c r="BGJ3" s="10" t="s">
        <v>69</v>
      </c>
      <c r="BGK3" s="10" t="s">
        <v>67</v>
      </c>
      <c r="BGL3" s="10" t="s">
        <v>69</v>
      </c>
      <c r="BGM3" s="10" t="s">
        <v>67</v>
      </c>
      <c r="BGN3" s="10" t="s">
        <v>69</v>
      </c>
      <c r="BGO3" s="10" t="s">
        <v>67</v>
      </c>
      <c r="BGP3" s="10" t="s">
        <v>69</v>
      </c>
      <c r="BGQ3" s="10" t="s">
        <v>67</v>
      </c>
      <c r="BGR3" s="10" t="s">
        <v>69</v>
      </c>
      <c r="BGS3" s="10" t="s">
        <v>67</v>
      </c>
      <c r="BGT3" s="10" t="s">
        <v>69</v>
      </c>
      <c r="BGU3" s="10" t="s">
        <v>67</v>
      </c>
      <c r="BGV3" s="10" t="s">
        <v>69</v>
      </c>
      <c r="BGW3" s="10" t="s">
        <v>67</v>
      </c>
      <c r="BGX3" s="10" t="s">
        <v>69</v>
      </c>
      <c r="BGY3" s="10" t="s">
        <v>67</v>
      </c>
      <c r="BGZ3" s="10" t="s">
        <v>69</v>
      </c>
      <c r="BHA3" s="10" t="s">
        <v>67</v>
      </c>
      <c r="BHB3" s="10" t="s">
        <v>69</v>
      </c>
      <c r="BHC3" s="10" t="s">
        <v>67</v>
      </c>
      <c r="BHD3" s="10" t="s">
        <v>69</v>
      </c>
      <c r="BHE3" s="10" t="s">
        <v>67</v>
      </c>
      <c r="BHF3" s="10" t="s">
        <v>69</v>
      </c>
      <c r="BHG3" s="10" t="s">
        <v>67</v>
      </c>
      <c r="BHH3" s="10" t="s">
        <v>69</v>
      </c>
      <c r="BHI3" s="10" t="s">
        <v>67</v>
      </c>
      <c r="BHJ3" s="10" t="s">
        <v>69</v>
      </c>
      <c r="BHK3" s="10" t="s">
        <v>67</v>
      </c>
      <c r="BHL3" s="10" t="s">
        <v>69</v>
      </c>
      <c r="BHM3" s="10" t="s">
        <v>67</v>
      </c>
      <c r="BHN3" s="10" t="s">
        <v>69</v>
      </c>
      <c r="BHO3" s="10" t="s">
        <v>67</v>
      </c>
      <c r="BHP3" s="10" t="s">
        <v>69</v>
      </c>
      <c r="BHQ3" s="10" t="s">
        <v>67</v>
      </c>
      <c r="BHR3" s="10" t="s">
        <v>69</v>
      </c>
      <c r="BHS3" s="10" t="s">
        <v>67</v>
      </c>
      <c r="BHT3" s="10" t="s">
        <v>69</v>
      </c>
      <c r="BHU3" s="10" t="s">
        <v>67</v>
      </c>
      <c r="BHV3" s="10" t="s">
        <v>69</v>
      </c>
      <c r="BHW3" s="10" t="s">
        <v>67</v>
      </c>
      <c r="BHX3" s="10" t="s">
        <v>69</v>
      </c>
      <c r="BHY3" s="10" t="s">
        <v>67</v>
      </c>
      <c r="BHZ3" s="10" t="s">
        <v>69</v>
      </c>
      <c r="BIA3" s="10" t="s">
        <v>67</v>
      </c>
      <c r="BIB3" s="10" t="s">
        <v>69</v>
      </c>
      <c r="BIC3" s="10" t="s">
        <v>67</v>
      </c>
      <c r="BID3" s="10" t="s">
        <v>69</v>
      </c>
      <c r="BIE3" s="10" t="s">
        <v>67</v>
      </c>
      <c r="BIF3" s="10" t="s">
        <v>69</v>
      </c>
      <c r="BIG3" s="10" t="s">
        <v>67</v>
      </c>
      <c r="BIH3" s="10" t="s">
        <v>69</v>
      </c>
      <c r="BII3" s="10" t="s">
        <v>67</v>
      </c>
      <c r="BIJ3" s="10" t="s">
        <v>69</v>
      </c>
      <c r="BIK3" s="10" t="s">
        <v>67</v>
      </c>
      <c r="BIL3" s="10" t="s">
        <v>69</v>
      </c>
      <c r="BIM3" s="10" t="s">
        <v>67</v>
      </c>
      <c r="BIN3" s="10" t="s">
        <v>69</v>
      </c>
      <c r="BIO3" s="10" t="s">
        <v>67</v>
      </c>
      <c r="BIP3" s="10" t="s">
        <v>69</v>
      </c>
      <c r="BIQ3" s="10" t="s">
        <v>67</v>
      </c>
      <c r="BIR3" s="10" t="s">
        <v>69</v>
      </c>
      <c r="BIS3" s="10" t="s">
        <v>67</v>
      </c>
      <c r="BIT3" s="10" t="s">
        <v>69</v>
      </c>
      <c r="BIU3" s="10" t="s">
        <v>67</v>
      </c>
      <c r="BIV3" s="10" t="s">
        <v>69</v>
      </c>
      <c r="BIW3" s="10" t="s">
        <v>67</v>
      </c>
      <c r="BIX3" s="10" t="s">
        <v>69</v>
      </c>
      <c r="BIY3" s="10" t="s">
        <v>67</v>
      </c>
      <c r="BIZ3" s="10" t="s">
        <v>69</v>
      </c>
      <c r="BJA3" s="10" t="s">
        <v>67</v>
      </c>
      <c r="BJB3" s="10" t="s">
        <v>69</v>
      </c>
      <c r="BJC3" s="10" t="s">
        <v>67</v>
      </c>
      <c r="BJD3" s="10" t="s">
        <v>69</v>
      </c>
      <c r="BJE3" s="10" t="s">
        <v>67</v>
      </c>
      <c r="BJF3" s="10" t="s">
        <v>69</v>
      </c>
      <c r="BJG3" s="10" t="s">
        <v>67</v>
      </c>
      <c r="BJH3" s="10" t="s">
        <v>69</v>
      </c>
      <c r="BJI3" s="10" t="s">
        <v>67</v>
      </c>
      <c r="BJJ3" s="10" t="s">
        <v>69</v>
      </c>
      <c r="BJK3" s="10" t="s">
        <v>67</v>
      </c>
      <c r="BJL3" s="10" t="s">
        <v>69</v>
      </c>
      <c r="BJM3" s="10" t="s">
        <v>67</v>
      </c>
      <c r="BJN3" s="10" t="s">
        <v>69</v>
      </c>
      <c r="BJO3" s="10" t="s">
        <v>67</v>
      </c>
      <c r="BJP3" s="10" t="s">
        <v>69</v>
      </c>
      <c r="BJQ3" s="10" t="s">
        <v>67</v>
      </c>
      <c r="BJR3" s="10" t="s">
        <v>69</v>
      </c>
      <c r="BJS3" s="10" t="s">
        <v>67</v>
      </c>
      <c r="BJT3" s="10" t="s">
        <v>69</v>
      </c>
      <c r="BJU3" s="10" t="s">
        <v>67</v>
      </c>
      <c r="BJV3" s="10" t="s">
        <v>69</v>
      </c>
      <c r="BJW3" s="10" t="s">
        <v>67</v>
      </c>
      <c r="BJX3" s="10" t="s">
        <v>69</v>
      </c>
      <c r="BJY3" s="10" t="s">
        <v>67</v>
      </c>
      <c r="BJZ3" s="10" t="s">
        <v>69</v>
      </c>
      <c r="BKA3" s="10" t="s">
        <v>67</v>
      </c>
      <c r="BKB3" s="10" t="s">
        <v>69</v>
      </c>
      <c r="BKC3" s="10" t="s">
        <v>67</v>
      </c>
      <c r="BKD3" s="10" t="s">
        <v>69</v>
      </c>
      <c r="BKE3" s="10" t="s">
        <v>67</v>
      </c>
      <c r="BKF3" s="10" t="s">
        <v>69</v>
      </c>
      <c r="BKG3" s="10" t="s">
        <v>67</v>
      </c>
      <c r="BKH3" s="10" t="s">
        <v>69</v>
      </c>
      <c r="BKI3" s="10" t="s">
        <v>67</v>
      </c>
      <c r="BKJ3" s="10" t="s">
        <v>69</v>
      </c>
      <c r="BKK3" s="10" t="s">
        <v>67</v>
      </c>
      <c r="BKL3" s="10" t="s">
        <v>69</v>
      </c>
      <c r="BKM3" s="10" t="s">
        <v>67</v>
      </c>
      <c r="BKN3" s="10" t="s">
        <v>69</v>
      </c>
      <c r="BKO3" s="10" t="s">
        <v>67</v>
      </c>
      <c r="BKP3" s="10" t="s">
        <v>69</v>
      </c>
      <c r="BKQ3" s="10" t="s">
        <v>67</v>
      </c>
      <c r="BKR3" s="10" t="s">
        <v>69</v>
      </c>
      <c r="BKS3" s="10" t="s">
        <v>67</v>
      </c>
      <c r="BKT3" s="10" t="s">
        <v>69</v>
      </c>
      <c r="BKU3" s="10" t="s">
        <v>67</v>
      </c>
      <c r="BKV3" s="10" t="s">
        <v>69</v>
      </c>
      <c r="BKW3" s="10" t="s">
        <v>67</v>
      </c>
      <c r="BKX3" s="10" t="s">
        <v>69</v>
      </c>
      <c r="BKY3" s="10" t="s">
        <v>67</v>
      </c>
      <c r="BKZ3" s="10" t="s">
        <v>69</v>
      </c>
      <c r="BLA3" s="10" t="s">
        <v>67</v>
      </c>
      <c r="BLB3" s="10" t="s">
        <v>69</v>
      </c>
      <c r="BLC3" s="10" t="s">
        <v>67</v>
      </c>
      <c r="BLD3" s="10" t="s">
        <v>69</v>
      </c>
      <c r="BLE3" s="10" t="s">
        <v>67</v>
      </c>
      <c r="BLF3" s="10" t="s">
        <v>69</v>
      </c>
      <c r="BLG3" s="10" t="s">
        <v>67</v>
      </c>
      <c r="BLH3" s="10" t="s">
        <v>69</v>
      </c>
      <c r="BLI3" s="10" t="s">
        <v>67</v>
      </c>
      <c r="BLJ3" s="10" t="s">
        <v>69</v>
      </c>
      <c r="BLK3" s="10" t="s">
        <v>67</v>
      </c>
      <c r="BLL3" s="10" t="s">
        <v>69</v>
      </c>
      <c r="BLM3" s="10" t="s">
        <v>67</v>
      </c>
      <c r="BLN3" s="10" t="s">
        <v>69</v>
      </c>
      <c r="BLO3" s="10" t="s">
        <v>67</v>
      </c>
      <c r="BLP3" s="10" t="s">
        <v>69</v>
      </c>
      <c r="BLQ3" s="10" t="s">
        <v>67</v>
      </c>
      <c r="BLR3" s="10" t="s">
        <v>69</v>
      </c>
      <c r="BLS3" s="10" t="s">
        <v>67</v>
      </c>
      <c r="BLT3" s="10" t="s">
        <v>69</v>
      </c>
      <c r="BLU3" s="10" t="s">
        <v>67</v>
      </c>
      <c r="BLV3" s="10" t="s">
        <v>69</v>
      </c>
      <c r="BLW3" s="10" t="s">
        <v>67</v>
      </c>
      <c r="BLX3" s="10" t="s">
        <v>69</v>
      </c>
      <c r="BLY3" s="10" t="s">
        <v>67</v>
      </c>
      <c r="BLZ3" s="10" t="s">
        <v>69</v>
      </c>
      <c r="BMA3" s="10" t="s">
        <v>67</v>
      </c>
      <c r="BMB3" s="10" t="s">
        <v>69</v>
      </c>
      <c r="BMC3" s="10" t="s">
        <v>67</v>
      </c>
      <c r="BMD3" s="10" t="s">
        <v>69</v>
      </c>
      <c r="BME3" s="10" t="s">
        <v>67</v>
      </c>
      <c r="BMF3" s="10" t="s">
        <v>69</v>
      </c>
      <c r="BMG3" s="10" t="s">
        <v>67</v>
      </c>
      <c r="BMH3" s="10" t="s">
        <v>69</v>
      </c>
      <c r="BMI3" s="10" t="s">
        <v>67</v>
      </c>
      <c r="BMJ3" s="10" t="s">
        <v>69</v>
      </c>
      <c r="BMK3" s="10" t="s">
        <v>67</v>
      </c>
      <c r="BML3" s="10" t="s">
        <v>69</v>
      </c>
      <c r="BMM3" s="10" t="s">
        <v>67</v>
      </c>
      <c r="BMN3" s="10" t="s">
        <v>69</v>
      </c>
      <c r="BMO3" s="10" t="s">
        <v>67</v>
      </c>
      <c r="BMP3" s="10" t="s">
        <v>69</v>
      </c>
      <c r="BMQ3" s="10" t="s">
        <v>67</v>
      </c>
      <c r="BMR3" s="10" t="s">
        <v>69</v>
      </c>
      <c r="BMS3" s="10" t="s">
        <v>67</v>
      </c>
      <c r="BMT3" s="10" t="s">
        <v>69</v>
      </c>
      <c r="BMU3" s="10" t="s">
        <v>67</v>
      </c>
      <c r="BMV3" s="10" t="s">
        <v>69</v>
      </c>
      <c r="BMW3" s="10" t="s">
        <v>67</v>
      </c>
      <c r="BMX3" s="10" t="s">
        <v>69</v>
      </c>
      <c r="BMY3" s="10" t="s">
        <v>67</v>
      </c>
      <c r="BMZ3" s="10" t="s">
        <v>69</v>
      </c>
      <c r="BNA3" s="10" t="s">
        <v>67</v>
      </c>
      <c r="BNB3" s="10" t="s">
        <v>69</v>
      </c>
      <c r="BNC3" s="10" t="s">
        <v>67</v>
      </c>
      <c r="BND3" s="10" t="s">
        <v>69</v>
      </c>
      <c r="BNE3" s="10" t="s">
        <v>67</v>
      </c>
      <c r="BNF3" s="10" t="s">
        <v>69</v>
      </c>
      <c r="BNG3" s="10" t="s">
        <v>67</v>
      </c>
      <c r="BNH3" s="10" t="s">
        <v>69</v>
      </c>
      <c r="BNI3" s="10" t="s">
        <v>67</v>
      </c>
      <c r="BNJ3" s="10" t="s">
        <v>69</v>
      </c>
      <c r="BNK3" s="10" t="s">
        <v>67</v>
      </c>
      <c r="BNL3" s="10" t="s">
        <v>69</v>
      </c>
      <c r="BNM3" s="10" t="s">
        <v>67</v>
      </c>
      <c r="BNN3" s="10" t="s">
        <v>69</v>
      </c>
      <c r="BNO3" s="10" t="s">
        <v>67</v>
      </c>
      <c r="BNP3" s="10" t="s">
        <v>69</v>
      </c>
      <c r="BNQ3" s="10" t="s">
        <v>67</v>
      </c>
      <c r="BNR3" s="10" t="s">
        <v>69</v>
      </c>
      <c r="BNS3" s="10" t="s">
        <v>67</v>
      </c>
      <c r="BNT3" s="10" t="s">
        <v>69</v>
      </c>
      <c r="BNU3" s="10" t="s">
        <v>67</v>
      </c>
      <c r="BNV3" s="10" t="s">
        <v>69</v>
      </c>
      <c r="BNW3" s="10" t="s">
        <v>67</v>
      </c>
      <c r="BNX3" s="10" t="s">
        <v>69</v>
      </c>
      <c r="BNY3" s="10" t="s">
        <v>67</v>
      </c>
      <c r="BNZ3" s="10" t="s">
        <v>69</v>
      </c>
      <c r="BOA3" s="10" t="s">
        <v>67</v>
      </c>
      <c r="BOB3" s="10" t="s">
        <v>69</v>
      </c>
      <c r="BOC3" s="10" t="s">
        <v>67</v>
      </c>
      <c r="BOD3" s="10" t="s">
        <v>69</v>
      </c>
      <c r="BOE3" s="10" t="s">
        <v>67</v>
      </c>
      <c r="BOF3" s="10" t="s">
        <v>69</v>
      </c>
      <c r="BOG3" s="10" t="s">
        <v>67</v>
      </c>
      <c r="BOH3" s="10" t="s">
        <v>69</v>
      </c>
      <c r="BOI3" s="10" t="s">
        <v>67</v>
      </c>
      <c r="BOJ3" s="10" t="s">
        <v>69</v>
      </c>
      <c r="BOK3" s="10" t="s">
        <v>67</v>
      </c>
      <c r="BOL3" s="10" t="s">
        <v>69</v>
      </c>
      <c r="BOM3" s="10" t="s">
        <v>67</v>
      </c>
      <c r="BON3" s="10" t="s">
        <v>69</v>
      </c>
      <c r="BOO3" s="10" t="s">
        <v>67</v>
      </c>
      <c r="BOP3" s="10" t="s">
        <v>69</v>
      </c>
      <c r="BOQ3" s="10" t="s">
        <v>67</v>
      </c>
      <c r="BOR3" s="10" t="s">
        <v>69</v>
      </c>
      <c r="BOS3" s="10" t="s">
        <v>67</v>
      </c>
      <c r="BOT3" s="10" t="s">
        <v>69</v>
      </c>
      <c r="BOU3" s="10" t="s">
        <v>67</v>
      </c>
      <c r="BOV3" s="10" t="s">
        <v>69</v>
      </c>
      <c r="BOW3" s="10" t="s">
        <v>67</v>
      </c>
      <c r="BOX3" s="10" t="s">
        <v>69</v>
      </c>
      <c r="BOY3" s="10" t="s">
        <v>67</v>
      </c>
      <c r="BOZ3" s="10" t="s">
        <v>69</v>
      </c>
      <c r="BPA3" s="10" t="s">
        <v>67</v>
      </c>
      <c r="BPB3" s="10" t="s">
        <v>69</v>
      </c>
      <c r="BPC3" s="10" t="s">
        <v>67</v>
      </c>
      <c r="BPD3" s="10" t="s">
        <v>69</v>
      </c>
      <c r="BPE3" s="10" t="s">
        <v>67</v>
      </c>
      <c r="BPF3" s="10" t="s">
        <v>69</v>
      </c>
      <c r="BPG3" s="10" t="s">
        <v>67</v>
      </c>
      <c r="BPH3" s="10" t="s">
        <v>69</v>
      </c>
      <c r="BPI3" s="10" t="s">
        <v>67</v>
      </c>
      <c r="BPJ3" s="10" t="s">
        <v>69</v>
      </c>
      <c r="BPK3" s="10" t="s">
        <v>67</v>
      </c>
      <c r="BPL3" s="10" t="s">
        <v>69</v>
      </c>
      <c r="BPM3" s="10" t="s">
        <v>67</v>
      </c>
      <c r="BPN3" s="10" t="s">
        <v>69</v>
      </c>
      <c r="BPO3" s="10" t="s">
        <v>67</v>
      </c>
      <c r="BPP3" s="10" t="s">
        <v>69</v>
      </c>
      <c r="BPQ3" s="10" t="s">
        <v>67</v>
      </c>
      <c r="BPR3" s="10" t="s">
        <v>69</v>
      </c>
      <c r="BPS3" s="10" t="s">
        <v>67</v>
      </c>
      <c r="BPT3" s="10" t="s">
        <v>69</v>
      </c>
      <c r="BPU3" s="10" t="s">
        <v>67</v>
      </c>
      <c r="BPV3" s="10" t="s">
        <v>69</v>
      </c>
      <c r="BPW3" s="10" t="s">
        <v>67</v>
      </c>
      <c r="BPX3" s="10" t="s">
        <v>69</v>
      </c>
      <c r="BPY3" s="10" t="s">
        <v>67</v>
      </c>
      <c r="BPZ3" s="10" t="s">
        <v>69</v>
      </c>
      <c r="BQA3" s="10" t="s">
        <v>67</v>
      </c>
      <c r="BQB3" s="10" t="s">
        <v>69</v>
      </c>
      <c r="BQC3" s="10" t="s">
        <v>67</v>
      </c>
      <c r="BQD3" s="10" t="s">
        <v>69</v>
      </c>
      <c r="BQE3" s="10" t="s">
        <v>67</v>
      </c>
      <c r="BQF3" s="10" t="s">
        <v>69</v>
      </c>
      <c r="BQG3" s="10" t="s">
        <v>67</v>
      </c>
      <c r="BQH3" s="10" t="s">
        <v>69</v>
      </c>
      <c r="BQI3" s="10" t="s">
        <v>67</v>
      </c>
      <c r="BQJ3" s="10" t="s">
        <v>69</v>
      </c>
      <c r="BQK3" s="10" t="s">
        <v>67</v>
      </c>
      <c r="BQL3" s="10" t="s">
        <v>69</v>
      </c>
      <c r="BQM3" s="10" t="s">
        <v>67</v>
      </c>
      <c r="BQN3" s="10" t="s">
        <v>69</v>
      </c>
      <c r="BQO3" s="10" t="s">
        <v>67</v>
      </c>
      <c r="BQP3" s="10" t="s">
        <v>69</v>
      </c>
      <c r="BQQ3" s="10" t="s">
        <v>67</v>
      </c>
      <c r="BQR3" s="10" t="s">
        <v>69</v>
      </c>
      <c r="BQS3" s="10" t="s">
        <v>67</v>
      </c>
      <c r="BQT3" s="10" t="s">
        <v>69</v>
      </c>
      <c r="BQU3" s="10" t="s">
        <v>67</v>
      </c>
      <c r="BQV3" s="10" t="s">
        <v>69</v>
      </c>
      <c r="BQW3" s="10" t="s">
        <v>67</v>
      </c>
      <c r="BQX3" s="10" t="s">
        <v>69</v>
      </c>
      <c r="BQY3" s="10" t="s">
        <v>67</v>
      </c>
      <c r="BQZ3" s="10" t="s">
        <v>69</v>
      </c>
      <c r="BRA3" s="10" t="s">
        <v>67</v>
      </c>
      <c r="BRB3" s="10" t="s">
        <v>69</v>
      </c>
      <c r="BRC3" s="10" t="s">
        <v>67</v>
      </c>
      <c r="BRD3" s="10" t="s">
        <v>69</v>
      </c>
      <c r="BRE3" s="10" t="s">
        <v>67</v>
      </c>
      <c r="BRF3" s="10" t="s">
        <v>69</v>
      </c>
      <c r="BRG3" s="10" t="s">
        <v>67</v>
      </c>
      <c r="BRH3" s="10" t="s">
        <v>69</v>
      </c>
      <c r="BRI3" s="10" t="s">
        <v>67</v>
      </c>
      <c r="BRJ3" s="10" t="s">
        <v>69</v>
      </c>
      <c r="BRK3" s="10" t="s">
        <v>67</v>
      </c>
      <c r="BRL3" s="10" t="s">
        <v>69</v>
      </c>
      <c r="BRM3" s="10" t="s">
        <v>67</v>
      </c>
      <c r="BRN3" s="10" t="s">
        <v>69</v>
      </c>
      <c r="BRO3" s="10" t="s">
        <v>67</v>
      </c>
      <c r="BRP3" s="10" t="s">
        <v>69</v>
      </c>
      <c r="BRQ3" s="10" t="s">
        <v>67</v>
      </c>
      <c r="BRR3" s="10" t="s">
        <v>69</v>
      </c>
      <c r="BRS3" s="10" t="s">
        <v>67</v>
      </c>
      <c r="BRT3" s="10" t="s">
        <v>69</v>
      </c>
      <c r="BRU3" s="10" t="s">
        <v>67</v>
      </c>
      <c r="BRV3" s="10" t="s">
        <v>69</v>
      </c>
      <c r="BRW3" s="10" t="s">
        <v>67</v>
      </c>
      <c r="BRX3" s="10" t="s">
        <v>69</v>
      </c>
      <c r="BRY3" s="10" t="s">
        <v>67</v>
      </c>
      <c r="BRZ3" s="10" t="s">
        <v>69</v>
      </c>
      <c r="BSA3" s="10" t="s">
        <v>67</v>
      </c>
      <c r="BSB3" s="10" t="s">
        <v>69</v>
      </c>
      <c r="BSC3" s="10" t="s">
        <v>67</v>
      </c>
      <c r="BSD3" s="10" t="s">
        <v>69</v>
      </c>
      <c r="BSE3" s="10" t="s">
        <v>67</v>
      </c>
      <c r="BSF3" s="10" t="s">
        <v>69</v>
      </c>
      <c r="BSG3" s="10" t="s">
        <v>67</v>
      </c>
      <c r="BSH3" s="10" t="s">
        <v>69</v>
      </c>
      <c r="BSI3" s="10" t="s">
        <v>67</v>
      </c>
      <c r="BSJ3" s="10" t="s">
        <v>69</v>
      </c>
      <c r="BSK3" s="10" t="s">
        <v>67</v>
      </c>
      <c r="BSL3" s="10" t="s">
        <v>69</v>
      </c>
      <c r="BSM3" s="10" t="s">
        <v>67</v>
      </c>
      <c r="BSN3" s="10" t="s">
        <v>69</v>
      </c>
      <c r="BSO3" s="10" t="s">
        <v>67</v>
      </c>
      <c r="BSP3" s="10" t="s">
        <v>69</v>
      </c>
      <c r="BSQ3" s="10" t="s">
        <v>67</v>
      </c>
      <c r="BSR3" s="10" t="s">
        <v>69</v>
      </c>
      <c r="BSS3" s="10" t="s">
        <v>67</v>
      </c>
      <c r="BST3" s="10" t="s">
        <v>69</v>
      </c>
      <c r="BSU3" s="10" t="s">
        <v>67</v>
      </c>
      <c r="BSV3" s="10" t="s">
        <v>69</v>
      </c>
      <c r="BSW3" s="10" t="s">
        <v>67</v>
      </c>
      <c r="BSX3" s="10" t="s">
        <v>69</v>
      </c>
      <c r="BSY3" s="10" t="s">
        <v>67</v>
      </c>
      <c r="BSZ3" s="10" t="s">
        <v>69</v>
      </c>
      <c r="BTA3" s="10" t="s">
        <v>67</v>
      </c>
      <c r="BTB3" s="10" t="s">
        <v>69</v>
      </c>
      <c r="BTC3" s="10" t="s">
        <v>67</v>
      </c>
      <c r="BTD3" s="10" t="s">
        <v>69</v>
      </c>
      <c r="BTE3" s="10" t="s">
        <v>67</v>
      </c>
      <c r="BTF3" s="10" t="s">
        <v>69</v>
      </c>
      <c r="BTG3" s="10" t="s">
        <v>67</v>
      </c>
      <c r="BTH3" s="10" t="s">
        <v>69</v>
      </c>
      <c r="BTI3" s="10" t="s">
        <v>67</v>
      </c>
      <c r="BTJ3" s="10" t="s">
        <v>69</v>
      </c>
      <c r="BTK3" s="10" t="s">
        <v>67</v>
      </c>
      <c r="BTL3" s="10" t="s">
        <v>69</v>
      </c>
      <c r="BTM3" s="10" t="s">
        <v>67</v>
      </c>
      <c r="BTN3" s="10" t="s">
        <v>69</v>
      </c>
      <c r="BTO3" s="10" t="s">
        <v>67</v>
      </c>
      <c r="BTP3" s="10" t="s">
        <v>69</v>
      </c>
      <c r="BTQ3" s="10" t="s">
        <v>67</v>
      </c>
      <c r="BTR3" s="10" t="s">
        <v>69</v>
      </c>
      <c r="BTS3" s="10" t="s">
        <v>67</v>
      </c>
      <c r="BTT3" s="10" t="s">
        <v>69</v>
      </c>
      <c r="BTU3" s="10" t="s">
        <v>67</v>
      </c>
      <c r="BTV3" s="10" t="s">
        <v>69</v>
      </c>
      <c r="BTW3" s="10" t="s">
        <v>67</v>
      </c>
      <c r="BTX3" s="10" t="s">
        <v>69</v>
      </c>
      <c r="BTY3" s="10" t="s">
        <v>67</v>
      </c>
      <c r="BTZ3" s="10" t="s">
        <v>69</v>
      </c>
      <c r="BUA3" s="10" t="s">
        <v>67</v>
      </c>
      <c r="BUB3" s="10" t="s">
        <v>69</v>
      </c>
      <c r="BUC3" s="10" t="s">
        <v>67</v>
      </c>
      <c r="BUD3" s="10" t="s">
        <v>69</v>
      </c>
      <c r="BUE3" s="10" t="s">
        <v>67</v>
      </c>
      <c r="BUF3" s="10" t="s">
        <v>69</v>
      </c>
      <c r="BUG3" s="10" t="s">
        <v>67</v>
      </c>
      <c r="BUH3" s="10" t="s">
        <v>69</v>
      </c>
      <c r="BUI3" s="10" t="s">
        <v>67</v>
      </c>
      <c r="BUJ3" s="10" t="s">
        <v>69</v>
      </c>
      <c r="BUK3" s="10" t="s">
        <v>67</v>
      </c>
      <c r="BUL3" s="10" t="s">
        <v>69</v>
      </c>
      <c r="BUM3" s="10" t="s">
        <v>67</v>
      </c>
      <c r="BUN3" s="10" t="s">
        <v>69</v>
      </c>
      <c r="BUO3" s="10" t="s">
        <v>67</v>
      </c>
      <c r="BUP3" s="10" t="s">
        <v>69</v>
      </c>
      <c r="BUQ3" s="10" t="s">
        <v>67</v>
      </c>
      <c r="BUR3" s="10" t="s">
        <v>69</v>
      </c>
      <c r="BUS3" s="10" t="s">
        <v>67</v>
      </c>
      <c r="BUT3" s="10" t="s">
        <v>69</v>
      </c>
      <c r="BUU3" s="10" t="s">
        <v>67</v>
      </c>
      <c r="BUV3" s="10" t="s">
        <v>69</v>
      </c>
      <c r="BUW3" s="10" t="s">
        <v>67</v>
      </c>
      <c r="BUX3" s="10" t="s">
        <v>69</v>
      </c>
      <c r="BUY3" s="10" t="s">
        <v>67</v>
      </c>
      <c r="BUZ3" s="10" t="s">
        <v>69</v>
      </c>
      <c r="BVA3" s="10" t="s">
        <v>67</v>
      </c>
      <c r="BVB3" s="10" t="s">
        <v>69</v>
      </c>
      <c r="BVC3" s="10" t="s">
        <v>67</v>
      </c>
      <c r="BVD3" s="10" t="s">
        <v>69</v>
      </c>
      <c r="BVE3" s="10" t="s">
        <v>67</v>
      </c>
      <c r="BVF3" s="10" t="s">
        <v>69</v>
      </c>
      <c r="BVG3" s="10" t="s">
        <v>67</v>
      </c>
      <c r="BVH3" s="10" t="s">
        <v>69</v>
      </c>
      <c r="BVI3" s="10" t="s">
        <v>67</v>
      </c>
      <c r="BVJ3" s="10" t="s">
        <v>69</v>
      </c>
      <c r="BVK3" s="10" t="s">
        <v>67</v>
      </c>
      <c r="BVL3" s="10" t="s">
        <v>69</v>
      </c>
      <c r="BVM3" s="10" t="s">
        <v>67</v>
      </c>
      <c r="BVN3" s="10" t="s">
        <v>69</v>
      </c>
      <c r="BVO3" s="10" t="s">
        <v>67</v>
      </c>
      <c r="BVP3" s="10" t="s">
        <v>69</v>
      </c>
      <c r="BVQ3" s="10" t="s">
        <v>67</v>
      </c>
      <c r="BVR3" s="10" t="s">
        <v>69</v>
      </c>
      <c r="BVS3" s="10" t="s">
        <v>67</v>
      </c>
      <c r="BVT3" s="10" t="s">
        <v>69</v>
      </c>
      <c r="BVU3" s="10" t="s">
        <v>67</v>
      </c>
      <c r="BVV3" s="10" t="s">
        <v>69</v>
      </c>
      <c r="BVW3" s="10" t="s">
        <v>67</v>
      </c>
      <c r="BVX3" s="10" t="s">
        <v>69</v>
      </c>
      <c r="BVY3" s="10" t="s">
        <v>67</v>
      </c>
      <c r="BVZ3" s="10" t="s">
        <v>69</v>
      </c>
      <c r="BWA3" s="10" t="s">
        <v>67</v>
      </c>
      <c r="BWB3" s="10" t="s">
        <v>69</v>
      </c>
      <c r="BWC3" s="10" t="s">
        <v>67</v>
      </c>
      <c r="BWD3" s="10" t="s">
        <v>69</v>
      </c>
      <c r="BWE3" s="10" t="s">
        <v>67</v>
      </c>
      <c r="BWF3" s="10" t="s">
        <v>69</v>
      </c>
      <c r="BWG3" s="10" t="s">
        <v>67</v>
      </c>
      <c r="BWH3" s="10" t="s">
        <v>69</v>
      </c>
      <c r="BWI3" s="10" t="s">
        <v>67</v>
      </c>
      <c r="BWJ3" s="10" t="s">
        <v>69</v>
      </c>
      <c r="BWK3" s="10" t="s">
        <v>67</v>
      </c>
      <c r="BWL3" s="10" t="s">
        <v>69</v>
      </c>
      <c r="BWM3" s="10" t="s">
        <v>67</v>
      </c>
      <c r="BWN3" s="10" t="s">
        <v>69</v>
      </c>
      <c r="BWO3" s="10" t="s">
        <v>67</v>
      </c>
      <c r="BWP3" s="10" t="s">
        <v>69</v>
      </c>
      <c r="BWQ3" s="10" t="s">
        <v>67</v>
      </c>
      <c r="BWR3" s="10" t="s">
        <v>69</v>
      </c>
      <c r="BWS3" s="10" t="s">
        <v>67</v>
      </c>
      <c r="BWT3" s="10" t="s">
        <v>69</v>
      </c>
      <c r="BWU3" s="10" t="s">
        <v>67</v>
      </c>
      <c r="BWV3" s="10" t="s">
        <v>69</v>
      </c>
      <c r="BWW3" s="10" t="s">
        <v>67</v>
      </c>
      <c r="BWX3" s="10" t="s">
        <v>69</v>
      </c>
      <c r="BWY3" s="10" t="s">
        <v>67</v>
      </c>
      <c r="BWZ3" s="10" t="s">
        <v>69</v>
      </c>
      <c r="BXA3" s="10" t="s">
        <v>67</v>
      </c>
      <c r="BXB3" s="10" t="s">
        <v>69</v>
      </c>
      <c r="BXC3" s="10" t="s">
        <v>67</v>
      </c>
      <c r="BXD3" s="10" t="s">
        <v>69</v>
      </c>
      <c r="BXE3" s="10" t="s">
        <v>67</v>
      </c>
      <c r="BXF3" s="10" t="s">
        <v>69</v>
      </c>
      <c r="BXG3" s="10" t="s">
        <v>67</v>
      </c>
      <c r="BXH3" s="10" t="s">
        <v>69</v>
      </c>
      <c r="BXI3" s="10" t="s">
        <v>67</v>
      </c>
      <c r="BXJ3" s="10" t="s">
        <v>69</v>
      </c>
      <c r="BXK3" s="10" t="s">
        <v>67</v>
      </c>
      <c r="BXL3" s="10" t="s">
        <v>69</v>
      </c>
      <c r="BXM3" s="10" t="s">
        <v>67</v>
      </c>
      <c r="BXN3" s="10" t="s">
        <v>69</v>
      </c>
      <c r="BXO3" s="10" t="s">
        <v>67</v>
      </c>
      <c r="BXP3" s="10" t="s">
        <v>69</v>
      </c>
      <c r="BXQ3" s="10" t="s">
        <v>67</v>
      </c>
      <c r="BXR3" s="10" t="s">
        <v>69</v>
      </c>
      <c r="BXS3" s="10" t="s">
        <v>67</v>
      </c>
      <c r="BXT3" s="10" t="s">
        <v>69</v>
      </c>
      <c r="BXU3" s="10" t="s">
        <v>67</v>
      </c>
      <c r="BXV3" s="10" t="s">
        <v>69</v>
      </c>
      <c r="BXW3" s="10" t="s">
        <v>67</v>
      </c>
      <c r="BXX3" s="10" t="s">
        <v>69</v>
      </c>
      <c r="BXY3" s="10" t="s">
        <v>67</v>
      </c>
      <c r="BXZ3" s="10" t="s">
        <v>69</v>
      </c>
      <c r="BYA3" s="10" t="s">
        <v>67</v>
      </c>
      <c r="BYB3" s="10" t="s">
        <v>69</v>
      </c>
      <c r="BYC3" s="10" t="s">
        <v>67</v>
      </c>
      <c r="BYD3" s="10" t="s">
        <v>69</v>
      </c>
      <c r="BYE3" s="10" t="s">
        <v>67</v>
      </c>
      <c r="BYF3" s="10" t="s">
        <v>69</v>
      </c>
      <c r="BYG3" s="10" t="s">
        <v>67</v>
      </c>
      <c r="BYH3" s="10" t="s">
        <v>69</v>
      </c>
      <c r="BYI3" s="10" t="s">
        <v>67</v>
      </c>
      <c r="BYJ3" s="10" t="s">
        <v>69</v>
      </c>
      <c r="BYK3" s="10" t="s">
        <v>67</v>
      </c>
      <c r="BYL3" s="10" t="s">
        <v>69</v>
      </c>
      <c r="BYM3" s="10" t="s">
        <v>67</v>
      </c>
      <c r="BYN3" s="10" t="s">
        <v>69</v>
      </c>
      <c r="BYO3" s="10" t="s">
        <v>67</v>
      </c>
      <c r="BYP3" s="10" t="s">
        <v>69</v>
      </c>
      <c r="BYQ3" s="10" t="s">
        <v>67</v>
      </c>
      <c r="BYR3" s="10" t="s">
        <v>69</v>
      </c>
      <c r="BYS3" s="10" t="s">
        <v>67</v>
      </c>
      <c r="BYT3" s="10" t="s">
        <v>69</v>
      </c>
      <c r="BYU3" s="10" t="s">
        <v>67</v>
      </c>
      <c r="BYV3" s="10" t="s">
        <v>69</v>
      </c>
      <c r="BYW3" s="10" t="s">
        <v>67</v>
      </c>
      <c r="BYX3" s="10" t="s">
        <v>69</v>
      </c>
      <c r="BYY3" s="10" t="s">
        <v>67</v>
      </c>
      <c r="BYZ3" s="10" t="s">
        <v>69</v>
      </c>
      <c r="BZA3" s="10" t="s">
        <v>67</v>
      </c>
      <c r="BZB3" s="10" t="s">
        <v>69</v>
      </c>
      <c r="BZC3" s="10" t="s">
        <v>67</v>
      </c>
      <c r="BZD3" s="10" t="s">
        <v>69</v>
      </c>
      <c r="BZE3" s="10" t="s">
        <v>67</v>
      </c>
      <c r="BZF3" s="10" t="s">
        <v>69</v>
      </c>
      <c r="BZG3" s="10" t="s">
        <v>67</v>
      </c>
      <c r="BZH3" s="10" t="s">
        <v>69</v>
      </c>
      <c r="BZI3" s="10" t="s">
        <v>67</v>
      </c>
      <c r="BZJ3" s="10" t="s">
        <v>69</v>
      </c>
      <c r="BZK3" s="10" t="s">
        <v>67</v>
      </c>
      <c r="BZL3" s="10" t="s">
        <v>69</v>
      </c>
      <c r="BZM3" s="10" t="s">
        <v>67</v>
      </c>
      <c r="BZN3" s="10" t="s">
        <v>69</v>
      </c>
      <c r="BZO3" s="10" t="s">
        <v>67</v>
      </c>
      <c r="BZP3" s="10" t="s">
        <v>69</v>
      </c>
      <c r="BZQ3" s="10" t="s">
        <v>67</v>
      </c>
      <c r="BZR3" s="10" t="s">
        <v>69</v>
      </c>
      <c r="BZS3" s="10" t="s">
        <v>67</v>
      </c>
      <c r="BZT3" s="10" t="s">
        <v>69</v>
      </c>
      <c r="BZU3" s="10" t="s">
        <v>67</v>
      </c>
      <c r="BZV3" s="10" t="s">
        <v>69</v>
      </c>
      <c r="BZW3" s="10" t="s">
        <v>67</v>
      </c>
      <c r="BZX3" s="10" t="s">
        <v>69</v>
      </c>
      <c r="BZY3" s="10" t="s">
        <v>67</v>
      </c>
      <c r="BZZ3" s="10" t="s">
        <v>69</v>
      </c>
      <c r="CAA3" s="10" t="s">
        <v>67</v>
      </c>
      <c r="CAB3" s="10" t="s">
        <v>69</v>
      </c>
      <c r="CAC3" s="10" t="s">
        <v>67</v>
      </c>
      <c r="CAD3" s="10" t="s">
        <v>69</v>
      </c>
      <c r="CAE3" s="10" t="s">
        <v>67</v>
      </c>
      <c r="CAF3" s="10" t="s">
        <v>69</v>
      </c>
      <c r="CAG3" s="10" t="s">
        <v>67</v>
      </c>
      <c r="CAH3" s="10" t="s">
        <v>69</v>
      </c>
      <c r="CAI3" s="10" t="s">
        <v>67</v>
      </c>
      <c r="CAJ3" s="10" t="s">
        <v>69</v>
      </c>
      <c r="CAK3" s="10" t="s">
        <v>67</v>
      </c>
      <c r="CAL3" s="10" t="s">
        <v>69</v>
      </c>
      <c r="CAM3" s="10" t="s">
        <v>67</v>
      </c>
      <c r="CAN3" s="10" t="s">
        <v>69</v>
      </c>
      <c r="CAO3" s="10" t="s">
        <v>67</v>
      </c>
      <c r="CAP3" s="10" t="s">
        <v>69</v>
      </c>
      <c r="CAQ3" s="10" t="s">
        <v>67</v>
      </c>
      <c r="CAR3" s="10" t="s">
        <v>69</v>
      </c>
      <c r="CAS3" s="10" t="s">
        <v>67</v>
      </c>
      <c r="CAT3" s="10" t="s">
        <v>69</v>
      </c>
      <c r="CAU3" s="10" t="s">
        <v>67</v>
      </c>
      <c r="CAV3" s="10" t="s">
        <v>69</v>
      </c>
      <c r="CAW3" s="10" t="s">
        <v>67</v>
      </c>
      <c r="CAX3" s="10" t="s">
        <v>69</v>
      </c>
      <c r="CAY3" s="10" t="s">
        <v>67</v>
      </c>
      <c r="CAZ3" s="10" t="s">
        <v>69</v>
      </c>
      <c r="CBA3" s="10" t="s">
        <v>67</v>
      </c>
      <c r="CBB3" s="10" t="s">
        <v>69</v>
      </c>
      <c r="CBC3" s="10" t="s">
        <v>67</v>
      </c>
      <c r="CBD3" s="10" t="s">
        <v>69</v>
      </c>
      <c r="CBE3" s="10" t="s">
        <v>67</v>
      </c>
      <c r="CBF3" s="10" t="s">
        <v>69</v>
      </c>
      <c r="CBG3" s="10" t="s">
        <v>67</v>
      </c>
      <c r="CBH3" s="10" t="s">
        <v>69</v>
      </c>
      <c r="CBI3" s="10" t="s">
        <v>67</v>
      </c>
      <c r="CBJ3" s="10" t="s">
        <v>69</v>
      </c>
      <c r="CBK3" s="10" t="s">
        <v>67</v>
      </c>
      <c r="CBL3" s="10" t="s">
        <v>69</v>
      </c>
      <c r="CBM3" s="10" t="s">
        <v>67</v>
      </c>
      <c r="CBN3" s="10" t="s">
        <v>69</v>
      </c>
      <c r="CBO3" s="10" t="s">
        <v>67</v>
      </c>
      <c r="CBP3" s="10" t="s">
        <v>69</v>
      </c>
      <c r="CBQ3" s="10" t="s">
        <v>67</v>
      </c>
      <c r="CBR3" s="10" t="s">
        <v>69</v>
      </c>
      <c r="CBS3" s="10" t="s">
        <v>67</v>
      </c>
      <c r="CBT3" s="10" t="s">
        <v>69</v>
      </c>
      <c r="CBU3" s="10" t="s">
        <v>67</v>
      </c>
      <c r="CBV3" s="10" t="s">
        <v>69</v>
      </c>
      <c r="CBW3" s="10" t="s">
        <v>67</v>
      </c>
      <c r="CBX3" s="10" t="s">
        <v>69</v>
      </c>
      <c r="CBY3" s="10" t="s">
        <v>67</v>
      </c>
      <c r="CBZ3" s="10" t="s">
        <v>69</v>
      </c>
      <c r="CCA3" s="10" t="s">
        <v>67</v>
      </c>
      <c r="CCB3" s="10" t="s">
        <v>69</v>
      </c>
      <c r="CCC3" s="10" t="s">
        <v>67</v>
      </c>
      <c r="CCD3" s="10" t="s">
        <v>69</v>
      </c>
      <c r="CCE3" s="10" t="s">
        <v>67</v>
      </c>
      <c r="CCF3" s="10" t="s">
        <v>69</v>
      </c>
      <c r="CCG3" s="10" t="s">
        <v>67</v>
      </c>
      <c r="CCH3" s="10" t="s">
        <v>69</v>
      </c>
      <c r="CCI3" s="10" t="s">
        <v>67</v>
      </c>
      <c r="CCJ3" s="10" t="s">
        <v>69</v>
      </c>
      <c r="CCK3" s="10" t="s">
        <v>67</v>
      </c>
      <c r="CCL3" s="10" t="s">
        <v>69</v>
      </c>
      <c r="CCM3" s="10" t="s">
        <v>67</v>
      </c>
      <c r="CCN3" s="10" t="s">
        <v>69</v>
      </c>
      <c r="CCO3" s="10" t="s">
        <v>67</v>
      </c>
      <c r="CCP3" s="10" t="s">
        <v>69</v>
      </c>
      <c r="CCQ3" s="10" t="s">
        <v>67</v>
      </c>
      <c r="CCR3" s="10" t="s">
        <v>69</v>
      </c>
      <c r="CCS3" s="10" t="s">
        <v>67</v>
      </c>
      <c r="CCT3" s="10" t="s">
        <v>69</v>
      </c>
      <c r="CCU3" s="10" t="s">
        <v>67</v>
      </c>
      <c r="CCV3" s="10" t="s">
        <v>69</v>
      </c>
      <c r="CCW3" s="10" t="s">
        <v>67</v>
      </c>
      <c r="CCX3" s="10" t="s">
        <v>69</v>
      </c>
      <c r="CCY3" s="10" t="s">
        <v>67</v>
      </c>
      <c r="CCZ3" s="10" t="s">
        <v>69</v>
      </c>
      <c r="CDA3" s="10" t="s">
        <v>67</v>
      </c>
      <c r="CDB3" s="10" t="s">
        <v>69</v>
      </c>
      <c r="CDC3" s="10" t="s">
        <v>67</v>
      </c>
      <c r="CDD3" s="10" t="s">
        <v>69</v>
      </c>
      <c r="CDE3" s="10" t="s">
        <v>67</v>
      </c>
      <c r="CDF3" s="10" t="s">
        <v>69</v>
      </c>
      <c r="CDG3" s="10" t="s">
        <v>67</v>
      </c>
      <c r="CDH3" s="10" t="s">
        <v>69</v>
      </c>
      <c r="CDI3" s="10" t="s">
        <v>67</v>
      </c>
      <c r="CDJ3" s="10" t="s">
        <v>69</v>
      </c>
      <c r="CDK3" s="10" t="s">
        <v>67</v>
      </c>
      <c r="CDL3" s="10" t="s">
        <v>69</v>
      </c>
      <c r="CDM3" s="10" t="s">
        <v>67</v>
      </c>
      <c r="CDN3" s="10" t="s">
        <v>69</v>
      </c>
      <c r="CDO3" s="10" t="s">
        <v>67</v>
      </c>
      <c r="CDP3" s="10" t="s">
        <v>69</v>
      </c>
      <c r="CDQ3" s="10" t="s">
        <v>67</v>
      </c>
      <c r="CDR3" s="10" t="s">
        <v>69</v>
      </c>
      <c r="CDS3" s="10" t="s">
        <v>67</v>
      </c>
      <c r="CDT3" s="10" t="s">
        <v>69</v>
      </c>
      <c r="CDU3" s="10" t="s">
        <v>67</v>
      </c>
      <c r="CDV3" s="10" t="s">
        <v>69</v>
      </c>
      <c r="CDW3" s="10" t="s">
        <v>67</v>
      </c>
      <c r="CDX3" s="10" t="s">
        <v>69</v>
      </c>
      <c r="CDY3" s="10" t="s">
        <v>67</v>
      </c>
      <c r="CDZ3" s="10" t="s">
        <v>69</v>
      </c>
      <c r="CEA3" s="10" t="s">
        <v>67</v>
      </c>
      <c r="CEB3" s="10" t="s">
        <v>69</v>
      </c>
      <c r="CEC3" s="10" t="s">
        <v>67</v>
      </c>
      <c r="CED3" s="10" t="s">
        <v>69</v>
      </c>
      <c r="CEE3" s="10" t="s">
        <v>67</v>
      </c>
      <c r="CEF3" s="10" t="s">
        <v>69</v>
      </c>
      <c r="CEG3" s="10" t="s">
        <v>67</v>
      </c>
      <c r="CEH3" s="10" t="s">
        <v>69</v>
      </c>
      <c r="CEI3" s="10" t="s">
        <v>67</v>
      </c>
      <c r="CEJ3" s="10" t="s">
        <v>69</v>
      </c>
      <c r="CEK3" s="10" t="s">
        <v>67</v>
      </c>
      <c r="CEL3" s="10" t="s">
        <v>69</v>
      </c>
      <c r="CEM3" s="10" t="s">
        <v>67</v>
      </c>
      <c r="CEN3" s="10" t="s">
        <v>69</v>
      </c>
      <c r="CEO3" s="10" t="s">
        <v>67</v>
      </c>
      <c r="CEP3" s="10" t="s">
        <v>69</v>
      </c>
      <c r="CEQ3" s="10" t="s">
        <v>67</v>
      </c>
      <c r="CER3" s="10" t="s">
        <v>69</v>
      </c>
      <c r="CES3" s="10" t="s">
        <v>67</v>
      </c>
      <c r="CET3" s="10" t="s">
        <v>69</v>
      </c>
      <c r="CEU3" s="10" t="s">
        <v>67</v>
      </c>
      <c r="CEV3" s="10" t="s">
        <v>69</v>
      </c>
      <c r="CEW3" s="10" t="s">
        <v>67</v>
      </c>
      <c r="CEX3" s="10" t="s">
        <v>69</v>
      </c>
      <c r="CEY3" s="10" t="s">
        <v>67</v>
      </c>
      <c r="CEZ3" s="10" t="s">
        <v>69</v>
      </c>
      <c r="CFA3" s="10" t="s">
        <v>67</v>
      </c>
      <c r="CFB3" s="10" t="s">
        <v>69</v>
      </c>
      <c r="CFC3" s="10" t="s">
        <v>67</v>
      </c>
      <c r="CFD3" s="10" t="s">
        <v>69</v>
      </c>
      <c r="CFE3" s="10" t="s">
        <v>67</v>
      </c>
      <c r="CFF3" s="10" t="s">
        <v>69</v>
      </c>
      <c r="CFG3" s="10" t="s">
        <v>67</v>
      </c>
      <c r="CFH3" s="10" t="s">
        <v>69</v>
      </c>
      <c r="CFI3" s="10" t="s">
        <v>67</v>
      </c>
      <c r="CFJ3" s="10" t="s">
        <v>69</v>
      </c>
      <c r="CFK3" s="10" t="s">
        <v>67</v>
      </c>
      <c r="CFL3" s="10" t="s">
        <v>69</v>
      </c>
      <c r="CFM3" s="10" t="s">
        <v>67</v>
      </c>
      <c r="CFN3" s="10" t="s">
        <v>69</v>
      </c>
      <c r="CFO3" s="10" t="s">
        <v>67</v>
      </c>
      <c r="CFP3" s="10" t="s">
        <v>69</v>
      </c>
      <c r="CFQ3" s="10" t="s">
        <v>67</v>
      </c>
      <c r="CFR3" s="10" t="s">
        <v>69</v>
      </c>
      <c r="CFS3" s="10" t="s">
        <v>67</v>
      </c>
      <c r="CFT3" s="10" t="s">
        <v>69</v>
      </c>
      <c r="CFU3" s="10" t="s">
        <v>67</v>
      </c>
      <c r="CFV3" s="10" t="s">
        <v>69</v>
      </c>
      <c r="CFW3" s="10" t="s">
        <v>67</v>
      </c>
      <c r="CFX3" s="10" t="s">
        <v>69</v>
      </c>
      <c r="CFY3" s="10" t="s">
        <v>67</v>
      </c>
      <c r="CFZ3" s="10" t="s">
        <v>69</v>
      </c>
      <c r="CGA3" s="10" t="s">
        <v>67</v>
      </c>
      <c r="CGB3" s="10" t="s">
        <v>69</v>
      </c>
      <c r="CGC3" s="10" t="s">
        <v>67</v>
      </c>
      <c r="CGD3" s="10" t="s">
        <v>69</v>
      </c>
      <c r="CGE3" s="10" t="s">
        <v>67</v>
      </c>
      <c r="CGF3" s="10" t="s">
        <v>69</v>
      </c>
      <c r="CGG3" s="10" t="s">
        <v>67</v>
      </c>
      <c r="CGH3" s="10" t="s">
        <v>69</v>
      </c>
      <c r="CGI3" s="10" t="s">
        <v>67</v>
      </c>
      <c r="CGJ3" s="10" t="s">
        <v>69</v>
      </c>
      <c r="CGK3" s="10" t="s">
        <v>67</v>
      </c>
      <c r="CGL3" s="10" t="s">
        <v>69</v>
      </c>
      <c r="CGM3" s="10" t="s">
        <v>67</v>
      </c>
      <c r="CGN3" s="10" t="s">
        <v>69</v>
      </c>
      <c r="CGO3" s="10" t="s">
        <v>67</v>
      </c>
      <c r="CGP3" s="10" t="s">
        <v>69</v>
      </c>
      <c r="CGQ3" s="10" t="s">
        <v>67</v>
      </c>
      <c r="CGR3" s="10" t="s">
        <v>69</v>
      </c>
      <c r="CGS3" s="10" t="s">
        <v>67</v>
      </c>
      <c r="CGT3" s="10" t="s">
        <v>69</v>
      </c>
      <c r="CGU3" s="10" t="s">
        <v>67</v>
      </c>
      <c r="CGV3" s="10" t="s">
        <v>69</v>
      </c>
      <c r="CGW3" s="10" t="s">
        <v>67</v>
      </c>
      <c r="CGX3" s="10" t="s">
        <v>69</v>
      </c>
      <c r="CGY3" s="10" t="s">
        <v>67</v>
      </c>
      <c r="CGZ3" s="10" t="s">
        <v>69</v>
      </c>
      <c r="CHA3" s="10" t="s">
        <v>67</v>
      </c>
      <c r="CHB3" s="10" t="s">
        <v>69</v>
      </c>
      <c r="CHC3" s="10" t="s">
        <v>67</v>
      </c>
      <c r="CHD3" s="10" t="s">
        <v>69</v>
      </c>
      <c r="CHE3" s="10" t="s">
        <v>67</v>
      </c>
      <c r="CHF3" s="10" t="s">
        <v>69</v>
      </c>
      <c r="CHG3" s="10" t="s">
        <v>67</v>
      </c>
      <c r="CHH3" s="10" t="s">
        <v>69</v>
      </c>
      <c r="CHI3" s="10" t="s">
        <v>67</v>
      </c>
      <c r="CHJ3" s="10" t="s">
        <v>69</v>
      </c>
      <c r="CHK3" s="10" t="s">
        <v>67</v>
      </c>
      <c r="CHL3" s="10" t="s">
        <v>69</v>
      </c>
      <c r="CHM3" s="10" t="s">
        <v>67</v>
      </c>
      <c r="CHN3" s="10" t="s">
        <v>69</v>
      </c>
      <c r="CHO3" s="10" t="s">
        <v>67</v>
      </c>
      <c r="CHP3" s="10" t="s">
        <v>69</v>
      </c>
      <c r="CHQ3" s="10" t="s">
        <v>67</v>
      </c>
      <c r="CHR3" s="10" t="s">
        <v>69</v>
      </c>
      <c r="CHS3" s="10" t="s">
        <v>67</v>
      </c>
      <c r="CHT3" s="10" t="s">
        <v>69</v>
      </c>
      <c r="CHU3" s="10" t="s">
        <v>67</v>
      </c>
      <c r="CHV3" s="10" t="s">
        <v>69</v>
      </c>
      <c r="CHW3" s="10" t="s">
        <v>67</v>
      </c>
      <c r="CHX3" s="10" t="s">
        <v>69</v>
      </c>
      <c r="CHY3" s="10" t="s">
        <v>67</v>
      </c>
      <c r="CHZ3" s="10" t="s">
        <v>69</v>
      </c>
      <c r="CIA3" s="10" t="s">
        <v>67</v>
      </c>
      <c r="CIB3" s="10" t="s">
        <v>69</v>
      </c>
      <c r="CIC3" s="10" t="s">
        <v>67</v>
      </c>
      <c r="CID3" s="10" t="s">
        <v>69</v>
      </c>
      <c r="CIE3" s="10" t="s">
        <v>67</v>
      </c>
      <c r="CIF3" s="10" t="s">
        <v>69</v>
      </c>
      <c r="CIG3" s="10" t="s">
        <v>67</v>
      </c>
      <c r="CIH3" s="10" t="s">
        <v>69</v>
      </c>
      <c r="CII3" s="10" t="s">
        <v>67</v>
      </c>
      <c r="CIJ3" s="10" t="s">
        <v>69</v>
      </c>
      <c r="CIK3" s="10" t="s">
        <v>67</v>
      </c>
      <c r="CIL3" s="10" t="s">
        <v>69</v>
      </c>
      <c r="CIM3" s="10" t="s">
        <v>67</v>
      </c>
      <c r="CIN3" s="10" t="s">
        <v>69</v>
      </c>
      <c r="CIO3" s="10" t="s">
        <v>67</v>
      </c>
      <c r="CIP3" s="10" t="s">
        <v>69</v>
      </c>
      <c r="CIQ3" s="10" t="s">
        <v>67</v>
      </c>
      <c r="CIR3" s="10" t="s">
        <v>69</v>
      </c>
      <c r="CIS3" s="10" t="s">
        <v>67</v>
      </c>
      <c r="CIT3" s="10" t="s">
        <v>69</v>
      </c>
      <c r="CIU3" s="10" t="s">
        <v>67</v>
      </c>
      <c r="CIV3" s="10" t="s">
        <v>69</v>
      </c>
      <c r="CIW3" s="10" t="s">
        <v>67</v>
      </c>
      <c r="CIX3" s="10" t="s">
        <v>69</v>
      </c>
      <c r="CIY3" s="10" t="s">
        <v>67</v>
      </c>
      <c r="CIZ3" s="10" t="s">
        <v>69</v>
      </c>
      <c r="CJA3" s="10" t="s">
        <v>67</v>
      </c>
      <c r="CJB3" s="10" t="s">
        <v>69</v>
      </c>
      <c r="CJC3" s="10" t="s">
        <v>67</v>
      </c>
      <c r="CJD3" s="10" t="s">
        <v>69</v>
      </c>
      <c r="CJE3" s="10" t="s">
        <v>67</v>
      </c>
      <c r="CJF3" s="10" t="s">
        <v>69</v>
      </c>
      <c r="CJG3" s="10" t="s">
        <v>67</v>
      </c>
      <c r="CJH3" s="10" t="s">
        <v>69</v>
      </c>
      <c r="CJI3" s="10" t="s">
        <v>67</v>
      </c>
      <c r="CJJ3" s="10" t="s">
        <v>69</v>
      </c>
      <c r="CJK3" s="10" t="s">
        <v>67</v>
      </c>
      <c r="CJL3" s="10" t="s">
        <v>69</v>
      </c>
      <c r="CJM3" s="10" t="s">
        <v>67</v>
      </c>
      <c r="CJN3" s="10" t="s">
        <v>69</v>
      </c>
      <c r="CJO3" s="10" t="s">
        <v>67</v>
      </c>
      <c r="CJP3" s="10" t="s">
        <v>69</v>
      </c>
      <c r="CJQ3" s="10" t="s">
        <v>67</v>
      </c>
      <c r="CJR3" s="10" t="s">
        <v>69</v>
      </c>
      <c r="CJS3" s="10" t="s">
        <v>67</v>
      </c>
      <c r="CJT3" s="10" t="s">
        <v>69</v>
      </c>
      <c r="CJU3" s="10" t="s">
        <v>67</v>
      </c>
      <c r="CJV3" s="10" t="s">
        <v>69</v>
      </c>
      <c r="CJW3" s="10" t="s">
        <v>67</v>
      </c>
      <c r="CJX3" s="10" t="s">
        <v>69</v>
      </c>
      <c r="CJY3" s="10" t="s">
        <v>67</v>
      </c>
      <c r="CJZ3" s="10" t="s">
        <v>69</v>
      </c>
      <c r="CKA3" s="10" t="s">
        <v>67</v>
      </c>
      <c r="CKB3" s="10" t="s">
        <v>69</v>
      </c>
      <c r="CKC3" s="10" t="s">
        <v>67</v>
      </c>
      <c r="CKD3" s="10" t="s">
        <v>69</v>
      </c>
      <c r="CKE3" s="10" t="s">
        <v>67</v>
      </c>
      <c r="CKF3" s="10" t="s">
        <v>69</v>
      </c>
      <c r="CKG3" s="10" t="s">
        <v>67</v>
      </c>
      <c r="CKH3" s="10" t="s">
        <v>69</v>
      </c>
      <c r="CKI3" s="10" t="s">
        <v>67</v>
      </c>
      <c r="CKJ3" s="10" t="s">
        <v>69</v>
      </c>
      <c r="CKK3" s="10" t="s">
        <v>67</v>
      </c>
      <c r="CKL3" s="10" t="s">
        <v>69</v>
      </c>
      <c r="CKM3" s="10" t="s">
        <v>67</v>
      </c>
      <c r="CKN3" s="10" t="s">
        <v>69</v>
      </c>
      <c r="CKO3" s="10" t="s">
        <v>67</v>
      </c>
      <c r="CKP3" s="10" t="s">
        <v>69</v>
      </c>
      <c r="CKQ3" s="10" t="s">
        <v>67</v>
      </c>
      <c r="CKR3" s="10" t="s">
        <v>69</v>
      </c>
      <c r="CKS3" s="10" t="s">
        <v>67</v>
      </c>
      <c r="CKT3" s="10" t="s">
        <v>69</v>
      </c>
      <c r="CKU3" s="10" t="s">
        <v>67</v>
      </c>
      <c r="CKV3" s="10" t="s">
        <v>69</v>
      </c>
      <c r="CKW3" s="10" t="s">
        <v>67</v>
      </c>
      <c r="CKX3" s="10" t="s">
        <v>69</v>
      </c>
      <c r="CKY3" s="10" t="s">
        <v>67</v>
      </c>
      <c r="CKZ3" s="10" t="s">
        <v>69</v>
      </c>
      <c r="CLA3" s="10" t="s">
        <v>67</v>
      </c>
      <c r="CLB3" s="10" t="s">
        <v>69</v>
      </c>
      <c r="CLC3" s="10" t="s">
        <v>67</v>
      </c>
      <c r="CLD3" s="10" t="s">
        <v>69</v>
      </c>
      <c r="CLE3" s="10" t="s">
        <v>67</v>
      </c>
      <c r="CLF3" s="10" t="s">
        <v>69</v>
      </c>
      <c r="CLG3" s="10" t="s">
        <v>67</v>
      </c>
      <c r="CLH3" s="10" t="s">
        <v>69</v>
      </c>
      <c r="CLI3" s="10" t="s">
        <v>67</v>
      </c>
      <c r="CLJ3" s="10" t="s">
        <v>69</v>
      </c>
      <c r="CLK3" s="10" t="s">
        <v>67</v>
      </c>
      <c r="CLL3" s="10" t="s">
        <v>69</v>
      </c>
      <c r="CLM3" s="10" t="s">
        <v>67</v>
      </c>
      <c r="CLN3" s="10" t="s">
        <v>69</v>
      </c>
      <c r="CLO3" s="10" t="s">
        <v>67</v>
      </c>
      <c r="CLP3" s="10" t="s">
        <v>69</v>
      </c>
      <c r="CLQ3" s="10" t="s">
        <v>67</v>
      </c>
      <c r="CLR3" s="10" t="s">
        <v>69</v>
      </c>
      <c r="CLS3" s="10" t="s">
        <v>67</v>
      </c>
      <c r="CLT3" s="10" t="s">
        <v>69</v>
      </c>
      <c r="CLU3" s="10" t="s">
        <v>67</v>
      </c>
      <c r="CLV3" s="10" t="s">
        <v>69</v>
      </c>
      <c r="CLW3" s="10" t="s">
        <v>67</v>
      </c>
      <c r="CLX3" s="10" t="s">
        <v>69</v>
      </c>
      <c r="CLY3" s="10" t="s">
        <v>67</v>
      </c>
      <c r="CLZ3" s="10" t="s">
        <v>69</v>
      </c>
      <c r="CMA3" s="10" t="s">
        <v>67</v>
      </c>
      <c r="CMB3" s="10" t="s">
        <v>69</v>
      </c>
      <c r="CMC3" s="10" t="s">
        <v>67</v>
      </c>
      <c r="CMD3" s="10" t="s">
        <v>69</v>
      </c>
      <c r="CME3" s="10" t="s">
        <v>67</v>
      </c>
      <c r="CMF3" s="10" t="s">
        <v>69</v>
      </c>
      <c r="CMG3" s="10" t="s">
        <v>67</v>
      </c>
      <c r="CMH3" s="10" t="s">
        <v>69</v>
      </c>
      <c r="CMI3" s="10" t="s">
        <v>67</v>
      </c>
      <c r="CMJ3" s="10" t="s">
        <v>69</v>
      </c>
      <c r="CMK3" s="10" t="s">
        <v>67</v>
      </c>
      <c r="CML3" s="10" t="s">
        <v>69</v>
      </c>
      <c r="CMM3" s="10" t="s">
        <v>67</v>
      </c>
      <c r="CMN3" s="10" t="s">
        <v>69</v>
      </c>
      <c r="CMO3" s="10" t="s">
        <v>67</v>
      </c>
      <c r="CMP3" s="10" t="s">
        <v>69</v>
      </c>
      <c r="CMQ3" s="10" t="s">
        <v>67</v>
      </c>
      <c r="CMR3" s="10" t="s">
        <v>69</v>
      </c>
      <c r="CMS3" s="10" t="s">
        <v>67</v>
      </c>
      <c r="CMT3" s="10" t="s">
        <v>69</v>
      </c>
      <c r="CMU3" s="10" t="s">
        <v>67</v>
      </c>
      <c r="CMV3" s="10" t="s">
        <v>69</v>
      </c>
      <c r="CMW3" s="10" t="s">
        <v>67</v>
      </c>
      <c r="CMX3" s="10" t="s">
        <v>69</v>
      </c>
      <c r="CMY3" s="10" t="s">
        <v>67</v>
      </c>
      <c r="CMZ3" s="10" t="s">
        <v>69</v>
      </c>
      <c r="CNA3" s="10" t="s">
        <v>67</v>
      </c>
      <c r="CNB3" s="10" t="s">
        <v>69</v>
      </c>
      <c r="CNC3" s="10" t="s">
        <v>67</v>
      </c>
      <c r="CND3" s="10" t="s">
        <v>69</v>
      </c>
      <c r="CNE3" s="10" t="s">
        <v>67</v>
      </c>
      <c r="CNF3" s="10" t="s">
        <v>69</v>
      </c>
      <c r="CNG3" s="10" t="s">
        <v>67</v>
      </c>
      <c r="CNH3" s="10" t="s">
        <v>69</v>
      </c>
      <c r="CNI3" s="10" t="s">
        <v>67</v>
      </c>
      <c r="CNJ3" s="10" t="s">
        <v>69</v>
      </c>
      <c r="CNK3" s="10" t="s">
        <v>67</v>
      </c>
      <c r="CNL3" s="10" t="s">
        <v>69</v>
      </c>
      <c r="CNM3" s="10" t="s">
        <v>67</v>
      </c>
      <c r="CNN3" s="10" t="s">
        <v>69</v>
      </c>
      <c r="CNO3" s="10" t="s">
        <v>67</v>
      </c>
      <c r="CNP3" s="10" t="s">
        <v>69</v>
      </c>
      <c r="CNQ3" s="10" t="s">
        <v>67</v>
      </c>
      <c r="CNR3" s="10" t="s">
        <v>69</v>
      </c>
      <c r="CNS3" s="10" t="s">
        <v>67</v>
      </c>
      <c r="CNT3" s="10" t="s">
        <v>69</v>
      </c>
      <c r="CNU3" s="10" t="s">
        <v>67</v>
      </c>
      <c r="CNV3" s="10" t="s">
        <v>69</v>
      </c>
      <c r="CNW3" s="10" t="s">
        <v>67</v>
      </c>
      <c r="CNX3" s="10" t="s">
        <v>69</v>
      </c>
      <c r="CNY3" s="10" t="s">
        <v>67</v>
      </c>
      <c r="CNZ3" s="10" t="s">
        <v>69</v>
      </c>
      <c r="COA3" s="10" t="s">
        <v>67</v>
      </c>
      <c r="COB3" s="10" t="s">
        <v>69</v>
      </c>
      <c r="COC3" s="10" t="s">
        <v>67</v>
      </c>
      <c r="COD3" s="10" t="s">
        <v>69</v>
      </c>
      <c r="COE3" s="10" t="s">
        <v>67</v>
      </c>
      <c r="COF3" s="10" t="s">
        <v>69</v>
      </c>
      <c r="COG3" s="10" t="s">
        <v>67</v>
      </c>
      <c r="COH3" s="10" t="s">
        <v>69</v>
      </c>
      <c r="COI3" s="10" t="s">
        <v>67</v>
      </c>
      <c r="COJ3" s="10" t="s">
        <v>69</v>
      </c>
      <c r="COK3" s="10" t="s">
        <v>67</v>
      </c>
      <c r="COL3" s="10" t="s">
        <v>69</v>
      </c>
      <c r="COM3" s="10" t="s">
        <v>67</v>
      </c>
      <c r="CON3" s="10" t="s">
        <v>69</v>
      </c>
      <c r="COO3" s="10" t="s">
        <v>67</v>
      </c>
      <c r="COP3" s="10" t="s">
        <v>69</v>
      </c>
      <c r="COQ3" s="10" t="s">
        <v>67</v>
      </c>
      <c r="COR3" s="10" t="s">
        <v>69</v>
      </c>
      <c r="COS3" s="10" t="s">
        <v>67</v>
      </c>
      <c r="COT3" s="10" t="s">
        <v>69</v>
      </c>
      <c r="COU3" s="10" t="s">
        <v>67</v>
      </c>
      <c r="COV3" s="10" t="s">
        <v>69</v>
      </c>
      <c r="COW3" s="10" t="s">
        <v>67</v>
      </c>
      <c r="COX3" s="10" t="s">
        <v>69</v>
      </c>
      <c r="COY3" s="10" t="s">
        <v>67</v>
      </c>
      <c r="COZ3" s="10" t="s">
        <v>69</v>
      </c>
      <c r="CPA3" s="10" t="s">
        <v>67</v>
      </c>
      <c r="CPB3" s="10" t="s">
        <v>69</v>
      </c>
      <c r="CPC3" s="10" t="s">
        <v>67</v>
      </c>
      <c r="CPD3" s="10" t="s">
        <v>69</v>
      </c>
      <c r="CPE3" s="10" t="s">
        <v>67</v>
      </c>
      <c r="CPF3" s="10" t="s">
        <v>69</v>
      </c>
      <c r="CPG3" s="10" t="s">
        <v>67</v>
      </c>
      <c r="CPH3" s="10" t="s">
        <v>69</v>
      </c>
      <c r="CPI3" s="10" t="s">
        <v>67</v>
      </c>
      <c r="CPJ3" s="10" t="s">
        <v>69</v>
      </c>
      <c r="CPK3" s="10" t="s">
        <v>67</v>
      </c>
      <c r="CPL3" s="10" t="s">
        <v>69</v>
      </c>
      <c r="CPM3" s="10" t="s">
        <v>67</v>
      </c>
      <c r="CPN3" s="10" t="s">
        <v>69</v>
      </c>
      <c r="CPO3" s="10" t="s">
        <v>67</v>
      </c>
      <c r="CPP3" s="10" t="s">
        <v>69</v>
      </c>
      <c r="CPQ3" s="10" t="s">
        <v>67</v>
      </c>
      <c r="CPR3" s="10" t="s">
        <v>69</v>
      </c>
      <c r="CPS3" s="10" t="s">
        <v>67</v>
      </c>
      <c r="CPT3" s="10" t="s">
        <v>69</v>
      </c>
      <c r="CPU3" s="10" t="s">
        <v>67</v>
      </c>
      <c r="CPV3" s="10" t="s">
        <v>69</v>
      </c>
      <c r="CPW3" s="10" t="s">
        <v>67</v>
      </c>
      <c r="CPX3" s="10" t="s">
        <v>69</v>
      </c>
      <c r="CPY3" s="10" t="s">
        <v>67</v>
      </c>
      <c r="CPZ3" s="10" t="s">
        <v>69</v>
      </c>
      <c r="CQA3" s="10" t="s">
        <v>67</v>
      </c>
      <c r="CQB3" s="10" t="s">
        <v>69</v>
      </c>
      <c r="CQC3" s="10" t="s">
        <v>67</v>
      </c>
      <c r="CQD3" s="10" t="s">
        <v>69</v>
      </c>
      <c r="CQE3" s="10" t="s">
        <v>67</v>
      </c>
      <c r="CQF3" s="10" t="s">
        <v>69</v>
      </c>
      <c r="CQG3" s="10" t="s">
        <v>67</v>
      </c>
      <c r="CQH3" s="10" t="s">
        <v>69</v>
      </c>
      <c r="CQI3" s="10" t="s">
        <v>67</v>
      </c>
      <c r="CQJ3" s="10" t="s">
        <v>69</v>
      </c>
      <c r="CQK3" s="10" t="s">
        <v>67</v>
      </c>
      <c r="CQL3" s="10" t="s">
        <v>69</v>
      </c>
      <c r="CQM3" s="10" t="s">
        <v>67</v>
      </c>
      <c r="CQN3" s="10" t="s">
        <v>69</v>
      </c>
      <c r="CQO3" s="10" t="s">
        <v>67</v>
      </c>
      <c r="CQP3" s="10" t="s">
        <v>69</v>
      </c>
      <c r="CQQ3" s="10" t="s">
        <v>67</v>
      </c>
      <c r="CQR3" s="10" t="s">
        <v>69</v>
      </c>
      <c r="CQS3" s="10" t="s">
        <v>67</v>
      </c>
      <c r="CQT3" s="10" t="s">
        <v>69</v>
      </c>
      <c r="CQU3" s="10" t="s">
        <v>67</v>
      </c>
      <c r="CQV3" s="10" t="s">
        <v>69</v>
      </c>
      <c r="CQW3" s="10" t="s">
        <v>67</v>
      </c>
      <c r="CQX3" s="10" t="s">
        <v>69</v>
      </c>
      <c r="CQY3" s="10" t="s">
        <v>67</v>
      </c>
      <c r="CQZ3" s="10" t="s">
        <v>69</v>
      </c>
      <c r="CRA3" s="10" t="s">
        <v>67</v>
      </c>
      <c r="CRB3" s="10" t="s">
        <v>69</v>
      </c>
      <c r="CRC3" s="10" t="s">
        <v>67</v>
      </c>
      <c r="CRD3" s="10" t="s">
        <v>69</v>
      </c>
      <c r="CRE3" s="10" t="s">
        <v>67</v>
      </c>
      <c r="CRF3" s="10" t="s">
        <v>69</v>
      </c>
      <c r="CRG3" s="10" t="s">
        <v>67</v>
      </c>
      <c r="CRH3" s="10" t="s">
        <v>69</v>
      </c>
      <c r="CRI3" s="10" t="s">
        <v>67</v>
      </c>
      <c r="CRJ3" s="10" t="s">
        <v>69</v>
      </c>
      <c r="CRK3" s="10" t="s">
        <v>67</v>
      </c>
      <c r="CRL3" s="10" t="s">
        <v>69</v>
      </c>
      <c r="CRM3" s="10" t="s">
        <v>67</v>
      </c>
      <c r="CRN3" s="10" t="s">
        <v>69</v>
      </c>
      <c r="CRO3" s="10" t="s">
        <v>67</v>
      </c>
      <c r="CRP3" s="10" t="s">
        <v>69</v>
      </c>
      <c r="CRQ3" s="10" t="s">
        <v>67</v>
      </c>
      <c r="CRR3" s="10" t="s">
        <v>69</v>
      </c>
      <c r="CRS3" s="10" t="s">
        <v>67</v>
      </c>
      <c r="CRT3" s="10" t="s">
        <v>69</v>
      </c>
      <c r="CRU3" s="10" t="s">
        <v>67</v>
      </c>
      <c r="CRV3" s="10" t="s">
        <v>69</v>
      </c>
      <c r="CRW3" s="10" t="s">
        <v>67</v>
      </c>
      <c r="CRX3" s="10" t="s">
        <v>69</v>
      </c>
      <c r="CRY3" s="10" t="s">
        <v>67</v>
      </c>
      <c r="CRZ3" s="10" t="s">
        <v>69</v>
      </c>
      <c r="CSA3" s="10" t="s">
        <v>67</v>
      </c>
      <c r="CSB3" s="10" t="s">
        <v>69</v>
      </c>
      <c r="CSC3" s="10" t="s">
        <v>67</v>
      </c>
      <c r="CSD3" s="10" t="s">
        <v>69</v>
      </c>
      <c r="CSE3" s="10" t="s">
        <v>67</v>
      </c>
      <c r="CSF3" s="10" t="s">
        <v>69</v>
      </c>
      <c r="CSG3" s="10" t="s">
        <v>67</v>
      </c>
      <c r="CSH3" s="10" t="s">
        <v>69</v>
      </c>
      <c r="CSI3" s="10" t="s">
        <v>67</v>
      </c>
      <c r="CSJ3" s="10" t="s">
        <v>69</v>
      </c>
      <c r="CSK3" s="10" t="s">
        <v>67</v>
      </c>
      <c r="CSL3" s="10" t="s">
        <v>69</v>
      </c>
      <c r="CSM3" s="10" t="s">
        <v>67</v>
      </c>
      <c r="CSN3" s="10" t="s">
        <v>69</v>
      </c>
      <c r="CSO3" s="10" t="s">
        <v>67</v>
      </c>
      <c r="CSP3" s="10" t="s">
        <v>69</v>
      </c>
      <c r="CSQ3" s="10" t="s">
        <v>67</v>
      </c>
      <c r="CSR3" s="10" t="s">
        <v>69</v>
      </c>
      <c r="CSS3" s="10" t="s">
        <v>67</v>
      </c>
      <c r="CST3" s="10" t="s">
        <v>69</v>
      </c>
      <c r="CSU3" s="10" t="s">
        <v>67</v>
      </c>
      <c r="CSV3" s="10" t="s">
        <v>69</v>
      </c>
      <c r="CSW3" s="10" t="s">
        <v>67</v>
      </c>
      <c r="CSX3" s="10" t="s">
        <v>69</v>
      </c>
      <c r="CSY3" s="10" t="s">
        <v>67</v>
      </c>
      <c r="CSZ3" s="10" t="s">
        <v>69</v>
      </c>
      <c r="CTA3" s="10" t="s">
        <v>67</v>
      </c>
      <c r="CTB3" s="10" t="s">
        <v>69</v>
      </c>
      <c r="CTC3" s="10" t="s">
        <v>67</v>
      </c>
      <c r="CTD3" s="10" t="s">
        <v>69</v>
      </c>
      <c r="CTE3" s="10" t="s">
        <v>67</v>
      </c>
      <c r="CTF3" s="10" t="s">
        <v>69</v>
      </c>
      <c r="CTG3" s="10" t="s">
        <v>67</v>
      </c>
      <c r="CTH3" s="10" t="s">
        <v>69</v>
      </c>
      <c r="CTI3" s="10" t="s">
        <v>67</v>
      </c>
      <c r="CTJ3" s="10" t="s">
        <v>69</v>
      </c>
      <c r="CTK3" s="10" t="s">
        <v>67</v>
      </c>
      <c r="CTL3" s="10" t="s">
        <v>69</v>
      </c>
      <c r="CTM3" s="10" t="s">
        <v>67</v>
      </c>
      <c r="CTN3" s="10" t="s">
        <v>69</v>
      </c>
      <c r="CTO3" s="10" t="s">
        <v>67</v>
      </c>
      <c r="CTP3" s="10" t="s">
        <v>69</v>
      </c>
      <c r="CTQ3" s="10" t="s">
        <v>67</v>
      </c>
      <c r="CTR3" s="10" t="s">
        <v>69</v>
      </c>
      <c r="CTS3" s="10" t="s">
        <v>67</v>
      </c>
      <c r="CTT3" s="10" t="s">
        <v>69</v>
      </c>
      <c r="CTU3" s="10" t="s">
        <v>67</v>
      </c>
      <c r="CTV3" s="10" t="s">
        <v>69</v>
      </c>
      <c r="CTW3" s="10" t="s">
        <v>67</v>
      </c>
      <c r="CTX3" s="10" t="s">
        <v>69</v>
      </c>
      <c r="CTY3" s="10" t="s">
        <v>67</v>
      </c>
      <c r="CTZ3" s="10" t="s">
        <v>69</v>
      </c>
      <c r="CUA3" s="10" t="s">
        <v>67</v>
      </c>
      <c r="CUB3" s="10" t="s">
        <v>69</v>
      </c>
      <c r="CUC3" s="10" t="s">
        <v>67</v>
      </c>
      <c r="CUD3" s="10" t="s">
        <v>69</v>
      </c>
      <c r="CUE3" s="10" t="s">
        <v>67</v>
      </c>
      <c r="CUF3" s="10" t="s">
        <v>69</v>
      </c>
      <c r="CUG3" s="10" t="s">
        <v>67</v>
      </c>
      <c r="CUH3" s="10" t="s">
        <v>69</v>
      </c>
      <c r="CUI3" s="10" t="s">
        <v>67</v>
      </c>
      <c r="CUJ3" s="10" t="s">
        <v>69</v>
      </c>
      <c r="CUK3" s="10" t="s">
        <v>67</v>
      </c>
      <c r="CUL3" s="10" t="s">
        <v>69</v>
      </c>
      <c r="CUM3" s="10" t="s">
        <v>67</v>
      </c>
      <c r="CUN3" s="10" t="s">
        <v>69</v>
      </c>
      <c r="CUO3" s="10" t="s">
        <v>67</v>
      </c>
      <c r="CUP3" s="10" t="s">
        <v>69</v>
      </c>
      <c r="CUQ3" s="10" t="s">
        <v>67</v>
      </c>
      <c r="CUR3" s="10" t="s">
        <v>69</v>
      </c>
      <c r="CUS3" s="10" t="s">
        <v>67</v>
      </c>
      <c r="CUT3" s="10" t="s">
        <v>69</v>
      </c>
      <c r="CUU3" s="10" t="s">
        <v>67</v>
      </c>
      <c r="CUV3" s="10" t="s">
        <v>69</v>
      </c>
      <c r="CUW3" s="10" t="s">
        <v>67</v>
      </c>
      <c r="CUX3" s="10" t="s">
        <v>69</v>
      </c>
      <c r="CUY3" s="10" t="s">
        <v>67</v>
      </c>
      <c r="CUZ3" s="10" t="s">
        <v>69</v>
      </c>
      <c r="CVA3" s="10" t="s">
        <v>67</v>
      </c>
      <c r="CVB3" s="10" t="s">
        <v>69</v>
      </c>
      <c r="CVC3" s="10" t="s">
        <v>67</v>
      </c>
      <c r="CVD3" s="10" t="s">
        <v>69</v>
      </c>
      <c r="CVE3" s="10" t="s">
        <v>67</v>
      </c>
      <c r="CVF3" s="10" t="s">
        <v>69</v>
      </c>
      <c r="CVG3" s="10" t="s">
        <v>67</v>
      </c>
      <c r="CVH3" s="10" t="s">
        <v>69</v>
      </c>
      <c r="CVI3" s="10" t="s">
        <v>67</v>
      </c>
      <c r="CVJ3" s="10" t="s">
        <v>69</v>
      </c>
      <c r="CVK3" s="10" t="s">
        <v>67</v>
      </c>
      <c r="CVL3" s="10" t="s">
        <v>69</v>
      </c>
      <c r="CVM3" s="10" t="s">
        <v>67</v>
      </c>
      <c r="CVN3" s="10" t="s">
        <v>69</v>
      </c>
      <c r="CVO3" s="10" t="s">
        <v>67</v>
      </c>
      <c r="CVP3" s="10" t="s">
        <v>69</v>
      </c>
      <c r="CVQ3" s="10" t="s">
        <v>67</v>
      </c>
      <c r="CVR3" s="10" t="s">
        <v>69</v>
      </c>
      <c r="CVS3" s="10" t="s">
        <v>67</v>
      </c>
      <c r="CVT3" s="10" t="s">
        <v>69</v>
      </c>
      <c r="CVU3" s="10" t="s">
        <v>67</v>
      </c>
      <c r="CVV3" s="10" t="s">
        <v>69</v>
      </c>
      <c r="CVW3" s="10" t="s">
        <v>67</v>
      </c>
      <c r="CVX3" s="10" t="s">
        <v>69</v>
      </c>
      <c r="CVY3" s="10" t="s">
        <v>67</v>
      </c>
      <c r="CVZ3" s="10" t="s">
        <v>69</v>
      </c>
      <c r="CWA3" s="10" t="s">
        <v>67</v>
      </c>
      <c r="CWB3" s="10" t="s">
        <v>69</v>
      </c>
      <c r="CWC3" s="10" t="s">
        <v>67</v>
      </c>
      <c r="CWD3" s="10" t="s">
        <v>69</v>
      </c>
      <c r="CWE3" s="10" t="s">
        <v>67</v>
      </c>
      <c r="CWF3" s="10" t="s">
        <v>69</v>
      </c>
      <c r="CWG3" s="10" t="s">
        <v>67</v>
      </c>
      <c r="CWH3" s="10" t="s">
        <v>69</v>
      </c>
      <c r="CWI3" s="10" t="s">
        <v>67</v>
      </c>
      <c r="CWJ3" s="10" t="s">
        <v>69</v>
      </c>
      <c r="CWK3" s="10" t="s">
        <v>67</v>
      </c>
      <c r="CWL3" s="10" t="s">
        <v>69</v>
      </c>
      <c r="CWM3" s="10" t="s">
        <v>67</v>
      </c>
      <c r="CWN3" s="10" t="s">
        <v>69</v>
      </c>
      <c r="CWO3" s="10" t="s">
        <v>67</v>
      </c>
      <c r="CWP3" s="10" t="s">
        <v>69</v>
      </c>
      <c r="CWQ3" s="10" t="s">
        <v>67</v>
      </c>
      <c r="CWR3" s="10" t="s">
        <v>69</v>
      </c>
      <c r="CWS3" s="10" t="s">
        <v>67</v>
      </c>
      <c r="CWT3" s="10" t="s">
        <v>69</v>
      </c>
      <c r="CWU3" s="10" t="s">
        <v>67</v>
      </c>
      <c r="CWV3" s="10" t="s">
        <v>69</v>
      </c>
      <c r="CWW3" s="10" t="s">
        <v>67</v>
      </c>
      <c r="CWX3" s="10" t="s">
        <v>69</v>
      </c>
      <c r="CWY3" s="10" t="s">
        <v>67</v>
      </c>
      <c r="CWZ3" s="10" t="s">
        <v>69</v>
      </c>
      <c r="CXA3" s="10" t="s">
        <v>67</v>
      </c>
      <c r="CXB3" s="10" t="s">
        <v>69</v>
      </c>
      <c r="CXC3" s="10" t="s">
        <v>67</v>
      </c>
      <c r="CXD3" s="10" t="s">
        <v>69</v>
      </c>
      <c r="CXE3" s="10" t="s">
        <v>67</v>
      </c>
      <c r="CXF3" s="10" t="s">
        <v>69</v>
      </c>
      <c r="CXG3" s="10" t="s">
        <v>67</v>
      </c>
      <c r="CXH3" s="10" t="s">
        <v>69</v>
      </c>
      <c r="CXI3" s="10" t="s">
        <v>67</v>
      </c>
      <c r="CXJ3" s="10" t="s">
        <v>69</v>
      </c>
      <c r="CXK3" s="10" t="s">
        <v>67</v>
      </c>
      <c r="CXL3" s="10" t="s">
        <v>69</v>
      </c>
      <c r="CXM3" s="10" t="s">
        <v>67</v>
      </c>
      <c r="CXN3" s="10" t="s">
        <v>69</v>
      </c>
      <c r="CXO3" s="10" t="s">
        <v>67</v>
      </c>
      <c r="CXP3" s="10" t="s">
        <v>69</v>
      </c>
      <c r="CXQ3" s="10" t="s">
        <v>67</v>
      </c>
      <c r="CXR3" s="10" t="s">
        <v>69</v>
      </c>
      <c r="CXS3" s="10" t="s">
        <v>67</v>
      </c>
      <c r="CXT3" s="10" t="s">
        <v>69</v>
      </c>
      <c r="CXU3" s="10" t="s">
        <v>67</v>
      </c>
      <c r="CXV3" s="10" t="s">
        <v>69</v>
      </c>
      <c r="CXW3" s="10" t="s">
        <v>67</v>
      </c>
      <c r="CXX3" s="10" t="s">
        <v>69</v>
      </c>
      <c r="CXY3" s="10" t="s">
        <v>67</v>
      </c>
      <c r="CXZ3" s="10" t="s">
        <v>69</v>
      </c>
      <c r="CYA3" s="10" t="s">
        <v>67</v>
      </c>
      <c r="CYB3" s="10" t="s">
        <v>69</v>
      </c>
      <c r="CYC3" s="10" t="s">
        <v>67</v>
      </c>
      <c r="CYD3" s="10" t="s">
        <v>69</v>
      </c>
      <c r="CYE3" s="10" t="s">
        <v>67</v>
      </c>
      <c r="CYF3" s="10" t="s">
        <v>69</v>
      </c>
      <c r="CYG3" s="10" t="s">
        <v>67</v>
      </c>
      <c r="CYH3" s="10" t="s">
        <v>69</v>
      </c>
      <c r="CYI3" s="10" t="s">
        <v>67</v>
      </c>
      <c r="CYJ3" s="10" t="s">
        <v>69</v>
      </c>
      <c r="CYK3" s="10" t="s">
        <v>67</v>
      </c>
      <c r="CYL3" s="10" t="s">
        <v>69</v>
      </c>
      <c r="CYM3" s="10" t="s">
        <v>67</v>
      </c>
      <c r="CYN3" s="10" t="s">
        <v>69</v>
      </c>
      <c r="CYO3" s="10" t="s">
        <v>67</v>
      </c>
      <c r="CYP3" s="10" t="s">
        <v>69</v>
      </c>
      <c r="CYQ3" s="10" t="s">
        <v>67</v>
      </c>
      <c r="CYR3" s="10" t="s">
        <v>69</v>
      </c>
      <c r="CYS3" s="10" t="s">
        <v>67</v>
      </c>
      <c r="CYT3" s="10" t="s">
        <v>69</v>
      </c>
      <c r="CYU3" s="10" t="s">
        <v>67</v>
      </c>
      <c r="CYV3" s="10" t="s">
        <v>69</v>
      </c>
      <c r="CYW3" s="10" t="s">
        <v>67</v>
      </c>
      <c r="CYX3" s="10" t="s">
        <v>69</v>
      </c>
      <c r="CYY3" s="10" t="s">
        <v>67</v>
      </c>
      <c r="CYZ3" s="10" t="s">
        <v>69</v>
      </c>
      <c r="CZA3" s="10" t="s">
        <v>67</v>
      </c>
      <c r="CZB3" s="10" t="s">
        <v>69</v>
      </c>
      <c r="CZC3" s="10" t="s">
        <v>67</v>
      </c>
      <c r="CZD3" s="10" t="s">
        <v>69</v>
      </c>
      <c r="CZE3" s="10" t="s">
        <v>67</v>
      </c>
      <c r="CZF3" s="10" t="s">
        <v>69</v>
      </c>
      <c r="CZG3" s="10" t="s">
        <v>67</v>
      </c>
      <c r="CZH3" s="10" t="s">
        <v>69</v>
      </c>
      <c r="CZI3" s="10" t="s">
        <v>67</v>
      </c>
      <c r="CZJ3" s="10" t="s">
        <v>69</v>
      </c>
      <c r="CZK3" s="10" t="s">
        <v>67</v>
      </c>
      <c r="CZL3" s="10" t="s">
        <v>69</v>
      </c>
      <c r="CZM3" s="10" t="s">
        <v>67</v>
      </c>
      <c r="CZN3" s="10" t="s">
        <v>69</v>
      </c>
      <c r="CZO3" s="10" t="s">
        <v>67</v>
      </c>
      <c r="CZP3" s="10" t="s">
        <v>69</v>
      </c>
      <c r="CZQ3" s="10" t="s">
        <v>67</v>
      </c>
      <c r="CZR3" s="10" t="s">
        <v>69</v>
      </c>
      <c r="CZS3" s="10" t="s">
        <v>67</v>
      </c>
      <c r="CZT3" s="10" t="s">
        <v>69</v>
      </c>
      <c r="CZU3" s="10" t="s">
        <v>67</v>
      </c>
      <c r="CZV3" s="10" t="s">
        <v>69</v>
      </c>
      <c r="CZW3" s="10" t="s">
        <v>67</v>
      </c>
      <c r="CZX3" s="10" t="s">
        <v>69</v>
      </c>
      <c r="CZY3" s="10" t="s">
        <v>67</v>
      </c>
      <c r="CZZ3" s="10" t="s">
        <v>69</v>
      </c>
      <c r="DAA3" s="10" t="s">
        <v>67</v>
      </c>
      <c r="DAB3" s="10" t="s">
        <v>69</v>
      </c>
      <c r="DAC3" s="10" t="s">
        <v>67</v>
      </c>
      <c r="DAD3" s="10" t="s">
        <v>69</v>
      </c>
      <c r="DAE3" s="10" t="s">
        <v>67</v>
      </c>
      <c r="DAF3" s="10" t="s">
        <v>69</v>
      </c>
      <c r="DAG3" s="10" t="s">
        <v>67</v>
      </c>
      <c r="DAH3" s="10" t="s">
        <v>69</v>
      </c>
      <c r="DAI3" s="10" t="s">
        <v>67</v>
      </c>
      <c r="DAJ3" s="10" t="s">
        <v>69</v>
      </c>
      <c r="DAK3" s="10" t="s">
        <v>67</v>
      </c>
      <c r="DAL3" s="10" t="s">
        <v>69</v>
      </c>
      <c r="DAM3" s="10" t="s">
        <v>67</v>
      </c>
      <c r="DAN3" s="10" t="s">
        <v>69</v>
      </c>
      <c r="DAO3" s="10" t="s">
        <v>67</v>
      </c>
      <c r="DAP3" s="10" t="s">
        <v>69</v>
      </c>
      <c r="DAQ3" s="10" t="s">
        <v>67</v>
      </c>
      <c r="DAR3" s="10" t="s">
        <v>69</v>
      </c>
      <c r="DAS3" s="10" t="s">
        <v>67</v>
      </c>
      <c r="DAT3" s="10" t="s">
        <v>69</v>
      </c>
      <c r="DAU3" s="10" t="s">
        <v>67</v>
      </c>
      <c r="DAV3" s="10" t="s">
        <v>69</v>
      </c>
      <c r="DAW3" s="10" t="s">
        <v>67</v>
      </c>
      <c r="DAX3" s="10" t="s">
        <v>69</v>
      </c>
      <c r="DAY3" s="10" t="s">
        <v>67</v>
      </c>
      <c r="DAZ3" s="10" t="s">
        <v>69</v>
      </c>
      <c r="DBA3" s="10" t="s">
        <v>67</v>
      </c>
      <c r="DBB3" s="10" t="s">
        <v>69</v>
      </c>
      <c r="DBC3" s="10" t="s">
        <v>67</v>
      </c>
      <c r="DBD3" s="10" t="s">
        <v>69</v>
      </c>
      <c r="DBE3" s="10" t="s">
        <v>67</v>
      </c>
      <c r="DBF3" s="10" t="s">
        <v>69</v>
      </c>
      <c r="DBG3" s="10" t="s">
        <v>67</v>
      </c>
      <c r="DBH3" s="10" t="s">
        <v>69</v>
      </c>
      <c r="DBI3" s="10" t="s">
        <v>67</v>
      </c>
      <c r="DBJ3" s="10" t="s">
        <v>69</v>
      </c>
      <c r="DBK3" s="10" t="s">
        <v>67</v>
      </c>
      <c r="DBL3" s="10" t="s">
        <v>69</v>
      </c>
      <c r="DBM3" s="10" t="s">
        <v>67</v>
      </c>
      <c r="DBN3" s="10" t="s">
        <v>69</v>
      </c>
      <c r="DBO3" s="10" t="s">
        <v>67</v>
      </c>
      <c r="DBP3" s="10" t="s">
        <v>69</v>
      </c>
      <c r="DBQ3" s="10" t="s">
        <v>67</v>
      </c>
      <c r="DBR3" s="10" t="s">
        <v>69</v>
      </c>
      <c r="DBS3" s="10" t="s">
        <v>67</v>
      </c>
      <c r="DBT3" s="10" t="s">
        <v>69</v>
      </c>
      <c r="DBU3" s="10" t="s">
        <v>67</v>
      </c>
      <c r="DBV3" s="10" t="s">
        <v>69</v>
      </c>
      <c r="DBW3" s="10" t="s">
        <v>67</v>
      </c>
      <c r="DBX3" s="10" t="s">
        <v>69</v>
      </c>
      <c r="DBY3" s="10" t="s">
        <v>67</v>
      </c>
      <c r="DBZ3" s="10" t="s">
        <v>69</v>
      </c>
      <c r="DCA3" s="10" t="s">
        <v>67</v>
      </c>
      <c r="DCB3" s="10" t="s">
        <v>69</v>
      </c>
      <c r="DCC3" s="10" t="s">
        <v>67</v>
      </c>
      <c r="DCD3" s="10" t="s">
        <v>69</v>
      </c>
      <c r="DCE3" s="10" t="s">
        <v>67</v>
      </c>
      <c r="DCF3" s="10" t="s">
        <v>69</v>
      </c>
      <c r="DCG3" s="10" t="s">
        <v>67</v>
      </c>
      <c r="DCH3" s="10" t="s">
        <v>69</v>
      </c>
      <c r="DCI3" s="10" t="s">
        <v>67</v>
      </c>
      <c r="DCJ3" s="10" t="s">
        <v>69</v>
      </c>
      <c r="DCK3" s="10" t="s">
        <v>67</v>
      </c>
      <c r="DCL3" s="10" t="s">
        <v>69</v>
      </c>
      <c r="DCM3" s="10" t="s">
        <v>67</v>
      </c>
      <c r="DCN3" s="10" t="s">
        <v>69</v>
      </c>
      <c r="DCO3" s="10" t="s">
        <v>67</v>
      </c>
      <c r="DCP3" s="10" t="s">
        <v>69</v>
      </c>
      <c r="DCQ3" s="10" t="s">
        <v>67</v>
      </c>
      <c r="DCR3" s="10" t="s">
        <v>69</v>
      </c>
      <c r="DCS3" s="10" t="s">
        <v>67</v>
      </c>
      <c r="DCT3" s="10" t="s">
        <v>69</v>
      </c>
      <c r="DCU3" s="10" t="s">
        <v>67</v>
      </c>
      <c r="DCV3" s="10" t="s">
        <v>69</v>
      </c>
      <c r="DCW3" s="10" t="s">
        <v>67</v>
      </c>
      <c r="DCX3" s="10" t="s">
        <v>69</v>
      </c>
      <c r="DCY3" s="10" t="s">
        <v>67</v>
      </c>
      <c r="DCZ3" s="10" t="s">
        <v>69</v>
      </c>
      <c r="DDA3" s="10" t="s">
        <v>67</v>
      </c>
      <c r="DDB3" s="10" t="s">
        <v>69</v>
      </c>
      <c r="DDC3" s="10" t="s">
        <v>67</v>
      </c>
      <c r="DDD3" s="10" t="s">
        <v>69</v>
      </c>
      <c r="DDE3" s="10" t="s">
        <v>67</v>
      </c>
      <c r="DDF3" s="10" t="s">
        <v>69</v>
      </c>
      <c r="DDG3" s="10" t="s">
        <v>67</v>
      </c>
      <c r="DDH3" s="10" t="s">
        <v>69</v>
      </c>
      <c r="DDI3" s="10" t="s">
        <v>67</v>
      </c>
      <c r="DDJ3" s="10" t="s">
        <v>69</v>
      </c>
      <c r="DDK3" s="10" t="s">
        <v>67</v>
      </c>
      <c r="DDL3" s="10" t="s">
        <v>69</v>
      </c>
      <c r="DDM3" s="10" t="s">
        <v>67</v>
      </c>
      <c r="DDN3" s="10" t="s">
        <v>69</v>
      </c>
      <c r="DDO3" s="10" t="s">
        <v>67</v>
      </c>
      <c r="DDP3" s="10" t="s">
        <v>69</v>
      </c>
      <c r="DDQ3" s="10" t="s">
        <v>67</v>
      </c>
      <c r="DDR3" s="10" t="s">
        <v>69</v>
      </c>
      <c r="DDS3" s="10" t="s">
        <v>67</v>
      </c>
      <c r="DDT3" s="10" t="s">
        <v>69</v>
      </c>
      <c r="DDU3" s="10" t="s">
        <v>67</v>
      </c>
      <c r="DDV3" s="10" t="s">
        <v>69</v>
      </c>
      <c r="DDW3" s="10" t="s">
        <v>67</v>
      </c>
      <c r="DDX3" s="10" t="s">
        <v>69</v>
      </c>
      <c r="DDY3" s="10" t="s">
        <v>67</v>
      </c>
      <c r="DDZ3" s="10" t="s">
        <v>69</v>
      </c>
      <c r="DEA3" s="10" t="s">
        <v>67</v>
      </c>
      <c r="DEB3" s="10" t="s">
        <v>69</v>
      </c>
      <c r="DEC3" s="10" t="s">
        <v>67</v>
      </c>
      <c r="DED3" s="10" t="s">
        <v>69</v>
      </c>
      <c r="DEE3" s="10" t="s">
        <v>67</v>
      </c>
      <c r="DEF3" s="10" t="s">
        <v>69</v>
      </c>
      <c r="DEG3" s="10" t="s">
        <v>67</v>
      </c>
      <c r="DEH3" s="10" t="s">
        <v>69</v>
      </c>
      <c r="DEI3" s="10" t="s">
        <v>67</v>
      </c>
      <c r="DEJ3" s="10" t="s">
        <v>69</v>
      </c>
      <c r="DEK3" s="10" t="s">
        <v>67</v>
      </c>
      <c r="DEL3" s="10" t="s">
        <v>69</v>
      </c>
      <c r="DEM3" s="10" t="s">
        <v>67</v>
      </c>
      <c r="DEN3" s="10" t="s">
        <v>69</v>
      </c>
      <c r="DEO3" s="10" t="s">
        <v>67</v>
      </c>
      <c r="DEP3" s="10" t="s">
        <v>69</v>
      </c>
      <c r="DEQ3" s="10" t="s">
        <v>67</v>
      </c>
      <c r="DER3" s="10" t="s">
        <v>69</v>
      </c>
      <c r="DES3" s="10" t="s">
        <v>67</v>
      </c>
      <c r="DET3" s="10" t="s">
        <v>69</v>
      </c>
      <c r="DEU3" s="10" t="s">
        <v>67</v>
      </c>
      <c r="DEV3" s="10" t="s">
        <v>69</v>
      </c>
      <c r="DEW3" s="10" t="s">
        <v>67</v>
      </c>
      <c r="DEX3" s="10" t="s">
        <v>69</v>
      </c>
      <c r="DEY3" s="10" t="s">
        <v>67</v>
      </c>
      <c r="DEZ3" s="10" t="s">
        <v>69</v>
      </c>
      <c r="DFA3" s="10" t="s">
        <v>67</v>
      </c>
      <c r="DFB3" s="10" t="s">
        <v>69</v>
      </c>
      <c r="DFC3" s="10" t="s">
        <v>67</v>
      </c>
      <c r="DFD3" s="10" t="s">
        <v>69</v>
      </c>
      <c r="DFE3" s="10" t="s">
        <v>67</v>
      </c>
      <c r="DFF3" s="10" t="s">
        <v>69</v>
      </c>
      <c r="DFG3" s="10" t="s">
        <v>67</v>
      </c>
      <c r="DFH3" s="10" t="s">
        <v>69</v>
      </c>
      <c r="DFI3" s="10" t="s">
        <v>67</v>
      </c>
      <c r="DFJ3" s="10" t="s">
        <v>69</v>
      </c>
      <c r="DFK3" s="10" t="s">
        <v>67</v>
      </c>
      <c r="DFL3" s="10" t="s">
        <v>69</v>
      </c>
      <c r="DFM3" s="10" t="s">
        <v>67</v>
      </c>
      <c r="DFN3" s="10" t="s">
        <v>69</v>
      </c>
      <c r="DFO3" s="10" t="s">
        <v>67</v>
      </c>
      <c r="DFP3" s="10" t="s">
        <v>69</v>
      </c>
      <c r="DFQ3" s="10" t="s">
        <v>67</v>
      </c>
      <c r="DFR3" s="10" t="s">
        <v>69</v>
      </c>
      <c r="DFS3" s="10" t="s">
        <v>67</v>
      </c>
      <c r="DFT3" s="10" t="s">
        <v>69</v>
      </c>
      <c r="DFU3" s="10" t="s">
        <v>67</v>
      </c>
      <c r="DFV3" s="10" t="s">
        <v>69</v>
      </c>
      <c r="DFW3" s="10" t="s">
        <v>67</v>
      </c>
      <c r="DFX3" s="10" t="s">
        <v>69</v>
      </c>
      <c r="DFY3" s="10" t="s">
        <v>67</v>
      </c>
      <c r="DFZ3" s="10" t="s">
        <v>69</v>
      </c>
      <c r="DGA3" s="10" t="s">
        <v>67</v>
      </c>
      <c r="DGB3" s="10" t="s">
        <v>69</v>
      </c>
      <c r="DGC3" s="10" t="s">
        <v>67</v>
      </c>
      <c r="DGD3" s="10" t="s">
        <v>69</v>
      </c>
      <c r="DGE3" s="10" t="s">
        <v>67</v>
      </c>
      <c r="DGF3" s="10" t="s">
        <v>69</v>
      </c>
      <c r="DGG3" s="10" t="s">
        <v>67</v>
      </c>
      <c r="DGH3" s="10" t="s">
        <v>69</v>
      </c>
      <c r="DGI3" s="10" t="s">
        <v>67</v>
      </c>
      <c r="DGJ3" s="10" t="s">
        <v>69</v>
      </c>
      <c r="DGK3" s="10" t="s">
        <v>67</v>
      </c>
      <c r="DGL3" s="10" t="s">
        <v>69</v>
      </c>
      <c r="DGM3" s="10" t="s">
        <v>67</v>
      </c>
      <c r="DGN3" s="10" t="s">
        <v>69</v>
      </c>
      <c r="DGO3" s="10" t="s">
        <v>67</v>
      </c>
      <c r="DGP3" s="10" t="s">
        <v>69</v>
      </c>
      <c r="DGQ3" s="10" t="s">
        <v>67</v>
      </c>
      <c r="DGR3" s="10" t="s">
        <v>69</v>
      </c>
      <c r="DGS3" s="10" t="s">
        <v>67</v>
      </c>
      <c r="DGT3" s="10" t="s">
        <v>69</v>
      </c>
      <c r="DGU3" s="10" t="s">
        <v>67</v>
      </c>
      <c r="DGV3" s="10" t="s">
        <v>69</v>
      </c>
      <c r="DGW3" s="10" t="s">
        <v>67</v>
      </c>
      <c r="DGX3" s="10" t="s">
        <v>69</v>
      </c>
      <c r="DGY3" s="10" t="s">
        <v>67</v>
      </c>
      <c r="DGZ3" s="10" t="s">
        <v>69</v>
      </c>
      <c r="DHA3" s="10" t="s">
        <v>67</v>
      </c>
      <c r="DHB3" s="10" t="s">
        <v>69</v>
      </c>
      <c r="DHC3" s="10" t="s">
        <v>67</v>
      </c>
      <c r="DHD3" s="10" t="s">
        <v>69</v>
      </c>
      <c r="DHE3" s="10" t="s">
        <v>67</v>
      </c>
      <c r="DHF3" s="10" t="s">
        <v>69</v>
      </c>
      <c r="DHG3" s="10" t="s">
        <v>67</v>
      </c>
      <c r="DHH3" s="10" t="s">
        <v>69</v>
      </c>
      <c r="DHI3" s="10" t="s">
        <v>67</v>
      </c>
      <c r="DHJ3" s="10" t="s">
        <v>69</v>
      </c>
      <c r="DHK3" s="10" t="s">
        <v>67</v>
      </c>
      <c r="DHL3" s="10" t="s">
        <v>69</v>
      </c>
      <c r="DHM3" s="10" t="s">
        <v>67</v>
      </c>
      <c r="DHN3" s="10" t="s">
        <v>69</v>
      </c>
      <c r="DHO3" s="10" t="s">
        <v>67</v>
      </c>
      <c r="DHP3" s="10" t="s">
        <v>69</v>
      </c>
      <c r="DHQ3" s="10" t="s">
        <v>67</v>
      </c>
      <c r="DHR3" s="10" t="s">
        <v>69</v>
      </c>
      <c r="DHS3" s="10" t="s">
        <v>67</v>
      </c>
      <c r="DHT3" s="10" t="s">
        <v>69</v>
      </c>
      <c r="DHU3" s="10" t="s">
        <v>67</v>
      </c>
      <c r="DHV3" s="10" t="s">
        <v>69</v>
      </c>
      <c r="DHW3" s="10" t="s">
        <v>67</v>
      </c>
      <c r="DHX3" s="10" t="s">
        <v>69</v>
      </c>
      <c r="DHY3" s="10" t="s">
        <v>67</v>
      </c>
      <c r="DHZ3" s="10" t="s">
        <v>69</v>
      </c>
      <c r="DIA3" s="10" t="s">
        <v>67</v>
      </c>
      <c r="DIB3" s="10" t="s">
        <v>69</v>
      </c>
      <c r="DIC3" s="10" t="s">
        <v>67</v>
      </c>
      <c r="DID3" s="10" t="s">
        <v>69</v>
      </c>
      <c r="DIE3" s="10" t="s">
        <v>67</v>
      </c>
      <c r="DIF3" s="10" t="s">
        <v>69</v>
      </c>
      <c r="DIG3" s="10" t="s">
        <v>67</v>
      </c>
      <c r="DIH3" s="10" t="s">
        <v>69</v>
      </c>
      <c r="DII3" s="10" t="s">
        <v>67</v>
      </c>
      <c r="DIJ3" s="10" t="s">
        <v>69</v>
      </c>
      <c r="DIK3" s="10" t="s">
        <v>67</v>
      </c>
      <c r="DIL3" s="10" t="s">
        <v>69</v>
      </c>
      <c r="DIM3" s="10" t="s">
        <v>67</v>
      </c>
      <c r="DIN3" s="10" t="s">
        <v>69</v>
      </c>
      <c r="DIO3" s="10" t="s">
        <v>67</v>
      </c>
      <c r="DIP3" s="10" t="s">
        <v>69</v>
      </c>
      <c r="DIQ3" s="10" t="s">
        <v>67</v>
      </c>
      <c r="DIR3" s="10" t="s">
        <v>69</v>
      </c>
      <c r="DIS3" s="10" t="s">
        <v>67</v>
      </c>
      <c r="DIT3" s="10" t="s">
        <v>69</v>
      </c>
      <c r="DIU3" s="10" t="s">
        <v>67</v>
      </c>
      <c r="DIV3" s="10" t="s">
        <v>69</v>
      </c>
      <c r="DIW3" s="10" t="s">
        <v>67</v>
      </c>
      <c r="DIX3" s="10" t="s">
        <v>69</v>
      </c>
      <c r="DIY3" s="10" t="s">
        <v>67</v>
      </c>
      <c r="DIZ3" s="10" t="s">
        <v>69</v>
      </c>
      <c r="DJA3" s="10" t="s">
        <v>67</v>
      </c>
      <c r="DJB3" s="10" t="s">
        <v>69</v>
      </c>
      <c r="DJC3" s="10" t="s">
        <v>67</v>
      </c>
      <c r="DJD3" s="10" t="s">
        <v>69</v>
      </c>
      <c r="DJE3" s="10" t="s">
        <v>67</v>
      </c>
      <c r="DJF3" s="10" t="s">
        <v>69</v>
      </c>
      <c r="DJG3" s="10" t="s">
        <v>67</v>
      </c>
      <c r="DJH3" s="10" t="s">
        <v>69</v>
      </c>
      <c r="DJI3" s="10" t="s">
        <v>67</v>
      </c>
      <c r="DJJ3" s="10" t="s">
        <v>69</v>
      </c>
      <c r="DJK3" s="10" t="s">
        <v>67</v>
      </c>
      <c r="DJL3" s="10" t="s">
        <v>69</v>
      </c>
      <c r="DJM3" s="10" t="s">
        <v>67</v>
      </c>
      <c r="DJN3" s="10" t="s">
        <v>69</v>
      </c>
      <c r="DJO3" s="10" t="s">
        <v>67</v>
      </c>
      <c r="DJP3" s="10" t="s">
        <v>69</v>
      </c>
      <c r="DJQ3" s="10" t="s">
        <v>67</v>
      </c>
      <c r="DJR3" s="10" t="s">
        <v>69</v>
      </c>
      <c r="DJS3" s="10" t="s">
        <v>67</v>
      </c>
      <c r="DJT3" s="10" t="s">
        <v>69</v>
      </c>
      <c r="DJU3" s="10" t="s">
        <v>67</v>
      </c>
      <c r="DJV3" s="10" t="s">
        <v>69</v>
      </c>
      <c r="DJW3" s="10" t="s">
        <v>67</v>
      </c>
      <c r="DJX3" s="10" t="s">
        <v>69</v>
      </c>
      <c r="DJY3" s="10" t="s">
        <v>67</v>
      </c>
      <c r="DJZ3" s="10" t="s">
        <v>69</v>
      </c>
      <c r="DKA3" s="10" t="s">
        <v>67</v>
      </c>
      <c r="DKB3" s="10" t="s">
        <v>69</v>
      </c>
      <c r="DKC3" s="10" t="s">
        <v>67</v>
      </c>
      <c r="DKD3" s="10" t="s">
        <v>69</v>
      </c>
      <c r="DKE3" s="10" t="s">
        <v>67</v>
      </c>
      <c r="DKF3" s="10" t="s">
        <v>69</v>
      </c>
      <c r="DKG3" s="10" t="s">
        <v>67</v>
      </c>
      <c r="DKH3" s="10" t="s">
        <v>69</v>
      </c>
      <c r="DKI3" s="10" t="s">
        <v>67</v>
      </c>
      <c r="DKJ3" s="10" t="s">
        <v>69</v>
      </c>
      <c r="DKK3" s="10" t="s">
        <v>67</v>
      </c>
      <c r="DKL3" s="10" t="s">
        <v>69</v>
      </c>
      <c r="DKM3" s="10" t="s">
        <v>67</v>
      </c>
      <c r="DKN3" s="10" t="s">
        <v>69</v>
      </c>
      <c r="DKO3" s="10" t="s">
        <v>67</v>
      </c>
      <c r="DKP3" s="10" t="s">
        <v>69</v>
      </c>
      <c r="DKQ3" s="10" t="s">
        <v>67</v>
      </c>
      <c r="DKR3" s="10" t="s">
        <v>69</v>
      </c>
      <c r="DKS3" s="10" t="s">
        <v>67</v>
      </c>
      <c r="DKT3" s="10" t="s">
        <v>69</v>
      </c>
      <c r="DKU3" s="10" t="s">
        <v>67</v>
      </c>
      <c r="DKV3" s="10" t="s">
        <v>69</v>
      </c>
      <c r="DKW3" s="10" t="s">
        <v>67</v>
      </c>
      <c r="DKX3" s="10" t="s">
        <v>69</v>
      </c>
      <c r="DKY3" s="10" t="s">
        <v>67</v>
      </c>
      <c r="DKZ3" s="10" t="s">
        <v>69</v>
      </c>
      <c r="DLA3" s="10" t="s">
        <v>67</v>
      </c>
      <c r="DLB3" s="10" t="s">
        <v>69</v>
      </c>
      <c r="DLC3" s="10" t="s">
        <v>67</v>
      </c>
      <c r="DLD3" s="10" t="s">
        <v>69</v>
      </c>
      <c r="DLE3" s="10" t="s">
        <v>67</v>
      </c>
      <c r="DLF3" s="10" t="s">
        <v>69</v>
      </c>
      <c r="DLG3" s="10" t="s">
        <v>67</v>
      </c>
      <c r="DLH3" s="10" t="s">
        <v>69</v>
      </c>
      <c r="DLI3" s="10" t="s">
        <v>67</v>
      </c>
      <c r="DLJ3" s="10" t="s">
        <v>69</v>
      </c>
      <c r="DLK3" s="10" t="s">
        <v>67</v>
      </c>
      <c r="DLL3" s="10" t="s">
        <v>69</v>
      </c>
      <c r="DLM3" s="10" t="s">
        <v>67</v>
      </c>
      <c r="DLN3" s="10" t="s">
        <v>69</v>
      </c>
      <c r="DLO3" s="10" t="s">
        <v>67</v>
      </c>
      <c r="DLP3" s="10" t="s">
        <v>69</v>
      </c>
      <c r="DLQ3" s="10" t="s">
        <v>67</v>
      </c>
      <c r="DLR3" s="10" t="s">
        <v>69</v>
      </c>
      <c r="DLS3" s="10" t="s">
        <v>67</v>
      </c>
      <c r="DLT3" s="10" t="s">
        <v>69</v>
      </c>
      <c r="DLU3" s="10" t="s">
        <v>67</v>
      </c>
      <c r="DLV3" s="10" t="s">
        <v>69</v>
      </c>
      <c r="DLW3" s="10" t="s">
        <v>67</v>
      </c>
      <c r="DLX3" s="10" t="s">
        <v>69</v>
      </c>
      <c r="DLY3" s="10" t="s">
        <v>67</v>
      </c>
      <c r="DLZ3" s="10" t="s">
        <v>69</v>
      </c>
      <c r="DMA3" s="10" t="s">
        <v>67</v>
      </c>
      <c r="DMB3" s="10" t="s">
        <v>69</v>
      </c>
      <c r="DMC3" s="10" t="s">
        <v>67</v>
      </c>
      <c r="DMD3" s="10" t="s">
        <v>69</v>
      </c>
      <c r="DME3" s="10" t="s">
        <v>67</v>
      </c>
      <c r="DMF3" s="10" t="s">
        <v>69</v>
      </c>
      <c r="DMG3" s="10" t="s">
        <v>67</v>
      </c>
      <c r="DMH3" s="10" t="s">
        <v>69</v>
      </c>
      <c r="DMI3" s="10" t="s">
        <v>67</v>
      </c>
      <c r="DMJ3" s="10" t="s">
        <v>69</v>
      </c>
      <c r="DMK3" s="10" t="s">
        <v>67</v>
      </c>
      <c r="DML3" s="10" t="s">
        <v>69</v>
      </c>
      <c r="DMM3" s="10" t="s">
        <v>67</v>
      </c>
      <c r="DMN3" s="10" t="s">
        <v>69</v>
      </c>
      <c r="DMO3" s="10" t="s">
        <v>67</v>
      </c>
      <c r="DMP3" s="10" t="s">
        <v>69</v>
      </c>
      <c r="DMQ3" s="10" t="s">
        <v>67</v>
      </c>
      <c r="DMR3" s="10" t="s">
        <v>69</v>
      </c>
      <c r="DMS3" s="10" t="s">
        <v>67</v>
      </c>
      <c r="DMT3" s="10" t="s">
        <v>69</v>
      </c>
      <c r="DMU3" s="10" t="s">
        <v>67</v>
      </c>
      <c r="DMV3" s="10" t="s">
        <v>69</v>
      </c>
      <c r="DMW3" s="10" t="s">
        <v>67</v>
      </c>
      <c r="DMX3" s="10" t="s">
        <v>69</v>
      </c>
      <c r="DMY3" s="10" t="s">
        <v>67</v>
      </c>
      <c r="DMZ3" s="10" t="s">
        <v>69</v>
      </c>
      <c r="DNA3" s="10" t="s">
        <v>67</v>
      </c>
      <c r="DNB3" s="10" t="s">
        <v>69</v>
      </c>
      <c r="DNC3" s="10" t="s">
        <v>67</v>
      </c>
      <c r="DND3" s="10" t="s">
        <v>69</v>
      </c>
      <c r="DNE3" s="10" t="s">
        <v>67</v>
      </c>
      <c r="DNF3" s="10" t="s">
        <v>69</v>
      </c>
      <c r="DNG3" s="10" t="s">
        <v>67</v>
      </c>
      <c r="DNH3" s="10" t="s">
        <v>69</v>
      </c>
      <c r="DNI3" s="10" t="s">
        <v>67</v>
      </c>
      <c r="DNJ3" s="10" t="s">
        <v>69</v>
      </c>
      <c r="DNK3" s="10" t="s">
        <v>67</v>
      </c>
      <c r="DNL3" s="10" t="s">
        <v>69</v>
      </c>
      <c r="DNM3" s="10" t="s">
        <v>67</v>
      </c>
      <c r="DNN3" s="10" t="s">
        <v>69</v>
      </c>
      <c r="DNO3" s="10" t="s">
        <v>67</v>
      </c>
      <c r="DNP3" s="10" t="s">
        <v>69</v>
      </c>
      <c r="DNQ3" s="10" t="s">
        <v>67</v>
      </c>
      <c r="DNR3" s="10" t="s">
        <v>69</v>
      </c>
      <c r="DNS3" s="10" t="s">
        <v>67</v>
      </c>
      <c r="DNT3" s="10" t="s">
        <v>69</v>
      </c>
      <c r="DNU3" s="10" t="s">
        <v>67</v>
      </c>
      <c r="DNV3" s="10" t="s">
        <v>69</v>
      </c>
      <c r="DNW3" s="10" t="s">
        <v>67</v>
      </c>
      <c r="DNX3" s="10" t="s">
        <v>69</v>
      </c>
      <c r="DNY3" s="10" t="s">
        <v>67</v>
      </c>
      <c r="DNZ3" s="10" t="s">
        <v>69</v>
      </c>
      <c r="DOA3" s="10" t="s">
        <v>67</v>
      </c>
      <c r="DOB3" s="10" t="s">
        <v>69</v>
      </c>
      <c r="DOC3" s="10" t="s">
        <v>67</v>
      </c>
      <c r="DOD3" s="10" t="s">
        <v>69</v>
      </c>
      <c r="DOE3" s="10" t="s">
        <v>67</v>
      </c>
      <c r="DOF3" s="10" t="s">
        <v>69</v>
      </c>
      <c r="DOG3" s="10" t="s">
        <v>67</v>
      </c>
      <c r="DOH3" s="10" t="s">
        <v>69</v>
      </c>
      <c r="DOI3" s="10" t="s">
        <v>67</v>
      </c>
      <c r="DOJ3" s="10" t="s">
        <v>69</v>
      </c>
      <c r="DOK3" s="10" t="s">
        <v>67</v>
      </c>
      <c r="DOL3" s="10" t="s">
        <v>69</v>
      </c>
      <c r="DOM3" s="10" t="s">
        <v>67</v>
      </c>
      <c r="DON3" s="10" t="s">
        <v>69</v>
      </c>
      <c r="DOO3" s="10" t="s">
        <v>67</v>
      </c>
      <c r="DOP3" s="10" t="s">
        <v>69</v>
      </c>
      <c r="DOQ3" s="10" t="s">
        <v>67</v>
      </c>
      <c r="DOR3" s="10" t="s">
        <v>69</v>
      </c>
      <c r="DOS3" s="10" t="s">
        <v>67</v>
      </c>
      <c r="DOT3" s="10" t="s">
        <v>69</v>
      </c>
      <c r="DOU3" s="10" t="s">
        <v>67</v>
      </c>
      <c r="DOV3" s="10" t="s">
        <v>69</v>
      </c>
      <c r="DOW3" s="10" t="s">
        <v>67</v>
      </c>
      <c r="DOX3" s="10" t="s">
        <v>69</v>
      </c>
      <c r="DOY3" s="10" t="s">
        <v>67</v>
      </c>
      <c r="DOZ3" s="10" t="s">
        <v>69</v>
      </c>
      <c r="DPA3" s="10" t="s">
        <v>67</v>
      </c>
      <c r="DPB3" s="10" t="s">
        <v>69</v>
      </c>
      <c r="DPC3" s="10" t="s">
        <v>67</v>
      </c>
      <c r="DPD3" s="10" t="s">
        <v>69</v>
      </c>
      <c r="DPE3" s="10" t="s">
        <v>67</v>
      </c>
      <c r="DPF3" s="10" t="s">
        <v>69</v>
      </c>
      <c r="DPG3" s="10" t="s">
        <v>67</v>
      </c>
      <c r="DPH3" s="10" t="s">
        <v>69</v>
      </c>
      <c r="DPI3" s="10" t="s">
        <v>67</v>
      </c>
      <c r="DPJ3" s="10" t="s">
        <v>69</v>
      </c>
      <c r="DPK3" s="10" t="s">
        <v>67</v>
      </c>
      <c r="DPL3" s="10" t="s">
        <v>69</v>
      </c>
      <c r="DPM3" s="10" t="s">
        <v>67</v>
      </c>
      <c r="DPN3" s="10" t="s">
        <v>69</v>
      </c>
      <c r="DPO3" s="10" t="s">
        <v>67</v>
      </c>
      <c r="DPP3" s="10" t="s">
        <v>69</v>
      </c>
      <c r="DPQ3" s="10" t="s">
        <v>67</v>
      </c>
      <c r="DPR3" s="10" t="s">
        <v>69</v>
      </c>
      <c r="DPS3" s="10" t="s">
        <v>67</v>
      </c>
      <c r="DPT3" s="10" t="s">
        <v>69</v>
      </c>
      <c r="DPU3" s="10" t="s">
        <v>67</v>
      </c>
      <c r="DPV3" s="10" t="s">
        <v>69</v>
      </c>
      <c r="DPW3" s="10" t="s">
        <v>67</v>
      </c>
      <c r="DPX3" s="10" t="s">
        <v>69</v>
      </c>
      <c r="DPY3" s="10" t="s">
        <v>67</v>
      </c>
      <c r="DPZ3" s="10" t="s">
        <v>69</v>
      </c>
      <c r="DQA3" s="10" t="s">
        <v>67</v>
      </c>
      <c r="DQB3" s="10" t="s">
        <v>69</v>
      </c>
      <c r="DQC3" s="10" t="s">
        <v>67</v>
      </c>
      <c r="DQD3" s="10" t="s">
        <v>69</v>
      </c>
      <c r="DQE3" s="10" t="s">
        <v>67</v>
      </c>
      <c r="DQF3" s="10" t="s">
        <v>69</v>
      </c>
      <c r="DQG3" s="10" t="s">
        <v>67</v>
      </c>
      <c r="DQH3" s="10" t="s">
        <v>69</v>
      </c>
      <c r="DQI3" s="10" t="s">
        <v>67</v>
      </c>
      <c r="DQJ3" s="10" t="s">
        <v>69</v>
      </c>
      <c r="DQK3" s="10" t="s">
        <v>67</v>
      </c>
      <c r="DQL3" s="10" t="s">
        <v>69</v>
      </c>
      <c r="DQM3" s="10" t="s">
        <v>67</v>
      </c>
      <c r="DQN3" s="10" t="s">
        <v>69</v>
      </c>
      <c r="DQO3" s="10" t="s">
        <v>67</v>
      </c>
      <c r="DQP3" s="10" t="s">
        <v>69</v>
      </c>
      <c r="DQQ3" s="10" t="s">
        <v>67</v>
      </c>
      <c r="DQR3" s="10" t="s">
        <v>69</v>
      </c>
      <c r="DQS3" s="10" t="s">
        <v>67</v>
      </c>
      <c r="DQT3" s="10" t="s">
        <v>69</v>
      </c>
      <c r="DQU3" s="10" t="s">
        <v>67</v>
      </c>
      <c r="DQV3" s="10" t="s">
        <v>69</v>
      </c>
      <c r="DQW3" s="10" t="s">
        <v>67</v>
      </c>
      <c r="DQX3" s="10" t="s">
        <v>69</v>
      </c>
      <c r="DQY3" s="10" t="s">
        <v>67</v>
      </c>
      <c r="DQZ3" s="10" t="s">
        <v>69</v>
      </c>
      <c r="DRA3" s="10" t="s">
        <v>67</v>
      </c>
      <c r="DRB3" s="10" t="s">
        <v>69</v>
      </c>
      <c r="DRC3" s="10" t="s">
        <v>67</v>
      </c>
      <c r="DRD3" s="10" t="s">
        <v>69</v>
      </c>
      <c r="DRE3" s="10" t="s">
        <v>67</v>
      </c>
      <c r="DRF3" s="10" t="s">
        <v>69</v>
      </c>
      <c r="DRG3" s="10" t="s">
        <v>67</v>
      </c>
      <c r="DRH3" s="10" t="s">
        <v>69</v>
      </c>
      <c r="DRI3" s="10" t="s">
        <v>67</v>
      </c>
      <c r="DRJ3" s="10" t="s">
        <v>69</v>
      </c>
      <c r="DRK3" s="10" t="s">
        <v>67</v>
      </c>
      <c r="DRL3" s="10" t="s">
        <v>69</v>
      </c>
      <c r="DRM3" s="10" t="s">
        <v>67</v>
      </c>
      <c r="DRN3" s="10" t="s">
        <v>69</v>
      </c>
      <c r="DRO3" s="10" t="s">
        <v>67</v>
      </c>
      <c r="DRP3" s="10" t="s">
        <v>69</v>
      </c>
      <c r="DRQ3" s="10" t="s">
        <v>67</v>
      </c>
      <c r="DRR3" s="10" t="s">
        <v>69</v>
      </c>
      <c r="DRS3" s="10" t="s">
        <v>67</v>
      </c>
      <c r="DRT3" s="10" t="s">
        <v>69</v>
      </c>
      <c r="DRU3" s="10" t="s">
        <v>67</v>
      </c>
      <c r="DRV3" s="10" t="s">
        <v>69</v>
      </c>
      <c r="DRW3" s="10" t="s">
        <v>67</v>
      </c>
      <c r="DRX3" s="10" t="s">
        <v>69</v>
      </c>
      <c r="DRY3" s="10" t="s">
        <v>67</v>
      </c>
      <c r="DRZ3" s="10" t="s">
        <v>69</v>
      </c>
      <c r="DSA3" s="10" t="s">
        <v>67</v>
      </c>
      <c r="DSB3" s="10" t="s">
        <v>69</v>
      </c>
      <c r="DSC3" s="10" t="s">
        <v>67</v>
      </c>
      <c r="DSD3" s="10" t="s">
        <v>69</v>
      </c>
      <c r="DSE3" s="10" t="s">
        <v>67</v>
      </c>
      <c r="DSF3" s="10" t="s">
        <v>69</v>
      </c>
      <c r="DSG3" s="10" t="s">
        <v>67</v>
      </c>
      <c r="DSH3" s="10" t="s">
        <v>69</v>
      </c>
      <c r="DSI3" s="10" t="s">
        <v>67</v>
      </c>
      <c r="DSJ3" s="10" t="s">
        <v>69</v>
      </c>
      <c r="DSK3" s="10" t="s">
        <v>67</v>
      </c>
      <c r="DSL3" s="10" t="s">
        <v>69</v>
      </c>
      <c r="DSM3" s="10" t="s">
        <v>67</v>
      </c>
      <c r="DSN3" s="10" t="s">
        <v>69</v>
      </c>
      <c r="DSO3" s="10" t="s">
        <v>67</v>
      </c>
      <c r="DSP3" s="10" t="s">
        <v>69</v>
      </c>
      <c r="DSQ3" s="10" t="s">
        <v>67</v>
      </c>
      <c r="DSR3" s="10" t="s">
        <v>69</v>
      </c>
      <c r="DSS3" s="10" t="s">
        <v>67</v>
      </c>
      <c r="DST3" s="10" t="s">
        <v>69</v>
      </c>
      <c r="DSU3" s="10" t="s">
        <v>67</v>
      </c>
      <c r="DSV3" s="10" t="s">
        <v>69</v>
      </c>
      <c r="DSW3" s="10" t="s">
        <v>67</v>
      </c>
      <c r="DSX3" s="10" t="s">
        <v>69</v>
      </c>
      <c r="DSY3" s="10" t="s">
        <v>67</v>
      </c>
      <c r="DSZ3" s="10" t="s">
        <v>69</v>
      </c>
      <c r="DTA3" s="10" t="s">
        <v>67</v>
      </c>
      <c r="DTB3" s="10" t="s">
        <v>69</v>
      </c>
      <c r="DTC3" s="10" t="s">
        <v>67</v>
      </c>
      <c r="DTD3" s="10" t="s">
        <v>69</v>
      </c>
      <c r="DTE3" s="10" t="s">
        <v>67</v>
      </c>
      <c r="DTF3" s="10" t="s">
        <v>69</v>
      </c>
      <c r="DTG3" s="10" t="s">
        <v>67</v>
      </c>
      <c r="DTH3" s="10" t="s">
        <v>69</v>
      </c>
      <c r="DTI3" s="10" t="s">
        <v>67</v>
      </c>
      <c r="DTJ3" s="10" t="s">
        <v>69</v>
      </c>
      <c r="DTK3" s="10" t="s">
        <v>67</v>
      </c>
      <c r="DTL3" s="10" t="s">
        <v>69</v>
      </c>
      <c r="DTM3" s="10" t="s">
        <v>67</v>
      </c>
      <c r="DTN3" s="10" t="s">
        <v>69</v>
      </c>
      <c r="DTO3" s="10" t="s">
        <v>67</v>
      </c>
      <c r="DTP3" s="10" t="s">
        <v>69</v>
      </c>
      <c r="DTQ3" s="10" t="s">
        <v>67</v>
      </c>
      <c r="DTR3" s="10" t="s">
        <v>69</v>
      </c>
      <c r="DTS3" s="10" t="s">
        <v>67</v>
      </c>
      <c r="DTT3" s="10" t="s">
        <v>69</v>
      </c>
      <c r="DTU3" s="10" t="s">
        <v>67</v>
      </c>
      <c r="DTV3" s="10" t="s">
        <v>69</v>
      </c>
      <c r="DTW3" s="10" t="s">
        <v>67</v>
      </c>
      <c r="DTX3" s="10" t="s">
        <v>69</v>
      </c>
      <c r="DTY3" s="10" t="s">
        <v>67</v>
      </c>
      <c r="DTZ3" s="10" t="s">
        <v>69</v>
      </c>
      <c r="DUA3" s="10" t="s">
        <v>67</v>
      </c>
      <c r="DUB3" s="10" t="s">
        <v>69</v>
      </c>
      <c r="DUC3" s="10" t="s">
        <v>67</v>
      </c>
      <c r="DUD3" s="10" t="s">
        <v>69</v>
      </c>
      <c r="DUE3" s="10" t="s">
        <v>67</v>
      </c>
      <c r="DUF3" s="10" t="s">
        <v>69</v>
      </c>
      <c r="DUG3" s="10" t="s">
        <v>67</v>
      </c>
      <c r="DUH3" s="10" t="s">
        <v>69</v>
      </c>
      <c r="DUI3" s="10" t="s">
        <v>67</v>
      </c>
      <c r="DUJ3" s="10" t="s">
        <v>69</v>
      </c>
      <c r="DUK3" s="10" t="s">
        <v>67</v>
      </c>
      <c r="DUL3" s="10" t="s">
        <v>69</v>
      </c>
      <c r="DUM3" s="10" t="s">
        <v>67</v>
      </c>
      <c r="DUN3" s="10" t="s">
        <v>69</v>
      </c>
      <c r="DUO3" s="10" t="s">
        <v>67</v>
      </c>
      <c r="DUP3" s="10" t="s">
        <v>69</v>
      </c>
      <c r="DUQ3" s="10" t="s">
        <v>67</v>
      </c>
      <c r="DUR3" s="10" t="s">
        <v>69</v>
      </c>
      <c r="DUS3" s="10" t="s">
        <v>67</v>
      </c>
      <c r="DUT3" s="10" t="s">
        <v>69</v>
      </c>
      <c r="DUU3" s="10" t="s">
        <v>67</v>
      </c>
      <c r="DUV3" s="10" t="s">
        <v>69</v>
      </c>
      <c r="DUW3" s="10" t="s">
        <v>67</v>
      </c>
      <c r="DUX3" s="10" t="s">
        <v>69</v>
      </c>
      <c r="DUY3" s="10" t="s">
        <v>67</v>
      </c>
      <c r="DUZ3" s="10" t="s">
        <v>69</v>
      </c>
      <c r="DVA3" s="10" t="s">
        <v>67</v>
      </c>
      <c r="DVB3" s="10" t="s">
        <v>69</v>
      </c>
      <c r="DVC3" s="10" t="s">
        <v>67</v>
      </c>
      <c r="DVD3" s="10" t="s">
        <v>69</v>
      </c>
      <c r="DVE3" s="10" t="s">
        <v>67</v>
      </c>
      <c r="DVF3" s="10" t="s">
        <v>69</v>
      </c>
      <c r="DVG3" s="10" t="s">
        <v>67</v>
      </c>
      <c r="DVH3" s="10" t="s">
        <v>69</v>
      </c>
      <c r="DVI3" s="10" t="s">
        <v>67</v>
      </c>
      <c r="DVJ3" s="10" t="s">
        <v>69</v>
      </c>
      <c r="DVK3" s="10" t="s">
        <v>67</v>
      </c>
      <c r="DVL3" s="10" t="s">
        <v>69</v>
      </c>
      <c r="DVM3" s="10" t="s">
        <v>67</v>
      </c>
      <c r="DVN3" s="10" t="s">
        <v>69</v>
      </c>
      <c r="DVO3" s="10" t="s">
        <v>67</v>
      </c>
      <c r="DVP3" s="10" t="s">
        <v>69</v>
      </c>
      <c r="DVQ3" s="10" t="s">
        <v>67</v>
      </c>
      <c r="DVR3" s="10" t="s">
        <v>69</v>
      </c>
      <c r="DVS3" s="10" t="s">
        <v>67</v>
      </c>
      <c r="DVT3" s="10" t="s">
        <v>69</v>
      </c>
      <c r="DVU3" s="10" t="s">
        <v>67</v>
      </c>
      <c r="DVV3" s="10" t="s">
        <v>69</v>
      </c>
      <c r="DVW3" s="10" t="s">
        <v>67</v>
      </c>
      <c r="DVX3" s="10" t="s">
        <v>69</v>
      </c>
      <c r="DVY3" s="10" t="s">
        <v>67</v>
      </c>
      <c r="DVZ3" s="10" t="s">
        <v>69</v>
      </c>
      <c r="DWA3" s="10" t="s">
        <v>67</v>
      </c>
      <c r="DWB3" s="10" t="s">
        <v>69</v>
      </c>
      <c r="DWC3" s="10" t="s">
        <v>67</v>
      </c>
      <c r="DWD3" s="10" t="s">
        <v>69</v>
      </c>
      <c r="DWE3" s="10" t="s">
        <v>67</v>
      </c>
      <c r="DWF3" s="10" t="s">
        <v>69</v>
      </c>
      <c r="DWG3" s="10" t="s">
        <v>67</v>
      </c>
      <c r="DWH3" s="10" t="s">
        <v>69</v>
      </c>
      <c r="DWI3" s="10" t="s">
        <v>67</v>
      </c>
      <c r="DWJ3" s="10" t="s">
        <v>69</v>
      </c>
      <c r="DWK3" s="10" t="s">
        <v>67</v>
      </c>
      <c r="DWL3" s="10" t="s">
        <v>69</v>
      </c>
      <c r="DWM3" s="10" t="s">
        <v>67</v>
      </c>
      <c r="DWN3" s="10" t="s">
        <v>69</v>
      </c>
      <c r="DWO3" s="10" t="s">
        <v>67</v>
      </c>
      <c r="DWP3" s="10" t="s">
        <v>69</v>
      </c>
      <c r="DWQ3" s="10" t="s">
        <v>67</v>
      </c>
      <c r="DWR3" s="10" t="s">
        <v>69</v>
      </c>
      <c r="DWS3" s="10" t="s">
        <v>67</v>
      </c>
      <c r="DWT3" s="10" t="s">
        <v>69</v>
      </c>
      <c r="DWU3" s="10" t="s">
        <v>67</v>
      </c>
      <c r="DWV3" s="10" t="s">
        <v>69</v>
      </c>
      <c r="DWW3" s="10" t="s">
        <v>67</v>
      </c>
      <c r="DWX3" s="10" t="s">
        <v>69</v>
      </c>
      <c r="DWY3" s="10" t="s">
        <v>67</v>
      </c>
      <c r="DWZ3" s="10" t="s">
        <v>69</v>
      </c>
      <c r="DXA3" s="10" t="s">
        <v>67</v>
      </c>
      <c r="DXB3" s="10" t="s">
        <v>69</v>
      </c>
      <c r="DXC3" s="10" t="s">
        <v>67</v>
      </c>
      <c r="DXD3" s="10" t="s">
        <v>69</v>
      </c>
      <c r="DXE3" s="10" t="s">
        <v>67</v>
      </c>
      <c r="DXF3" s="10" t="s">
        <v>69</v>
      </c>
      <c r="DXG3" s="10" t="s">
        <v>67</v>
      </c>
      <c r="DXH3" s="10" t="s">
        <v>69</v>
      </c>
      <c r="DXI3" s="10" t="s">
        <v>67</v>
      </c>
      <c r="DXJ3" s="10" t="s">
        <v>69</v>
      </c>
      <c r="DXK3" s="10" t="s">
        <v>67</v>
      </c>
      <c r="DXL3" s="10" t="s">
        <v>69</v>
      </c>
      <c r="DXM3" s="10" t="s">
        <v>67</v>
      </c>
      <c r="DXN3" s="10" t="s">
        <v>69</v>
      </c>
      <c r="DXO3" s="10" t="s">
        <v>67</v>
      </c>
      <c r="DXP3" s="10" t="s">
        <v>69</v>
      </c>
      <c r="DXQ3" s="10" t="s">
        <v>67</v>
      </c>
      <c r="DXR3" s="10" t="s">
        <v>69</v>
      </c>
      <c r="DXS3" s="10" t="s">
        <v>67</v>
      </c>
      <c r="DXT3" s="10" t="s">
        <v>69</v>
      </c>
      <c r="DXU3" s="10" t="s">
        <v>67</v>
      </c>
      <c r="DXV3" s="10" t="s">
        <v>69</v>
      </c>
      <c r="DXW3" s="10" t="s">
        <v>67</v>
      </c>
      <c r="DXX3" s="10" t="s">
        <v>69</v>
      </c>
      <c r="DXY3" s="10" t="s">
        <v>67</v>
      </c>
      <c r="DXZ3" s="10" t="s">
        <v>69</v>
      </c>
      <c r="DYA3" s="10" t="s">
        <v>67</v>
      </c>
      <c r="DYB3" s="10" t="s">
        <v>69</v>
      </c>
      <c r="DYC3" s="10" t="s">
        <v>67</v>
      </c>
      <c r="DYD3" s="10" t="s">
        <v>69</v>
      </c>
      <c r="DYE3" s="10" t="s">
        <v>67</v>
      </c>
      <c r="DYF3" s="10" t="s">
        <v>69</v>
      </c>
      <c r="DYG3" s="10" t="s">
        <v>67</v>
      </c>
      <c r="DYH3" s="10" t="s">
        <v>69</v>
      </c>
      <c r="DYI3" s="10" t="s">
        <v>67</v>
      </c>
      <c r="DYJ3" s="10" t="s">
        <v>69</v>
      </c>
      <c r="DYK3" s="10" t="s">
        <v>67</v>
      </c>
      <c r="DYL3" s="10" t="s">
        <v>69</v>
      </c>
      <c r="DYM3" s="10" t="s">
        <v>67</v>
      </c>
      <c r="DYN3" s="10" t="s">
        <v>69</v>
      </c>
      <c r="DYO3" s="10" t="s">
        <v>67</v>
      </c>
      <c r="DYP3" s="10" t="s">
        <v>69</v>
      </c>
      <c r="DYQ3" s="10" t="s">
        <v>67</v>
      </c>
      <c r="DYR3" s="10" t="s">
        <v>69</v>
      </c>
      <c r="DYS3" s="10" t="s">
        <v>67</v>
      </c>
      <c r="DYT3" s="10" t="s">
        <v>69</v>
      </c>
      <c r="DYU3" s="10" t="s">
        <v>67</v>
      </c>
      <c r="DYV3" s="10" t="s">
        <v>69</v>
      </c>
      <c r="DYW3" s="10" t="s">
        <v>67</v>
      </c>
      <c r="DYX3" s="10" t="s">
        <v>69</v>
      </c>
      <c r="DYY3" s="10" t="s">
        <v>67</v>
      </c>
      <c r="DYZ3" s="10" t="s">
        <v>69</v>
      </c>
      <c r="DZA3" s="10" t="s">
        <v>67</v>
      </c>
      <c r="DZB3" s="10" t="s">
        <v>69</v>
      </c>
      <c r="DZC3" s="10" t="s">
        <v>67</v>
      </c>
      <c r="DZD3" s="10" t="s">
        <v>69</v>
      </c>
      <c r="DZE3" s="10" t="s">
        <v>67</v>
      </c>
      <c r="DZF3" s="10" t="s">
        <v>69</v>
      </c>
      <c r="DZG3" s="10" t="s">
        <v>67</v>
      </c>
      <c r="DZH3" s="10" t="s">
        <v>69</v>
      </c>
      <c r="DZI3" s="10" t="s">
        <v>67</v>
      </c>
      <c r="DZJ3" s="10" t="s">
        <v>69</v>
      </c>
      <c r="DZK3" s="10" t="s">
        <v>67</v>
      </c>
      <c r="DZL3" s="10" t="s">
        <v>69</v>
      </c>
      <c r="DZM3" s="10" t="s">
        <v>67</v>
      </c>
      <c r="DZN3" s="10" t="s">
        <v>69</v>
      </c>
      <c r="DZO3" s="10" t="s">
        <v>67</v>
      </c>
      <c r="DZP3" s="10" t="s">
        <v>69</v>
      </c>
      <c r="DZQ3" s="10" t="s">
        <v>67</v>
      </c>
      <c r="DZR3" s="10" t="s">
        <v>69</v>
      </c>
      <c r="DZS3" s="10" t="s">
        <v>67</v>
      </c>
      <c r="DZT3" s="10" t="s">
        <v>69</v>
      </c>
      <c r="DZU3" s="10" t="s">
        <v>67</v>
      </c>
      <c r="DZV3" s="10" t="s">
        <v>69</v>
      </c>
      <c r="DZW3" s="10" t="s">
        <v>67</v>
      </c>
      <c r="DZX3" s="10" t="s">
        <v>69</v>
      </c>
      <c r="DZY3" s="10" t="s">
        <v>67</v>
      </c>
      <c r="DZZ3" s="10" t="s">
        <v>69</v>
      </c>
      <c r="EAA3" s="10" t="s">
        <v>67</v>
      </c>
      <c r="EAB3" s="10" t="s">
        <v>69</v>
      </c>
      <c r="EAC3" s="10" t="s">
        <v>67</v>
      </c>
      <c r="EAD3" s="10" t="s">
        <v>69</v>
      </c>
      <c r="EAE3" s="10" t="s">
        <v>67</v>
      </c>
      <c r="EAF3" s="10" t="s">
        <v>69</v>
      </c>
      <c r="EAG3" s="10" t="s">
        <v>67</v>
      </c>
      <c r="EAH3" s="10" t="s">
        <v>69</v>
      </c>
      <c r="EAI3" s="10" t="s">
        <v>67</v>
      </c>
      <c r="EAJ3" s="10" t="s">
        <v>69</v>
      </c>
      <c r="EAK3" s="10" t="s">
        <v>67</v>
      </c>
      <c r="EAL3" s="10" t="s">
        <v>69</v>
      </c>
      <c r="EAM3" s="10" t="s">
        <v>67</v>
      </c>
      <c r="EAN3" s="10" t="s">
        <v>69</v>
      </c>
      <c r="EAO3" s="10" t="s">
        <v>67</v>
      </c>
      <c r="EAP3" s="10" t="s">
        <v>69</v>
      </c>
      <c r="EAQ3" s="10" t="s">
        <v>67</v>
      </c>
      <c r="EAR3" s="10" t="s">
        <v>69</v>
      </c>
      <c r="EAS3" s="10" t="s">
        <v>67</v>
      </c>
      <c r="EAT3" s="10" t="s">
        <v>69</v>
      </c>
      <c r="EAU3" s="10" t="s">
        <v>67</v>
      </c>
      <c r="EAV3" s="10" t="s">
        <v>69</v>
      </c>
      <c r="EAW3" s="10" t="s">
        <v>67</v>
      </c>
      <c r="EAX3" s="10" t="s">
        <v>69</v>
      </c>
      <c r="EAY3" s="10" t="s">
        <v>67</v>
      </c>
      <c r="EAZ3" s="10" t="s">
        <v>69</v>
      </c>
      <c r="EBA3" s="10" t="s">
        <v>67</v>
      </c>
      <c r="EBB3" s="10" t="s">
        <v>69</v>
      </c>
      <c r="EBC3" s="10" t="s">
        <v>67</v>
      </c>
      <c r="EBD3" s="10" t="s">
        <v>69</v>
      </c>
      <c r="EBE3" s="10" t="s">
        <v>67</v>
      </c>
      <c r="EBF3" s="10" t="s">
        <v>69</v>
      </c>
      <c r="EBG3" s="10" t="s">
        <v>67</v>
      </c>
      <c r="EBH3" s="10" t="s">
        <v>69</v>
      </c>
      <c r="EBI3" s="10" t="s">
        <v>67</v>
      </c>
      <c r="EBJ3" s="10" t="s">
        <v>69</v>
      </c>
      <c r="EBK3" s="10" t="s">
        <v>67</v>
      </c>
      <c r="EBL3" s="10" t="s">
        <v>69</v>
      </c>
      <c r="EBM3" s="10" t="s">
        <v>67</v>
      </c>
      <c r="EBN3" s="10" t="s">
        <v>69</v>
      </c>
      <c r="EBO3" s="10" t="s">
        <v>67</v>
      </c>
      <c r="EBP3" s="10" t="s">
        <v>69</v>
      </c>
      <c r="EBQ3" s="10" t="s">
        <v>67</v>
      </c>
      <c r="EBR3" s="10" t="s">
        <v>69</v>
      </c>
      <c r="EBS3" s="10" t="s">
        <v>67</v>
      </c>
      <c r="EBT3" s="10" t="s">
        <v>69</v>
      </c>
      <c r="EBU3" s="10" t="s">
        <v>67</v>
      </c>
      <c r="EBV3" s="10" t="s">
        <v>69</v>
      </c>
      <c r="EBW3" s="10" t="s">
        <v>67</v>
      </c>
      <c r="EBX3" s="10" t="s">
        <v>69</v>
      </c>
      <c r="EBY3" s="10" t="s">
        <v>67</v>
      </c>
      <c r="EBZ3" s="10" t="s">
        <v>69</v>
      </c>
      <c r="ECA3" s="10" t="s">
        <v>67</v>
      </c>
      <c r="ECB3" s="10" t="s">
        <v>69</v>
      </c>
      <c r="ECC3" s="10" t="s">
        <v>67</v>
      </c>
      <c r="ECD3" s="10" t="s">
        <v>69</v>
      </c>
      <c r="ECE3" s="10" t="s">
        <v>67</v>
      </c>
      <c r="ECF3" s="10" t="s">
        <v>69</v>
      </c>
      <c r="ECG3" s="10" t="s">
        <v>67</v>
      </c>
      <c r="ECH3" s="10" t="s">
        <v>69</v>
      </c>
      <c r="ECI3" s="10" t="s">
        <v>67</v>
      </c>
      <c r="ECJ3" s="10" t="s">
        <v>69</v>
      </c>
      <c r="ECK3" s="10" t="s">
        <v>67</v>
      </c>
      <c r="ECL3" s="10" t="s">
        <v>69</v>
      </c>
      <c r="ECM3" s="10" t="s">
        <v>67</v>
      </c>
      <c r="ECN3" s="10" t="s">
        <v>69</v>
      </c>
      <c r="ECO3" s="10" t="s">
        <v>67</v>
      </c>
      <c r="ECP3" s="10" t="s">
        <v>69</v>
      </c>
      <c r="ECQ3" s="10" t="s">
        <v>67</v>
      </c>
      <c r="ECR3" s="10" t="s">
        <v>69</v>
      </c>
      <c r="ECS3" s="10" t="s">
        <v>67</v>
      </c>
      <c r="ECT3" s="10" t="s">
        <v>69</v>
      </c>
      <c r="ECU3" s="10" t="s">
        <v>67</v>
      </c>
      <c r="ECV3" s="10" t="s">
        <v>69</v>
      </c>
      <c r="ECW3" s="10" t="s">
        <v>67</v>
      </c>
      <c r="ECX3" s="10" t="s">
        <v>69</v>
      </c>
      <c r="ECY3" s="10" t="s">
        <v>67</v>
      </c>
      <c r="ECZ3" s="10" t="s">
        <v>69</v>
      </c>
      <c r="EDA3" s="10" t="s">
        <v>67</v>
      </c>
      <c r="EDB3" s="10" t="s">
        <v>69</v>
      </c>
      <c r="EDC3" s="10" t="s">
        <v>67</v>
      </c>
      <c r="EDD3" s="10" t="s">
        <v>69</v>
      </c>
      <c r="EDE3" s="10" t="s">
        <v>67</v>
      </c>
      <c r="EDF3" s="10" t="s">
        <v>69</v>
      </c>
      <c r="EDG3" s="10" t="s">
        <v>67</v>
      </c>
      <c r="EDH3" s="10" t="s">
        <v>69</v>
      </c>
      <c r="EDI3" s="10" t="s">
        <v>67</v>
      </c>
      <c r="EDJ3" s="10" t="s">
        <v>69</v>
      </c>
      <c r="EDK3" s="10" t="s">
        <v>67</v>
      </c>
      <c r="EDL3" s="10" t="s">
        <v>69</v>
      </c>
      <c r="EDM3" s="10" t="s">
        <v>67</v>
      </c>
      <c r="EDN3" s="10" t="s">
        <v>69</v>
      </c>
      <c r="EDO3" s="10" t="s">
        <v>67</v>
      </c>
      <c r="EDP3" s="10" t="s">
        <v>69</v>
      </c>
      <c r="EDQ3" s="10" t="s">
        <v>67</v>
      </c>
      <c r="EDR3" s="10" t="s">
        <v>69</v>
      </c>
      <c r="EDS3" s="10" t="s">
        <v>67</v>
      </c>
      <c r="EDT3" s="10" t="s">
        <v>69</v>
      </c>
      <c r="EDU3" s="10" t="s">
        <v>67</v>
      </c>
      <c r="EDV3" s="10" t="s">
        <v>69</v>
      </c>
      <c r="EDW3" s="10" t="s">
        <v>67</v>
      </c>
      <c r="EDX3" s="10" t="s">
        <v>69</v>
      </c>
      <c r="EDY3" s="10" t="s">
        <v>67</v>
      </c>
      <c r="EDZ3" s="10" t="s">
        <v>69</v>
      </c>
      <c r="EEA3" s="10" t="s">
        <v>67</v>
      </c>
      <c r="EEB3" s="10" t="s">
        <v>69</v>
      </c>
      <c r="EEC3" s="10" t="s">
        <v>67</v>
      </c>
      <c r="EED3" s="10" t="s">
        <v>69</v>
      </c>
      <c r="EEE3" s="10" t="s">
        <v>67</v>
      </c>
      <c r="EEF3" s="10" t="s">
        <v>69</v>
      </c>
      <c r="EEG3" s="10" t="s">
        <v>67</v>
      </c>
      <c r="EEH3" s="10" t="s">
        <v>69</v>
      </c>
      <c r="EEI3" s="10" t="s">
        <v>67</v>
      </c>
      <c r="EEJ3" s="10" t="s">
        <v>69</v>
      </c>
      <c r="EEK3" s="10" t="s">
        <v>67</v>
      </c>
      <c r="EEL3" s="10" t="s">
        <v>69</v>
      </c>
      <c r="EEM3" s="10" t="s">
        <v>67</v>
      </c>
      <c r="EEN3" s="10" t="s">
        <v>69</v>
      </c>
      <c r="EEO3" s="10" t="s">
        <v>67</v>
      </c>
      <c r="EEP3" s="10" t="s">
        <v>69</v>
      </c>
      <c r="EEQ3" s="10" t="s">
        <v>67</v>
      </c>
      <c r="EER3" s="10" t="s">
        <v>69</v>
      </c>
      <c r="EES3" s="10" t="s">
        <v>67</v>
      </c>
      <c r="EET3" s="10" t="s">
        <v>69</v>
      </c>
      <c r="EEU3" s="10" t="s">
        <v>67</v>
      </c>
      <c r="EEV3" s="10" t="s">
        <v>69</v>
      </c>
      <c r="EEW3" s="10" t="s">
        <v>67</v>
      </c>
      <c r="EEX3" s="10" t="s">
        <v>69</v>
      </c>
      <c r="EEY3" s="10" t="s">
        <v>67</v>
      </c>
      <c r="EEZ3" s="10" t="s">
        <v>69</v>
      </c>
      <c r="EFA3" s="10" t="s">
        <v>67</v>
      </c>
      <c r="EFB3" s="10" t="s">
        <v>69</v>
      </c>
      <c r="EFC3" s="10" t="s">
        <v>67</v>
      </c>
      <c r="EFD3" s="10" t="s">
        <v>69</v>
      </c>
      <c r="EFE3" s="10" t="s">
        <v>67</v>
      </c>
      <c r="EFF3" s="10" t="s">
        <v>69</v>
      </c>
      <c r="EFG3" s="10" t="s">
        <v>67</v>
      </c>
      <c r="EFH3" s="10" t="s">
        <v>69</v>
      </c>
      <c r="EFI3" s="10" t="s">
        <v>67</v>
      </c>
      <c r="EFJ3" s="10" t="s">
        <v>69</v>
      </c>
      <c r="EFK3" s="10" t="s">
        <v>67</v>
      </c>
      <c r="EFL3" s="10" t="s">
        <v>69</v>
      </c>
      <c r="EFM3" s="10" t="s">
        <v>67</v>
      </c>
      <c r="EFN3" s="10" t="s">
        <v>69</v>
      </c>
      <c r="EFO3" s="10" t="s">
        <v>67</v>
      </c>
      <c r="EFP3" s="10" t="s">
        <v>69</v>
      </c>
      <c r="EFQ3" s="10" t="s">
        <v>67</v>
      </c>
      <c r="EFR3" s="10" t="s">
        <v>69</v>
      </c>
      <c r="EFS3" s="10" t="s">
        <v>67</v>
      </c>
      <c r="EFT3" s="10" t="s">
        <v>69</v>
      </c>
      <c r="EFU3" s="10" t="s">
        <v>67</v>
      </c>
      <c r="EFV3" s="10" t="s">
        <v>69</v>
      </c>
      <c r="EFW3" s="10" t="s">
        <v>67</v>
      </c>
      <c r="EFX3" s="10" t="s">
        <v>69</v>
      </c>
      <c r="EFY3" s="10" t="s">
        <v>67</v>
      </c>
      <c r="EFZ3" s="10" t="s">
        <v>69</v>
      </c>
      <c r="EGA3" s="10" t="s">
        <v>67</v>
      </c>
      <c r="EGB3" s="10" t="s">
        <v>69</v>
      </c>
      <c r="EGC3" s="10" t="s">
        <v>67</v>
      </c>
      <c r="EGD3" s="10" t="s">
        <v>69</v>
      </c>
      <c r="EGE3" s="10" t="s">
        <v>67</v>
      </c>
      <c r="EGF3" s="10" t="s">
        <v>69</v>
      </c>
      <c r="EGG3" s="10" t="s">
        <v>67</v>
      </c>
      <c r="EGH3" s="10" t="s">
        <v>69</v>
      </c>
      <c r="EGI3" s="10" t="s">
        <v>67</v>
      </c>
      <c r="EGJ3" s="10" t="s">
        <v>69</v>
      </c>
      <c r="EGK3" s="10" t="s">
        <v>67</v>
      </c>
      <c r="EGL3" s="10" t="s">
        <v>69</v>
      </c>
      <c r="EGM3" s="10" t="s">
        <v>67</v>
      </c>
      <c r="EGN3" s="10" t="s">
        <v>69</v>
      </c>
      <c r="EGO3" s="10" t="s">
        <v>67</v>
      </c>
      <c r="EGP3" s="10" t="s">
        <v>69</v>
      </c>
      <c r="EGQ3" s="10" t="s">
        <v>67</v>
      </c>
      <c r="EGR3" s="10" t="s">
        <v>69</v>
      </c>
      <c r="EGS3" s="10" t="s">
        <v>67</v>
      </c>
      <c r="EGT3" s="10" t="s">
        <v>69</v>
      </c>
      <c r="EGU3" s="10" t="s">
        <v>67</v>
      </c>
      <c r="EGV3" s="10" t="s">
        <v>69</v>
      </c>
      <c r="EGW3" s="10" t="s">
        <v>67</v>
      </c>
      <c r="EGX3" s="10" t="s">
        <v>69</v>
      </c>
      <c r="EGY3" s="10" t="s">
        <v>67</v>
      </c>
      <c r="EGZ3" s="10" t="s">
        <v>69</v>
      </c>
      <c r="EHA3" s="10" t="s">
        <v>67</v>
      </c>
      <c r="EHB3" s="10" t="s">
        <v>69</v>
      </c>
      <c r="EHC3" s="10" t="s">
        <v>67</v>
      </c>
      <c r="EHD3" s="10" t="s">
        <v>69</v>
      </c>
      <c r="EHE3" s="10" t="s">
        <v>67</v>
      </c>
      <c r="EHF3" s="10" t="s">
        <v>69</v>
      </c>
      <c r="EHG3" s="10" t="s">
        <v>67</v>
      </c>
      <c r="EHH3" s="10" t="s">
        <v>69</v>
      </c>
      <c r="EHI3" s="10" t="s">
        <v>67</v>
      </c>
      <c r="EHJ3" s="10" t="s">
        <v>69</v>
      </c>
      <c r="EHK3" s="10" t="s">
        <v>67</v>
      </c>
      <c r="EHL3" s="10" t="s">
        <v>69</v>
      </c>
      <c r="EHM3" s="10" t="s">
        <v>67</v>
      </c>
      <c r="EHN3" s="10" t="s">
        <v>69</v>
      </c>
      <c r="EHO3" s="10" t="s">
        <v>67</v>
      </c>
      <c r="EHP3" s="10" t="s">
        <v>69</v>
      </c>
      <c r="EHQ3" s="10" t="s">
        <v>67</v>
      </c>
      <c r="EHR3" s="10" t="s">
        <v>69</v>
      </c>
      <c r="EHS3" s="10" t="s">
        <v>67</v>
      </c>
      <c r="EHT3" s="10" t="s">
        <v>69</v>
      </c>
      <c r="EHU3" s="10" t="s">
        <v>67</v>
      </c>
      <c r="EHV3" s="10" t="s">
        <v>69</v>
      </c>
      <c r="EHW3" s="10" t="s">
        <v>67</v>
      </c>
      <c r="EHX3" s="10" t="s">
        <v>69</v>
      </c>
      <c r="EHY3" s="10" t="s">
        <v>67</v>
      </c>
      <c r="EHZ3" s="10" t="s">
        <v>69</v>
      </c>
      <c r="EIA3" s="10" t="s">
        <v>67</v>
      </c>
      <c r="EIB3" s="10" t="s">
        <v>69</v>
      </c>
      <c r="EIC3" s="10" t="s">
        <v>67</v>
      </c>
      <c r="EID3" s="10" t="s">
        <v>69</v>
      </c>
      <c r="EIE3" s="10" t="s">
        <v>67</v>
      </c>
      <c r="EIF3" s="10" t="s">
        <v>69</v>
      </c>
      <c r="EIG3" s="10" t="s">
        <v>67</v>
      </c>
      <c r="EIH3" s="10" t="s">
        <v>69</v>
      </c>
      <c r="EII3" s="10" t="s">
        <v>67</v>
      </c>
      <c r="EIJ3" s="10" t="s">
        <v>69</v>
      </c>
      <c r="EIK3" s="10" t="s">
        <v>67</v>
      </c>
      <c r="EIL3" s="10" t="s">
        <v>69</v>
      </c>
      <c r="EIM3" s="10" t="s">
        <v>67</v>
      </c>
      <c r="EIN3" s="10" t="s">
        <v>69</v>
      </c>
      <c r="EIO3" s="10" t="s">
        <v>67</v>
      </c>
      <c r="EIP3" s="10" t="s">
        <v>69</v>
      </c>
      <c r="EIQ3" s="10" t="s">
        <v>67</v>
      </c>
      <c r="EIR3" s="10" t="s">
        <v>69</v>
      </c>
      <c r="EIS3" s="10" t="s">
        <v>67</v>
      </c>
      <c r="EIT3" s="10" t="s">
        <v>69</v>
      </c>
      <c r="EIU3" s="10" t="s">
        <v>67</v>
      </c>
      <c r="EIV3" s="10" t="s">
        <v>69</v>
      </c>
      <c r="EIW3" s="10" t="s">
        <v>67</v>
      </c>
      <c r="EIX3" s="10" t="s">
        <v>69</v>
      </c>
      <c r="EIY3" s="10" t="s">
        <v>67</v>
      </c>
      <c r="EIZ3" s="10" t="s">
        <v>69</v>
      </c>
      <c r="EJA3" s="10" t="s">
        <v>67</v>
      </c>
      <c r="EJB3" s="10" t="s">
        <v>69</v>
      </c>
      <c r="EJC3" s="10" t="s">
        <v>67</v>
      </c>
      <c r="EJD3" s="10" t="s">
        <v>69</v>
      </c>
      <c r="EJE3" s="10" t="s">
        <v>67</v>
      </c>
      <c r="EJF3" s="10" t="s">
        <v>69</v>
      </c>
      <c r="EJG3" s="10" t="s">
        <v>67</v>
      </c>
      <c r="EJH3" s="10" t="s">
        <v>69</v>
      </c>
      <c r="EJI3" s="10" t="s">
        <v>67</v>
      </c>
      <c r="EJJ3" s="10" t="s">
        <v>69</v>
      </c>
      <c r="EJK3" s="10" t="s">
        <v>67</v>
      </c>
      <c r="EJL3" s="10" t="s">
        <v>69</v>
      </c>
      <c r="EJM3" s="10" t="s">
        <v>67</v>
      </c>
      <c r="EJN3" s="10" t="s">
        <v>69</v>
      </c>
      <c r="EJO3" s="10" t="s">
        <v>67</v>
      </c>
      <c r="EJP3" s="10" t="s">
        <v>69</v>
      </c>
      <c r="EJQ3" s="10" t="s">
        <v>67</v>
      </c>
      <c r="EJR3" s="10" t="s">
        <v>69</v>
      </c>
      <c r="EJS3" s="10" t="s">
        <v>67</v>
      </c>
      <c r="EJT3" s="10" t="s">
        <v>69</v>
      </c>
      <c r="EJU3" s="10" t="s">
        <v>67</v>
      </c>
      <c r="EJV3" s="10" t="s">
        <v>69</v>
      </c>
      <c r="EJW3" s="10" t="s">
        <v>67</v>
      </c>
      <c r="EJX3" s="10" t="s">
        <v>69</v>
      </c>
      <c r="EJY3" s="10" t="s">
        <v>67</v>
      </c>
      <c r="EJZ3" s="10" t="s">
        <v>69</v>
      </c>
      <c r="EKA3" s="10" t="s">
        <v>67</v>
      </c>
      <c r="EKB3" s="10" t="s">
        <v>69</v>
      </c>
      <c r="EKC3" s="10" t="s">
        <v>67</v>
      </c>
      <c r="EKD3" s="10" t="s">
        <v>69</v>
      </c>
      <c r="EKE3" s="10" t="s">
        <v>67</v>
      </c>
      <c r="EKF3" s="10" t="s">
        <v>69</v>
      </c>
      <c r="EKG3" s="10" t="s">
        <v>67</v>
      </c>
      <c r="EKH3" s="10" t="s">
        <v>69</v>
      </c>
      <c r="EKI3" s="10" t="s">
        <v>67</v>
      </c>
      <c r="EKJ3" s="10" t="s">
        <v>69</v>
      </c>
      <c r="EKK3" s="10" t="s">
        <v>67</v>
      </c>
      <c r="EKL3" s="10" t="s">
        <v>69</v>
      </c>
      <c r="EKM3" s="10" t="s">
        <v>67</v>
      </c>
      <c r="EKN3" s="10" t="s">
        <v>69</v>
      </c>
      <c r="EKO3" s="10" t="s">
        <v>67</v>
      </c>
      <c r="EKP3" s="10" t="s">
        <v>69</v>
      </c>
      <c r="EKQ3" s="10" t="s">
        <v>67</v>
      </c>
      <c r="EKR3" s="10" t="s">
        <v>69</v>
      </c>
      <c r="EKS3" s="10" t="s">
        <v>67</v>
      </c>
      <c r="EKT3" s="10" t="s">
        <v>69</v>
      </c>
      <c r="EKU3" s="10" t="s">
        <v>67</v>
      </c>
      <c r="EKV3" s="10" t="s">
        <v>69</v>
      </c>
      <c r="EKW3" s="10" t="s">
        <v>67</v>
      </c>
      <c r="EKX3" s="10" t="s">
        <v>69</v>
      </c>
      <c r="EKY3" s="10" t="s">
        <v>67</v>
      </c>
      <c r="EKZ3" s="10" t="s">
        <v>69</v>
      </c>
      <c r="ELA3" s="10" t="s">
        <v>67</v>
      </c>
      <c r="ELB3" s="10" t="s">
        <v>69</v>
      </c>
      <c r="ELC3" s="10" t="s">
        <v>67</v>
      </c>
      <c r="ELD3" s="10" t="s">
        <v>69</v>
      </c>
      <c r="ELE3" s="10" t="s">
        <v>67</v>
      </c>
      <c r="ELF3" s="10" t="s">
        <v>69</v>
      </c>
      <c r="ELG3" s="10" t="s">
        <v>67</v>
      </c>
      <c r="ELH3" s="10" t="s">
        <v>69</v>
      </c>
      <c r="ELI3" s="10" t="s">
        <v>67</v>
      </c>
      <c r="ELJ3" s="10" t="s">
        <v>69</v>
      </c>
      <c r="ELK3" s="10" t="s">
        <v>67</v>
      </c>
      <c r="ELL3" s="10" t="s">
        <v>69</v>
      </c>
      <c r="ELM3" s="10" t="s">
        <v>67</v>
      </c>
      <c r="ELN3" s="10" t="s">
        <v>69</v>
      </c>
      <c r="ELO3" s="10" t="s">
        <v>67</v>
      </c>
      <c r="ELP3" s="10" t="s">
        <v>69</v>
      </c>
      <c r="ELQ3" s="10" t="s">
        <v>67</v>
      </c>
      <c r="ELR3" s="10" t="s">
        <v>69</v>
      </c>
      <c r="ELS3" s="10" t="s">
        <v>67</v>
      </c>
      <c r="ELT3" s="10" t="s">
        <v>69</v>
      </c>
      <c r="ELU3" s="10" t="s">
        <v>67</v>
      </c>
      <c r="ELV3" s="10" t="s">
        <v>69</v>
      </c>
      <c r="ELW3" s="10" t="s">
        <v>67</v>
      </c>
      <c r="ELX3" s="10" t="s">
        <v>69</v>
      </c>
      <c r="ELY3" s="10" t="s">
        <v>67</v>
      </c>
      <c r="ELZ3" s="10" t="s">
        <v>69</v>
      </c>
      <c r="EMA3" s="10" t="s">
        <v>67</v>
      </c>
      <c r="EMB3" s="10" t="s">
        <v>69</v>
      </c>
      <c r="EMC3" s="10" t="s">
        <v>67</v>
      </c>
      <c r="EMD3" s="10" t="s">
        <v>69</v>
      </c>
      <c r="EME3" s="10" t="s">
        <v>67</v>
      </c>
      <c r="EMF3" s="10" t="s">
        <v>69</v>
      </c>
      <c r="EMG3" s="10" t="s">
        <v>67</v>
      </c>
      <c r="EMH3" s="10" t="s">
        <v>69</v>
      </c>
      <c r="EMI3" s="10" t="s">
        <v>67</v>
      </c>
      <c r="EMJ3" s="10" t="s">
        <v>69</v>
      </c>
      <c r="EMK3" s="10" t="s">
        <v>67</v>
      </c>
      <c r="EML3" s="10" t="s">
        <v>69</v>
      </c>
      <c r="EMM3" s="10" t="s">
        <v>67</v>
      </c>
      <c r="EMN3" s="10" t="s">
        <v>69</v>
      </c>
      <c r="EMO3" s="10" t="s">
        <v>67</v>
      </c>
      <c r="EMP3" s="10" t="s">
        <v>69</v>
      </c>
      <c r="EMQ3" s="10" t="s">
        <v>67</v>
      </c>
      <c r="EMR3" s="10" t="s">
        <v>69</v>
      </c>
      <c r="EMS3" s="10" t="s">
        <v>67</v>
      </c>
      <c r="EMT3" s="10" t="s">
        <v>69</v>
      </c>
      <c r="EMU3" s="10" t="s">
        <v>67</v>
      </c>
      <c r="EMV3" s="10" t="s">
        <v>69</v>
      </c>
      <c r="EMW3" s="10" t="s">
        <v>67</v>
      </c>
      <c r="EMX3" s="10" t="s">
        <v>69</v>
      </c>
      <c r="EMY3" s="10" t="s">
        <v>67</v>
      </c>
      <c r="EMZ3" s="10" t="s">
        <v>69</v>
      </c>
      <c r="ENA3" s="10" t="s">
        <v>67</v>
      </c>
      <c r="ENB3" s="10" t="s">
        <v>69</v>
      </c>
      <c r="ENC3" s="10" t="s">
        <v>67</v>
      </c>
      <c r="END3" s="10" t="s">
        <v>69</v>
      </c>
      <c r="ENE3" s="10" t="s">
        <v>67</v>
      </c>
      <c r="ENF3" s="10" t="s">
        <v>69</v>
      </c>
      <c r="ENG3" s="10" t="s">
        <v>67</v>
      </c>
      <c r="ENH3" s="10" t="s">
        <v>69</v>
      </c>
      <c r="ENI3" s="10" t="s">
        <v>67</v>
      </c>
      <c r="ENJ3" s="10" t="s">
        <v>69</v>
      </c>
      <c r="ENK3" s="10" t="s">
        <v>67</v>
      </c>
      <c r="ENL3" s="10" t="s">
        <v>69</v>
      </c>
      <c r="ENM3" s="10" t="s">
        <v>67</v>
      </c>
      <c r="ENN3" s="10" t="s">
        <v>69</v>
      </c>
      <c r="ENO3" s="10" t="s">
        <v>67</v>
      </c>
      <c r="ENP3" s="10" t="s">
        <v>69</v>
      </c>
      <c r="ENQ3" s="10" t="s">
        <v>67</v>
      </c>
      <c r="ENR3" s="10" t="s">
        <v>69</v>
      </c>
      <c r="ENS3" s="10" t="s">
        <v>67</v>
      </c>
      <c r="ENT3" s="10" t="s">
        <v>69</v>
      </c>
      <c r="ENU3" s="10" t="s">
        <v>67</v>
      </c>
      <c r="ENV3" s="10" t="s">
        <v>69</v>
      </c>
      <c r="ENW3" s="10" t="s">
        <v>67</v>
      </c>
      <c r="ENX3" s="10" t="s">
        <v>69</v>
      </c>
      <c r="ENY3" s="10" t="s">
        <v>67</v>
      </c>
      <c r="ENZ3" s="10" t="s">
        <v>69</v>
      </c>
      <c r="EOA3" s="10" t="s">
        <v>67</v>
      </c>
      <c r="EOB3" s="10" t="s">
        <v>69</v>
      </c>
      <c r="EOC3" s="10" t="s">
        <v>67</v>
      </c>
      <c r="EOD3" s="10" t="s">
        <v>69</v>
      </c>
      <c r="EOE3" s="10" t="s">
        <v>67</v>
      </c>
      <c r="EOF3" s="10" t="s">
        <v>69</v>
      </c>
      <c r="EOG3" s="10" t="s">
        <v>67</v>
      </c>
      <c r="EOH3" s="10" t="s">
        <v>69</v>
      </c>
      <c r="EOI3" s="10" t="s">
        <v>67</v>
      </c>
      <c r="EOJ3" s="10" t="s">
        <v>69</v>
      </c>
      <c r="EOK3" s="10" t="s">
        <v>67</v>
      </c>
      <c r="EOL3" s="10" t="s">
        <v>69</v>
      </c>
      <c r="EOM3" s="10" t="s">
        <v>67</v>
      </c>
      <c r="EON3" s="10" t="s">
        <v>69</v>
      </c>
      <c r="EOO3" s="10" t="s">
        <v>67</v>
      </c>
      <c r="EOP3" s="10" t="s">
        <v>69</v>
      </c>
      <c r="EOQ3" s="10" t="s">
        <v>67</v>
      </c>
      <c r="EOR3" s="10" t="s">
        <v>69</v>
      </c>
      <c r="EOS3" s="10" t="s">
        <v>67</v>
      </c>
      <c r="EOT3" s="10" t="s">
        <v>69</v>
      </c>
      <c r="EOU3" s="10" t="s">
        <v>67</v>
      </c>
      <c r="EOV3" s="10" t="s">
        <v>69</v>
      </c>
      <c r="EOW3" s="10" t="s">
        <v>67</v>
      </c>
      <c r="EOX3" s="10" t="s">
        <v>69</v>
      </c>
      <c r="EOY3" s="10" t="s">
        <v>67</v>
      </c>
      <c r="EOZ3" s="10" t="s">
        <v>69</v>
      </c>
      <c r="EPA3" s="10" t="s">
        <v>67</v>
      </c>
      <c r="EPB3" s="10" t="s">
        <v>69</v>
      </c>
      <c r="EPC3" s="10" t="s">
        <v>67</v>
      </c>
      <c r="EPD3" s="10" t="s">
        <v>69</v>
      </c>
      <c r="EPE3" s="10" t="s">
        <v>67</v>
      </c>
      <c r="EPF3" s="10" t="s">
        <v>69</v>
      </c>
      <c r="EPG3" s="10" t="s">
        <v>67</v>
      </c>
      <c r="EPH3" s="10" t="s">
        <v>69</v>
      </c>
      <c r="EPI3" s="10" t="s">
        <v>67</v>
      </c>
      <c r="EPJ3" s="10" t="s">
        <v>69</v>
      </c>
      <c r="EPK3" s="10" t="s">
        <v>67</v>
      </c>
      <c r="EPL3" s="10" t="s">
        <v>69</v>
      </c>
      <c r="EPM3" s="10" t="s">
        <v>67</v>
      </c>
      <c r="EPN3" s="10" t="s">
        <v>69</v>
      </c>
      <c r="EPO3" s="10" t="s">
        <v>67</v>
      </c>
      <c r="EPP3" s="10" t="s">
        <v>69</v>
      </c>
      <c r="EPQ3" s="10" t="s">
        <v>67</v>
      </c>
      <c r="EPR3" s="10" t="s">
        <v>69</v>
      </c>
      <c r="EPS3" s="10" t="s">
        <v>67</v>
      </c>
      <c r="EPT3" s="10" t="s">
        <v>69</v>
      </c>
      <c r="EPU3" s="10" t="s">
        <v>67</v>
      </c>
      <c r="EPV3" s="10" t="s">
        <v>69</v>
      </c>
      <c r="EPW3" s="10" t="s">
        <v>67</v>
      </c>
      <c r="EPX3" s="10" t="s">
        <v>69</v>
      </c>
      <c r="EPY3" s="10" t="s">
        <v>67</v>
      </c>
      <c r="EPZ3" s="10" t="s">
        <v>69</v>
      </c>
      <c r="EQA3" s="10" t="s">
        <v>67</v>
      </c>
      <c r="EQB3" s="10" t="s">
        <v>69</v>
      </c>
      <c r="EQC3" s="10" t="s">
        <v>67</v>
      </c>
      <c r="EQD3" s="10" t="s">
        <v>69</v>
      </c>
      <c r="EQE3" s="10" t="s">
        <v>67</v>
      </c>
      <c r="EQF3" s="10" t="s">
        <v>69</v>
      </c>
      <c r="EQG3" s="10" t="s">
        <v>67</v>
      </c>
      <c r="EQH3" s="10" t="s">
        <v>69</v>
      </c>
      <c r="EQI3" s="10" t="s">
        <v>67</v>
      </c>
      <c r="EQJ3" s="10" t="s">
        <v>69</v>
      </c>
      <c r="EQK3" s="10" t="s">
        <v>67</v>
      </c>
      <c r="EQL3" s="10" t="s">
        <v>69</v>
      </c>
      <c r="EQM3" s="10" t="s">
        <v>67</v>
      </c>
      <c r="EQN3" s="10" t="s">
        <v>69</v>
      </c>
      <c r="EQO3" s="10" t="s">
        <v>67</v>
      </c>
      <c r="EQP3" s="10" t="s">
        <v>69</v>
      </c>
      <c r="EQQ3" s="10" t="s">
        <v>67</v>
      </c>
      <c r="EQR3" s="10" t="s">
        <v>69</v>
      </c>
      <c r="EQS3" s="10" t="s">
        <v>67</v>
      </c>
      <c r="EQT3" s="10" t="s">
        <v>69</v>
      </c>
      <c r="EQU3" s="10" t="s">
        <v>67</v>
      </c>
      <c r="EQV3" s="10" t="s">
        <v>69</v>
      </c>
      <c r="EQW3" s="10" t="s">
        <v>67</v>
      </c>
      <c r="EQX3" s="10" t="s">
        <v>69</v>
      </c>
      <c r="EQY3" s="10" t="s">
        <v>67</v>
      </c>
      <c r="EQZ3" s="10" t="s">
        <v>69</v>
      </c>
      <c r="ERA3" s="10" t="s">
        <v>67</v>
      </c>
      <c r="ERB3" s="10" t="s">
        <v>69</v>
      </c>
      <c r="ERC3" s="10" t="s">
        <v>67</v>
      </c>
      <c r="ERD3" s="10" t="s">
        <v>69</v>
      </c>
      <c r="ERE3" s="10" t="s">
        <v>67</v>
      </c>
      <c r="ERF3" s="10" t="s">
        <v>69</v>
      </c>
      <c r="ERG3" s="10" t="s">
        <v>67</v>
      </c>
      <c r="ERH3" s="10" t="s">
        <v>69</v>
      </c>
      <c r="ERI3" s="10" t="s">
        <v>67</v>
      </c>
      <c r="ERJ3" s="10" t="s">
        <v>69</v>
      </c>
      <c r="ERK3" s="10" t="s">
        <v>67</v>
      </c>
      <c r="ERL3" s="10" t="s">
        <v>69</v>
      </c>
      <c r="ERM3" s="10" t="s">
        <v>67</v>
      </c>
      <c r="ERN3" s="10" t="s">
        <v>69</v>
      </c>
      <c r="ERO3" s="10" t="s">
        <v>67</v>
      </c>
      <c r="ERP3" s="10" t="s">
        <v>69</v>
      </c>
      <c r="ERQ3" s="10" t="s">
        <v>67</v>
      </c>
      <c r="ERR3" s="10" t="s">
        <v>69</v>
      </c>
      <c r="ERS3" s="10" t="s">
        <v>67</v>
      </c>
      <c r="ERT3" s="10" t="s">
        <v>69</v>
      </c>
      <c r="ERU3" s="10" t="s">
        <v>67</v>
      </c>
      <c r="ERV3" s="10" t="s">
        <v>69</v>
      </c>
      <c r="ERW3" s="10" t="s">
        <v>67</v>
      </c>
      <c r="ERX3" s="10" t="s">
        <v>69</v>
      </c>
      <c r="ERY3" s="10" t="s">
        <v>67</v>
      </c>
      <c r="ERZ3" s="10" t="s">
        <v>69</v>
      </c>
      <c r="ESA3" s="10" t="s">
        <v>67</v>
      </c>
      <c r="ESB3" s="10" t="s">
        <v>69</v>
      </c>
      <c r="ESC3" s="10" t="s">
        <v>67</v>
      </c>
      <c r="ESD3" s="10" t="s">
        <v>69</v>
      </c>
      <c r="ESE3" s="10" t="s">
        <v>67</v>
      </c>
      <c r="ESF3" s="10" t="s">
        <v>69</v>
      </c>
      <c r="ESG3" s="10" t="s">
        <v>67</v>
      </c>
      <c r="ESH3" s="10" t="s">
        <v>69</v>
      </c>
      <c r="ESI3" s="10" t="s">
        <v>67</v>
      </c>
      <c r="ESJ3" s="10" t="s">
        <v>69</v>
      </c>
      <c r="ESK3" s="10" t="s">
        <v>67</v>
      </c>
      <c r="ESL3" s="10" t="s">
        <v>69</v>
      </c>
      <c r="ESM3" s="10" t="s">
        <v>67</v>
      </c>
      <c r="ESN3" s="10" t="s">
        <v>69</v>
      </c>
      <c r="ESO3" s="10" t="s">
        <v>67</v>
      </c>
      <c r="ESP3" s="10" t="s">
        <v>69</v>
      </c>
      <c r="ESQ3" s="10" t="s">
        <v>67</v>
      </c>
      <c r="ESR3" s="10" t="s">
        <v>69</v>
      </c>
      <c r="ESS3" s="10" t="s">
        <v>67</v>
      </c>
      <c r="EST3" s="10" t="s">
        <v>69</v>
      </c>
      <c r="ESU3" s="10" t="s">
        <v>67</v>
      </c>
      <c r="ESV3" s="10" t="s">
        <v>69</v>
      </c>
      <c r="ESW3" s="10" t="s">
        <v>67</v>
      </c>
      <c r="ESX3" s="10" t="s">
        <v>69</v>
      </c>
      <c r="ESY3" s="10" t="s">
        <v>67</v>
      </c>
      <c r="ESZ3" s="10" t="s">
        <v>69</v>
      </c>
      <c r="ETA3" s="10" t="s">
        <v>67</v>
      </c>
      <c r="ETB3" s="10" t="s">
        <v>69</v>
      </c>
      <c r="ETC3" s="10" t="s">
        <v>67</v>
      </c>
      <c r="ETD3" s="10" t="s">
        <v>69</v>
      </c>
      <c r="ETE3" s="10" t="s">
        <v>67</v>
      </c>
      <c r="ETF3" s="10" t="s">
        <v>69</v>
      </c>
      <c r="ETG3" s="10" t="s">
        <v>67</v>
      </c>
      <c r="ETH3" s="10" t="s">
        <v>69</v>
      </c>
      <c r="ETI3" s="10" t="s">
        <v>67</v>
      </c>
      <c r="ETJ3" s="10" t="s">
        <v>69</v>
      </c>
      <c r="ETK3" s="10" t="s">
        <v>67</v>
      </c>
      <c r="ETL3" s="10" t="s">
        <v>69</v>
      </c>
      <c r="ETM3" s="10" t="s">
        <v>67</v>
      </c>
      <c r="ETN3" s="10" t="s">
        <v>69</v>
      </c>
      <c r="ETO3" s="10" t="s">
        <v>67</v>
      </c>
      <c r="ETP3" s="10" t="s">
        <v>69</v>
      </c>
      <c r="ETQ3" s="10" t="s">
        <v>67</v>
      </c>
      <c r="ETR3" s="10" t="s">
        <v>69</v>
      </c>
      <c r="ETS3" s="10" t="s">
        <v>67</v>
      </c>
      <c r="ETT3" s="10" t="s">
        <v>69</v>
      </c>
      <c r="ETU3" s="10" t="s">
        <v>67</v>
      </c>
      <c r="ETV3" s="10" t="s">
        <v>69</v>
      </c>
      <c r="ETW3" s="10" t="s">
        <v>67</v>
      </c>
      <c r="ETX3" s="10" t="s">
        <v>69</v>
      </c>
      <c r="ETY3" s="10" t="s">
        <v>67</v>
      </c>
      <c r="ETZ3" s="10" t="s">
        <v>69</v>
      </c>
      <c r="EUA3" s="10" t="s">
        <v>67</v>
      </c>
      <c r="EUB3" s="10" t="s">
        <v>69</v>
      </c>
      <c r="EUC3" s="10" t="s">
        <v>67</v>
      </c>
      <c r="EUD3" s="10" t="s">
        <v>69</v>
      </c>
      <c r="EUE3" s="10" t="s">
        <v>67</v>
      </c>
      <c r="EUF3" s="10" t="s">
        <v>69</v>
      </c>
      <c r="EUG3" s="10" t="s">
        <v>67</v>
      </c>
      <c r="EUH3" s="10" t="s">
        <v>69</v>
      </c>
      <c r="EUI3" s="10" t="s">
        <v>67</v>
      </c>
      <c r="EUJ3" s="10" t="s">
        <v>69</v>
      </c>
      <c r="EUK3" s="10" t="s">
        <v>67</v>
      </c>
      <c r="EUL3" s="10" t="s">
        <v>69</v>
      </c>
      <c r="EUM3" s="10" t="s">
        <v>67</v>
      </c>
      <c r="EUN3" s="10" t="s">
        <v>69</v>
      </c>
      <c r="EUO3" s="10" t="s">
        <v>67</v>
      </c>
      <c r="EUP3" s="10" t="s">
        <v>69</v>
      </c>
      <c r="EUQ3" s="10" t="s">
        <v>67</v>
      </c>
      <c r="EUR3" s="10" t="s">
        <v>69</v>
      </c>
      <c r="EUS3" s="10" t="s">
        <v>67</v>
      </c>
      <c r="EUT3" s="10" t="s">
        <v>69</v>
      </c>
      <c r="EUU3" s="10" t="s">
        <v>67</v>
      </c>
      <c r="EUV3" s="10" t="s">
        <v>69</v>
      </c>
      <c r="EUW3" s="10" t="s">
        <v>67</v>
      </c>
      <c r="EUX3" s="10" t="s">
        <v>69</v>
      </c>
      <c r="EUY3" s="10" t="s">
        <v>67</v>
      </c>
      <c r="EUZ3" s="10" t="s">
        <v>69</v>
      </c>
      <c r="EVA3" s="10" t="s">
        <v>67</v>
      </c>
      <c r="EVB3" s="10" t="s">
        <v>69</v>
      </c>
      <c r="EVC3" s="10" t="s">
        <v>67</v>
      </c>
      <c r="EVD3" s="10" t="s">
        <v>69</v>
      </c>
      <c r="EVE3" s="10" t="s">
        <v>67</v>
      </c>
      <c r="EVF3" s="10" t="s">
        <v>69</v>
      </c>
      <c r="EVG3" s="10" t="s">
        <v>67</v>
      </c>
      <c r="EVH3" s="10" t="s">
        <v>69</v>
      </c>
      <c r="EVI3" s="10" t="s">
        <v>67</v>
      </c>
      <c r="EVJ3" s="10" t="s">
        <v>69</v>
      </c>
      <c r="EVK3" s="10" t="s">
        <v>67</v>
      </c>
      <c r="EVL3" s="10" t="s">
        <v>69</v>
      </c>
      <c r="EVM3" s="10" t="s">
        <v>67</v>
      </c>
      <c r="EVN3" s="10" t="s">
        <v>69</v>
      </c>
      <c r="EVO3" s="10" t="s">
        <v>67</v>
      </c>
      <c r="EVP3" s="10" t="s">
        <v>69</v>
      </c>
      <c r="EVQ3" s="10" t="s">
        <v>67</v>
      </c>
      <c r="EVR3" s="10" t="s">
        <v>69</v>
      </c>
      <c r="EVS3" s="10" t="s">
        <v>67</v>
      </c>
      <c r="EVT3" s="10" t="s">
        <v>69</v>
      </c>
      <c r="EVU3" s="10" t="s">
        <v>67</v>
      </c>
      <c r="EVV3" s="10" t="s">
        <v>69</v>
      </c>
      <c r="EVW3" s="10" t="s">
        <v>67</v>
      </c>
      <c r="EVX3" s="10" t="s">
        <v>69</v>
      </c>
      <c r="EVY3" s="10" t="s">
        <v>67</v>
      </c>
      <c r="EVZ3" s="10" t="s">
        <v>69</v>
      </c>
      <c r="EWA3" s="10" t="s">
        <v>67</v>
      </c>
      <c r="EWB3" s="10" t="s">
        <v>69</v>
      </c>
      <c r="EWC3" s="10" t="s">
        <v>67</v>
      </c>
      <c r="EWD3" s="10" t="s">
        <v>69</v>
      </c>
      <c r="EWE3" s="10" t="s">
        <v>67</v>
      </c>
      <c r="EWF3" s="10" t="s">
        <v>69</v>
      </c>
      <c r="EWG3" s="10" t="s">
        <v>67</v>
      </c>
      <c r="EWH3" s="10" t="s">
        <v>69</v>
      </c>
      <c r="EWI3" s="10" t="s">
        <v>67</v>
      </c>
      <c r="EWJ3" s="10" t="s">
        <v>69</v>
      </c>
      <c r="EWK3" s="10" t="s">
        <v>67</v>
      </c>
      <c r="EWL3" s="10" t="s">
        <v>69</v>
      </c>
      <c r="EWM3" s="10" t="s">
        <v>67</v>
      </c>
      <c r="EWN3" s="10" t="s">
        <v>69</v>
      </c>
      <c r="EWO3" s="10" t="s">
        <v>67</v>
      </c>
      <c r="EWP3" s="10" t="s">
        <v>69</v>
      </c>
      <c r="EWQ3" s="10" t="s">
        <v>67</v>
      </c>
      <c r="EWR3" s="10" t="s">
        <v>69</v>
      </c>
      <c r="EWS3" s="10" t="s">
        <v>67</v>
      </c>
      <c r="EWT3" s="10" t="s">
        <v>69</v>
      </c>
      <c r="EWU3" s="10" t="s">
        <v>67</v>
      </c>
      <c r="EWV3" s="10" t="s">
        <v>69</v>
      </c>
    </row>
    <row r="4" spans="1:4000">
      <c r="A4" s="9">
        <f>BDH(A$1,"PX_TO_BOOK_RATIO",DataStart,DataEnd,"Per=M","Days=A","Fill=P")</f>
        <v/>
      </c>
      <c r="C4" s="9">
        <f>BDH(C$1,"PX_TO_BOOK_RATIO",DataStart,DataEnd,"Per=M","Days=A","Fill=P")</f>
        <v/>
      </c>
      <c r="E4" s="9">
        <f>BDH(E$1,"PX_TO_BOOK_RATIO",DataStart,DataEnd,"Per=M","Days=A","Fill=P")</f>
        <v/>
      </c>
      <c r="G4" s="9">
        <f>BDH(G$1,"PX_TO_BOOK_RATIO",DataStart,DataEnd,"Per=M","Days=A","Fill=P")</f>
        <v/>
      </c>
      <c r="I4" s="9">
        <f>BDH(I$1,"PX_TO_BOOK_RATIO",DataStart,DataEnd,"Per=M","Days=A","Fill=P")</f>
        <v/>
      </c>
      <c r="K4" s="9">
        <f>BDH(K$1,"PX_TO_BOOK_RATIO",DataStart,DataEnd,"Per=M","Days=A","Fill=P")</f>
        <v/>
      </c>
      <c r="M4" s="9">
        <f>BDH(M$1,"PX_TO_BOOK_RATIO",DataStart,DataEnd,"Per=M","Days=A","Fill=P")</f>
        <v/>
      </c>
      <c r="O4" s="9">
        <f>BDH(O$1,"PX_TO_BOOK_RATIO",DataStart,DataEnd,"Per=M","Days=A","Fill=P")</f>
        <v/>
      </c>
      <c r="Q4" s="9">
        <f>BDH(Q$1,"PX_TO_BOOK_RATIO",DataStart,DataEnd,"Per=M","Days=A","Fill=P")</f>
        <v/>
      </c>
      <c r="S4" s="9">
        <f>BDH(S$1,"PX_TO_BOOK_RATIO",DataStart,DataEnd,"Per=M","Days=A","Fill=P")</f>
        <v/>
      </c>
      <c r="U4" s="9">
        <f>BDH(U$1,"PX_TO_BOOK_RATIO",DataStart,DataEnd,"Per=M","Days=A","Fill=P")</f>
        <v/>
      </c>
      <c r="W4" s="9">
        <f>BDH(W$1,"PX_TO_BOOK_RATIO",DataStart,DataEnd,"Per=M","Days=A","Fill=P")</f>
        <v/>
      </c>
      <c r="Y4" s="9">
        <f>BDH(Y$1,"PX_TO_BOOK_RATIO",DataStart,DataEnd,"Per=M","Days=A","Fill=P")</f>
        <v/>
      </c>
      <c r="AA4" s="9">
        <f>BDH(AA$1,"PX_TO_BOOK_RATIO",DataStart,DataEnd,"Per=M","Days=A","Fill=P")</f>
        <v/>
      </c>
      <c r="AC4" s="9">
        <f>BDH(AC$1,"PX_TO_BOOK_RATIO",DataStart,DataEnd,"Per=M","Days=A","Fill=P")</f>
        <v/>
      </c>
      <c r="AE4" s="9">
        <f>BDH(AE$1,"PX_TO_BOOK_RATIO",DataStart,DataEnd,"Per=M","Days=A","Fill=P")</f>
        <v/>
      </c>
      <c r="AG4" s="9">
        <f>BDH(AG$1,"PX_TO_BOOK_RATIO",DataStart,DataEnd,"Per=M","Days=A","Fill=P")</f>
        <v/>
      </c>
      <c r="AI4" s="9">
        <f>BDH(AI$1,"PX_TO_BOOK_RATIO",DataStart,DataEnd,"Per=M","Days=A","Fill=P")</f>
        <v/>
      </c>
      <c r="AK4" s="9">
        <f>BDH(AK$1,"PX_TO_BOOK_RATIO",DataStart,DataEnd,"Per=M","Days=A","Fill=P")</f>
        <v/>
      </c>
      <c r="AM4" s="9">
        <f>BDH(AM$1,"PX_TO_BOOK_RATIO",DataStart,DataEnd,"Per=M","Days=A","Fill=P")</f>
        <v/>
      </c>
      <c r="AO4" s="9">
        <f>BDH(AO$1,"PX_TO_BOOK_RATIO",DataStart,DataEnd,"Per=M","Days=A","Fill=P")</f>
        <v/>
      </c>
      <c r="AQ4" s="9">
        <f>BDH(AQ$1,"PX_TO_BOOK_RATIO",DataStart,DataEnd,"Per=M","Days=A","Fill=P")</f>
        <v/>
      </c>
      <c r="AS4" s="9">
        <f>BDH(AS$1,"PX_TO_BOOK_RATIO",DataStart,DataEnd,"Per=M","Days=A","Fill=P")</f>
        <v/>
      </c>
      <c r="AU4" s="9">
        <f>BDH(AU$1,"PX_TO_BOOK_RATIO",DataStart,DataEnd,"Per=M","Days=A","Fill=P")</f>
        <v/>
      </c>
      <c r="AW4" s="9">
        <f>BDH(AW$1,"PX_TO_BOOK_RATIO",DataStart,DataEnd,"Per=M","Days=A","Fill=P")</f>
        <v/>
      </c>
      <c r="AY4" s="9">
        <f>BDH(AY$1,"PX_TO_BOOK_RATIO",DataStart,DataEnd,"Per=M","Days=A","Fill=P")</f>
        <v/>
      </c>
      <c r="BA4" s="9">
        <f>BDH(BA$1,"PX_TO_BOOK_RATIO",DataStart,DataEnd,"Per=M","Days=A","Fill=P")</f>
        <v/>
      </c>
      <c r="BC4" s="9">
        <f>BDH(BC$1,"PX_TO_BOOK_RATIO",DataStart,DataEnd,"Per=M","Days=A","Fill=P")</f>
        <v/>
      </c>
      <c r="BE4" s="9">
        <f>BDH(BE$1,"PX_TO_BOOK_RATIO",DataStart,DataEnd,"Per=M","Days=A","Fill=P")</f>
        <v/>
      </c>
      <c r="BG4" s="9">
        <f>BDH(BG$1,"PX_TO_BOOK_RATIO",DataStart,DataEnd,"Per=M","Days=A","Fill=P")</f>
        <v/>
      </c>
      <c r="BI4" s="9">
        <f>BDH(BI$1,"PX_TO_BOOK_RATIO",DataStart,DataEnd,"Per=M","Days=A","Fill=P")</f>
        <v/>
      </c>
      <c r="BK4" s="9">
        <f>BDH(BK$1,"PX_TO_BOOK_RATIO",DataStart,DataEnd,"Per=M","Days=A","Fill=P")</f>
        <v/>
      </c>
      <c r="BM4" s="9">
        <f>BDH(BM$1,"PX_TO_BOOK_RATIO",DataStart,DataEnd,"Per=M","Days=A","Fill=P")</f>
        <v/>
      </c>
      <c r="BO4" s="9">
        <f>BDH(BO$1,"PX_TO_BOOK_RATIO",DataStart,DataEnd,"Per=M","Days=A","Fill=P")</f>
        <v/>
      </c>
      <c r="BQ4" s="9">
        <f>BDH(BQ$1,"PX_TO_BOOK_RATIO",DataStart,DataEnd,"Per=M","Days=A","Fill=P")</f>
        <v/>
      </c>
      <c r="BS4" s="9">
        <f>BDH(BS$1,"PX_TO_BOOK_RATIO",DataStart,DataEnd,"Per=M","Days=A","Fill=P")</f>
        <v/>
      </c>
      <c r="BU4" s="9">
        <f>BDH(BU$1,"PX_TO_BOOK_RATIO",DataStart,DataEnd,"Per=M","Days=A","Fill=P")</f>
        <v/>
      </c>
      <c r="BW4" s="9">
        <f>BDH(BW$1,"PX_TO_BOOK_RATIO",DataStart,DataEnd,"Per=M","Days=A","Fill=P")</f>
        <v/>
      </c>
      <c r="BY4" s="9">
        <f>BDH(BY$1,"PX_TO_BOOK_RATIO",DataStart,DataEnd,"Per=M","Days=A","Fill=P")</f>
        <v/>
      </c>
      <c r="CA4" s="9">
        <f>BDH(CA$1,"PX_TO_BOOK_RATIO",DataStart,DataEnd,"Per=M","Days=A","Fill=P")</f>
        <v/>
      </c>
      <c r="CC4" s="9">
        <f>BDH(CC$1,"PX_TO_BOOK_RATIO",DataStart,DataEnd,"Per=M","Days=A","Fill=P")</f>
        <v/>
      </c>
      <c r="CE4" s="9">
        <f>BDH(CE$1,"PX_TO_BOOK_RATIO",DataStart,DataEnd,"Per=M","Days=A","Fill=P")</f>
        <v/>
      </c>
      <c r="CG4" s="9">
        <f>BDH(CG$1,"PX_TO_BOOK_RATIO",DataStart,DataEnd,"Per=M","Days=A","Fill=P")</f>
        <v/>
      </c>
      <c r="CI4" s="9">
        <f>BDH(CI$1,"PX_TO_BOOK_RATIO",DataStart,DataEnd,"Per=M","Days=A","Fill=P")</f>
        <v/>
      </c>
      <c r="CK4" s="9">
        <f>BDH(CK$1,"PX_TO_BOOK_RATIO",DataStart,DataEnd,"Per=M","Days=A","Fill=P")</f>
        <v/>
      </c>
      <c r="CM4" s="9">
        <f>BDH(CM$1,"PX_TO_BOOK_RATIO",DataStart,DataEnd,"Per=M","Days=A","Fill=P")</f>
        <v/>
      </c>
      <c r="CO4" s="9">
        <f>BDH(CO$1,"PX_TO_BOOK_RATIO",DataStart,DataEnd,"Per=M","Days=A","Fill=P")</f>
        <v/>
      </c>
      <c r="CQ4" s="9">
        <f>BDH(CQ$1,"PX_TO_BOOK_RATIO",DataStart,DataEnd,"Per=M","Days=A","Fill=P")</f>
        <v/>
      </c>
      <c r="CS4" s="9">
        <f>BDH(CS$1,"PX_TO_BOOK_RATIO",DataStart,DataEnd,"Per=M","Days=A","Fill=P")</f>
        <v/>
      </c>
      <c r="CU4" s="9">
        <f>BDH(CU$1,"PX_TO_BOOK_RATIO",DataStart,DataEnd,"Per=M","Days=A","Fill=P")</f>
        <v/>
      </c>
      <c r="CW4" s="9">
        <f>BDH(CW$1,"PX_TO_BOOK_RATIO",DataStart,DataEnd,"Per=M","Days=A","Fill=P")</f>
        <v/>
      </c>
      <c r="CY4" s="9">
        <f>BDH(CY$1,"PX_TO_BOOK_RATIO",DataStart,DataEnd,"Per=M","Days=A","Fill=P")</f>
        <v/>
      </c>
      <c r="DA4" s="9">
        <f>BDH(DA$1,"PX_TO_BOOK_RATIO",DataStart,DataEnd,"Per=M","Days=A","Fill=P")</f>
        <v/>
      </c>
      <c r="DC4" s="9">
        <f>BDH(DC$1,"PX_TO_BOOK_RATIO",DataStart,DataEnd,"Per=M","Days=A","Fill=P")</f>
        <v/>
      </c>
      <c r="DE4" s="9">
        <f>BDH(DE$1,"PX_TO_BOOK_RATIO",DataStart,DataEnd,"Per=M","Days=A","Fill=P")</f>
        <v/>
      </c>
      <c r="DG4" s="9">
        <f>BDH(DG$1,"PX_TO_BOOK_RATIO",DataStart,DataEnd,"Per=M","Days=A","Fill=P")</f>
        <v/>
      </c>
      <c r="DI4" s="9">
        <f>BDH(DI$1,"PX_TO_BOOK_RATIO",DataStart,DataEnd,"Per=M","Days=A","Fill=P")</f>
        <v/>
      </c>
      <c r="DK4" s="9">
        <f>BDH(DK$1,"PX_TO_BOOK_RATIO",DataStart,DataEnd,"Per=M","Days=A","Fill=P")</f>
        <v/>
      </c>
      <c r="DM4" s="9">
        <f>BDH(DM$1,"PX_TO_BOOK_RATIO",DataStart,DataEnd,"Per=M","Days=A","Fill=P")</f>
        <v/>
      </c>
      <c r="DO4" s="9">
        <f>BDH(DO$1,"PX_TO_BOOK_RATIO",DataStart,DataEnd,"Per=M","Days=A","Fill=P")</f>
        <v/>
      </c>
      <c r="DQ4" s="9">
        <f>BDH(DQ$1,"PX_TO_BOOK_RATIO",DataStart,DataEnd,"Per=M","Days=A","Fill=P")</f>
        <v/>
      </c>
      <c r="DS4" s="9">
        <f>BDH(DS$1,"PX_TO_BOOK_RATIO",DataStart,DataEnd,"Per=M","Days=A","Fill=P")</f>
        <v/>
      </c>
      <c r="DU4" s="9">
        <f>BDH(DU$1,"PX_TO_BOOK_RATIO",DataStart,DataEnd,"Per=M","Days=A","Fill=P")</f>
        <v/>
      </c>
      <c r="DW4" s="9">
        <f>BDH(DW$1,"PX_TO_BOOK_RATIO",DataStart,DataEnd,"Per=M","Days=A","Fill=P")</f>
        <v/>
      </c>
      <c r="DY4" s="9">
        <f>BDH(DY$1,"PX_TO_BOOK_RATIO",DataStart,DataEnd,"Per=M","Days=A","Fill=P")</f>
        <v/>
      </c>
      <c r="EA4" s="9">
        <f>BDH(EA$1,"PX_TO_BOOK_RATIO",DataStart,DataEnd,"Per=M","Days=A","Fill=P")</f>
        <v/>
      </c>
      <c r="EC4" s="9">
        <f>BDH(EC$1,"PX_TO_BOOK_RATIO",DataStart,DataEnd,"Per=M","Days=A","Fill=P")</f>
        <v/>
      </c>
      <c r="EE4" s="9">
        <f>BDH(EE$1,"PX_TO_BOOK_RATIO",DataStart,DataEnd,"Per=M","Days=A","Fill=P")</f>
        <v/>
      </c>
      <c r="EG4" s="9">
        <f>BDH(EG$1,"PX_TO_BOOK_RATIO",DataStart,DataEnd,"Per=M","Days=A","Fill=P")</f>
        <v/>
      </c>
      <c r="EI4" s="9">
        <f>BDH(EI$1,"PX_TO_BOOK_RATIO",DataStart,DataEnd,"Per=M","Days=A","Fill=P")</f>
        <v/>
      </c>
      <c r="EK4" s="9">
        <f>BDH(EK$1,"PX_TO_BOOK_RATIO",DataStart,DataEnd,"Per=M","Days=A","Fill=P")</f>
        <v/>
      </c>
      <c r="EM4" s="9">
        <f>BDH(EM$1,"PX_TO_BOOK_RATIO",DataStart,DataEnd,"Per=M","Days=A","Fill=P")</f>
        <v/>
      </c>
      <c r="EO4" s="9">
        <f>BDH(EO$1,"PX_TO_BOOK_RATIO",DataStart,DataEnd,"Per=M","Days=A","Fill=P")</f>
        <v/>
      </c>
      <c r="EQ4" s="9">
        <f>BDH(EQ$1,"PX_TO_BOOK_RATIO",DataStart,DataEnd,"Per=M","Days=A","Fill=P")</f>
        <v/>
      </c>
      <c r="ES4" s="9">
        <f>BDH(ES$1,"PX_TO_BOOK_RATIO",DataStart,DataEnd,"Per=M","Days=A","Fill=P")</f>
        <v/>
      </c>
      <c r="EU4" s="9">
        <f>BDH(EU$1,"PX_TO_BOOK_RATIO",DataStart,DataEnd,"Per=M","Days=A","Fill=P")</f>
        <v/>
      </c>
      <c r="EW4" s="9">
        <f>BDH(EW$1,"PX_TO_BOOK_RATIO",DataStart,DataEnd,"Per=M","Days=A","Fill=P")</f>
        <v/>
      </c>
      <c r="EY4" s="9">
        <f>BDH(EY$1,"PX_TO_BOOK_RATIO",DataStart,DataEnd,"Per=M","Days=A","Fill=P")</f>
        <v/>
      </c>
      <c r="FA4" s="9">
        <f>BDH(FA$1,"PX_TO_BOOK_RATIO",DataStart,DataEnd,"Per=M","Days=A","Fill=P")</f>
        <v/>
      </c>
      <c r="FC4" s="9">
        <f>BDH(FC$1,"PX_TO_BOOK_RATIO",DataStart,DataEnd,"Per=M","Days=A","Fill=P")</f>
        <v/>
      </c>
      <c r="FE4" s="9">
        <f>BDH(FE$1,"PX_TO_BOOK_RATIO",DataStart,DataEnd,"Per=M","Days=A","Fill=P")</f>
        <v/>
      </c>
      <c r="FG4" s="9">
        <f>BDH(FG$1,"PX_TO_BOOK_RATIO",DataStart,DataEnd,"Per=M","Days=A","Fill=P")</f>
        <v/>
      </c>
      <c r="FI4" s="9">
        <f>BDH(FI$1,"PX_TO_BOOK_RATIO",DataStart,DataEnd,"Per=M","Days=A","Fill=P")</f>
        <v/>
      </c>
      <c r="FK4" s="9">
        <f>BDH(FK$1,"PX_TO_BOOK_RATIO",DataStart,DataEnd,"Per=M","Days=A","Fill=P")</f>
        <v/>
      </c>
      <c r="FM4" s="9">
        <f>BDH(FM$1,"PX_TO_BOOK_RATIO",DataStart,DataEnd,"Per=M","Days=A","Fill=P")</f>
        <v/>
      </c>
      <c r="FO4" s="9">
        <f>BDH(FO$1,"PX_TO_BOOK_RATIO",DataStart,DataEnd,"Per=M","Days=A","Fill=P")</f>
        <v/>
      </c>
      <c r="FQ4" s="9">
        <f>BDH(FQ$1,"PX_TO_BOOK_RATIO",DataStart,DataEnd,"Per=M","Days=A","Fill=P")</f>
        <v/>
      </c>
      <c r="FS4" s="9">
        <f>BDH(FS$1,"PX_TO_BOOK_RATIO",DataStart,DataEnd,"Per=M","Days=A","Fill=P")</f>
        <v/>
      </c>
      <c r="FU4" s="9">
        <f>BDH(FU$1,"PX_TO_BOOK_RATIO",DataStart,DataEnd,"Per=M","Days=A","Fill=P")</f>
        <v/>
      </c>
      <c r="FW4" s="9">
        <f>BDH(FW$1,"PX_TO_BOOK_RATIO",DataStart,DataEnd,"Per=M","Days=A","Fill=P")</f>
        <v/>
      </c>
      <c r="FY4" s="9">
        <f>BDH(FY$1,"PX_TO_BOOK_RATIO",DataStart,DataEnd,"Per=M","Days=A","Fill=P")</f>
        <v/>
      </c>
      <c r="GA4" s="9">
        <f>BDH(GA$1,"PX_TO_BOOK_RATIO",DataStart,DataEnd,"Per=M","Days=A","Fill=P")</f>
        <v/>
      </c>
      <c r="GC4" s="9">
        <f>BDH(GC$1,"PX_TO_BOOK_RATIO",DataStart,DataEnd,"Per=M","Days=A","Fill=P")</f>
        <v/>
      </c>
      <c r="GE4" s="9">
        <f>BDH(GE$1,"PX_TO_BOOK_RATIO",DataStart,DataEnd,"Per=M","Days=A","Fill=P")</f>
        <v/>
      </c>
      <c r="GG4" s="9">
        <f>BDH(GG$1,"PX_TO_BOOK_RATIO",DataStart,DataEnd,"Per=M","Days=A","Fill=P")</f>
        <v/>
      </c>
      <c r="GI4" s="9">
        <f>BDH(GI$1,"PX_TO_BOOK_RATIO",DataStart,DataEnd,"Per=M","Days=A","Fill=P")</f>
        <v/>
      </c>
      <c r="GK4" s="9">
        <f>BDH(GK$1,"PX_TO_BOOK_RATIO",DataStart,DataEnd,"Per=M","Days=A","Fill=P")</f>
        <v/>
      </c>
      <c r="GM4" s="9">
        <f>BDH(GM$1,"PX_TO_BOOK_RATIO",DataStart,DataEnd,"Per=M","Days=A","Fill=P")</f>
        <v/>
      </c>
      <c r="GO4" s="9">
        <f>BDH(GO$1,"PX_TO_BOOK_RATIO",DataStart,DataEnd,"Per=M","Days=A","Fill=P")</f>
        <v/>
      </c>
      <c r="GQ4" s="9">
        <f>BDH(GQ$1,"PX_TO_BOOK_RATIO",DataStart,DataEnd,"Per=M","Days=A","Fill=P")</f>
        <v/>
      </c>
      <c r="GS4" s="9">
        <f>BDH(GS$1,"PX_TO_BOOK_RATIO",DataStart,DataEnd,"Per=M","Days=A","Fill=P")</f>
        <v/>
      </c>
      <c r="GU4" s="9">
        <f>BDH(GU$1,"PX_TO_BOOK_RATIO",DataStart,DataEnd,"Per=M","Days=A","Fill=P")</f>
        <v/>
      </c>
      <c r="GW4" s="9">
        <f>BDH(GW$1,"PX_TO_BOOK_RATIO",DataStart,DataEnd,"Per=M","Days=A","Fill=P")</f>
        <v/>
      </c>
      <c r="GY4" s="9">
        <f>BDH(GY$1,"PX_TO_BOOK_RATIO",DataStart,DataEnd,"Per=M","Days=A","Fill=P")</f>
        <v/>
      </c>
      <c r="HA4" s="9">
        <f>BDH(HA$1,"PX_TO_BOOK_RATIO",DataStart,DataEnd,"Per=M","Days=A","Fill=P")</f>
        <v/>
      </c>
      <c r="HC4" s="9">
        <f>BDH(HC$1,"PX_TO_BOOK_RATIO",DataStart,DataEnd,"Per=M","Days=A","Fill=P")</f>
        <v/>
      </c>
      <c r="HE4" s="9">
        <f>BDH(HE$1,"PX_TO_BOOK_RATIO",DataStart,DataEnd,"Per=M","Days=A","Fill=P")</f>
        <v/>
      </c>
      <c r="HG4" s="9">
        <f>BDH(HG$1,"PX_TO_BOOK_RATIO",DataStart,DataEnd,"Per=M","Days=A","Fill=P")</f>
        <v/>
      </c>
      <c r="HI4" s="9">
        <f>BDH(HI$1,"PX_TO_BOOK_RATIO",DataStart,DataEnd,"Per=M","Days=A","Fill=P")</f>
        <v/>
      </c>
      <c r="HK4" s="9">
        <f>BDH(HK$1,"PX_TO_BOOK_RATIO",DataStart,DataEnd,"Per=M","Days=A","Fill=P")</f>
        <v/>
      </c>
      <c r="HM4" s="9">
        <f>BDH(HM$1,"PX_TO_BOOK_RATIO",DataStart,DataEnd,"Per=M","Days=A","Fill=P")</f>
        <v/>
      </c>
      <c r="HO4" s="9">
        <f>BDH(HO$1,"PX_TO_BOOK_RATIO",DataStart,DataEnd,"Per=M","Days=A","Fill=P")</f>
        <v/>
      </c>
      <c r="HQ4" s="9">
        <f>BDH(HQ$1,"PX_TO_BOOK_RATIO",DataStart,DataEnd,"Per=M","Days=A","Fill=P")</f>
        <v/>
      </c>
      <c r="HS4" s="9">
        <f>BDH(HS$1,"PX_TO_BOOK_RATIO",DataStart,DataEnd,"Per=M","Days=A","Fill=P")</f>
        <v/>
      </c>
      <c r="HU4" s="9">
        <f>BDH(HU$1,"PX_TO_BOOK_RATIO",DataStart,DataEnd,"Per=M","Days=A","Fill=P")</f>
        <v/>
      </c>
      <c r="HW4" s="9">
        <f>BDH(HW$1,"PX_TO_BOOK_RATIO",DataStart,DataEnd,"Per=M","Days=A","Fill=P")</f>
        <v/>
      </c>
      <c r="HY4" s="9">
        <f>BDH(HY$1,"PX_TO_BOOK_RATIO",DataStart,DataEnd,"Per=M","Days=A","Fill=P")</f>
        <v/>
      </c>
      <c r="IA4" s="9">
        <f>BDH(IA$1,"PX_TO_BOOK_RATIO",DataStart,DataEnd,"Per=M","Days=A","Fill=P")</f>
        <v/>
      </c>
      <c r="IC4" s="9">
        <f>BDH(IC$1,"PX_TO_BOOK_RATIO",DataStart,DataEnd,"Per=M","Days=A","Fill=P")</f>
        <v/>
      </c>
      <c r="IE4" s="9">
        <f>BDH(IE$1,"PX_TO_BOOK_RATIO",DataStart,DataEnd,"Per=M","Days=A","Fill=P")</f>
        <v/>
      </c>
      <c r="IG4" s="9">
        <f>BDH(IG$1,"PX_TO_BOOK_RATIO",DataStart,DataEnd,"Per=M","Days=A","Fill=P")</f>
        <v/>
      </c>
      <c r="II4" s="9">
        <f>BDH(II$1,"PX_TO_BOOK_RATIO",DataStart,DataEnd,"Per=M","Days=A","Fill=P")</f>
        <v/>
      </c>
      <c r="IK4" s="9">
        <f>BDH(IK$1,"PX_TO_BOOK_RATIO",DataStart,DataEnd,"Per=M","Days=A","Fill=P")</f>
        <v/>
      </c>
      <c r="IM4" s="9">
        <f>BDH(IM$1,"PX_TO_BOOK_RATIO",DataStart,DataEnd,"Per=M","Days=A","Fill=P")</f>
        <v/>
      </c>
      <c r="IO4" s="9">
        <f>BDH(IO$1,"PX_TO_BOOK_RATIO",DataStart,DataEnd,"Per=M","Days=A","Fill=P")</f>
        <v/>
      </c>
      <c r="IQ4" s="9">
        <f>BDH(IQ$1,"PX_TO_BOOK_RATIO",DataStart,DataEnd,"Per=M","Days=A","Fill=P")</f>
        <v/>
      </c>
      <c r="IS4" s="9">
        <f>BDH(IS$1,"PX_TO_BOOK_RATIO",DataStart,DataEnd,"Per=M","Days=A","Fill=P")</f>
        <v/>
      </c>
      <c r="IU4" s="9">
        <f>BDH(IU$1,"PX_TO_BOOK_RATIO",DataStart,DataEnd,"Per=M","Days=A","Fill=P")</f>
        <v/>
      </c>
      <c r="IW4" s="9">
        <f>BDH(IW$1,"PX_TO_BOOK_RATIO",DataStart,DataEnd,"Per=M","Days=A","Fill=P")</f>
        <v/>
      </c>
      <c r="IY4" s="9">
        <f>BDH(IY$1,"PX_TO_BOOK_RATIO",DataStart,DataEnd,"Per=M","Days=A","Fill=P")</f>
        <v/>
      </c>
      <c r="JA4" s="9">
        <f>BDH(JA$1,"PX_TO_BOOK_RATIO",DataStart,DataEnd,"Per=M","Days=A","Fill=P")</f>
        <v/>
      </c>
      <c r="JC4" s="9">
        <f>BDH(JC$1,"PX_TO_BOOK_RATIO",DataStart,DataEnd,"Per=M","Days=A","Fill=P")</f>
        <v/>
      </c>
      <c r="JE4" s="9">
        <f>BDH(JE$1,"PX_TO_BOOK_RATIO",DataStart,DataEnd,"Per=M","Days=A","Fill=P")</f>
        <v/>
      </c>
      <c r="JG4" s="9">
        <f>BDH(JG$1,"PX_TO_BOOK_RATIO",DataStart,DataEnd,"Per=M","Days=A","Fill=P")</f>
        <v/>
      </c>
      <c r="JI4" s="9">
        <f>BDH(JI$1,"PX_TO_BOOK_RATIO",DataStart,DataEnd,"Per=M","Days=A","Fill=P")</f>
        <v/>
      </c>
      <c r="JK4" s="9">
        <f>BDH(JK$1,"PX_TO_BOOK_RATIO",DataStart,DataEnd,"Per=M","Days=A","Fill=P")</f>
        <v/>
      </c>
      <c r="JM4" s="9">
        <f>BDH(JM$1,"PX_TO_BOOK_RATIO",DataStart,DataEnd,"Per=M","Days=A","Fill=P")</f>
        <v/>
      </c>
      <c r="JO4" s="9">
        <f>BDH(JO$1,"PX_TO_BOOK_RATIO",DataStart,DataEnd,"Per=M","Days=A","Fill=P")</f>
        <v/>
      </c>
      <c r="JQ4" s="9">
        <f>BDH(JQ$1,"PX_TO_BOOK_RATIO",DataStart,DataEnd,"Per=M","Days=A","Fill=P")</f>
        <v/>
      </c>
      <c r="JS4" s="9">
        <f>BDH(JS$1,"PX_TO_BOOK_RATIO",DataStart,DataEnd,"Per=M","Days=A","Fill=P")</f>
        <v/>
      </c>
      <c r="JU4" s="9">
        <f>BDH(JU$1,"PX_TO_BOOK_RATIO",DataStart,DataEnd,"Per=M","Days=A","Fill=P")</f>
        <v/>
      </c>
      <c r="JW4" s="9">
        <f>BDH(JW$1,"PX_TO_BOOK_RATIO",DataStart,DataEnd,"Per=M","Days=A","Fill=P")</f>
        <v/>
      </c>
      <c r="JY4" s="9">
        <f>BDH(JY$1,"PX_TO_BOOK_RATIO",DataStart,DataEnd,"Per=M","Days=A","Fill=P")</f>
        <v/>
      </c>
      <c r="KA4" s="9">
        <f>BDH(KA$1,"PX_TO_BOOK_RATIO",DataStart,DataEnd,"Per=M","Days=A","Fill=P")</f>
        <v/>
      </c>
      <c r="KC4" s="9">
        <f>BDH(KC$1,"PX_TO_BOOK_RATIO",DataStart,DataEnd,"Per=M","Days=A","Fill=P")</f>
        <v/>
      </c>
      <c r="KE4" s="9">
        <f>BDH(KE$1,"PX_TO_BOOK_RATIO",DataStart,DataEnd,"Per=M","Days=A","Fill=P")</f>
        <v/>
      </c>
      <c r="KG4" s="9">
        <f>BDH(KG$1,"PX_TO_BOOK_RATIO",DataStart,DataEnd,"Per=M","Days=A","Fill=P")</f>
        <v/>
      </c>
      <c r="KI4" s="9">
        <f>BDH(KI$1,"PX_TO_BOOK_RATIO",DataStart,DataEnd,"Per=M","Days=A","Fill=P")</f>
        <v/>
      </c>
      <c r="KK4" s="9">
        <f>BDH(KK$1,"PX_TO_BOOK_RATIO",DataStart,DataEnd,"Per=M","Days=A","Fill=P")</f>
        <v/>
      </c>
      <c r="KM4" s="9">
        <f>BDH(KM$1,"PX_TO_BOOK_RATIO",DataStart,DataEnd,"Per=M","Days=A","Fill=P")</f>
        <v/>
      </c>
      <c r="KO4" s="9">
        <f>BDH(KO$1,"PX_TO_BOOK_RATIO",DataStart,DataEnd,"Per=M","Days=A","Fill=P")</f>
        <v/>
      </c>
      <c r="KQ4" s="9">
        <f>BDH(KQ$1,"PX_TO_BOOK_RATIO",DataStart,DataEnd,"Per=M","Days=A","Fill=P")</f>
        <v/>
      </c>
      <c r="KS4" s="9">
        <f>BDH(KS$1,"PX_TO_BOOK_RATIO",DataStart,DataEnd,"Per=M","Days=A","Fill=P")</f>
        <v/>
      </c>
      <c r="KU4" s="9">
        <f>BDH(KU$1,"PX_TO_BOOK_RATIO",DataStart,DataEnd,"Per=M","Days=A","Fill=P")</f>
        <v/>
      </c>
      <c r="KW4" s="9">
        <f>BDH(KW$1,"PX_TO_BOOK_RATIO",DataStart,DataEnd,"Per=M","Days=A","Fill=P")</f>
        <v/>
      </c>
      <c r="KY4" s="9">
        <f>BDH(KY$1,"PX_TO_BOOK_RATIO",DataStart,DataEnd,"Per=M","Days=A","Fill=P")</f>
        <v/>
      </c>
      <c r="LA4" s="9">
        <f>BDH(LA$1,"PX_TO_BOOK_RATIO",DataStart,DataEnd,"Per=M","Days=A","Fill=P")</f>
        <v/>
      </c>
      <c r="LC4" s="9">
        <f>BDH(LC$1,"PX_TO_BOOK_RATIO",DataStart,DataEnd,"Per=M","Days=A","Fill=P")</f>
        <v/>
      </c>
      <c r="LE4" s="9">
        <f>BDH(LE$1,"PX_TO_BOOK_RATIO",DataStart,DataEnd,"Per=M","Days=A","Fill=P")</f>
        <v/>
      </c>
      <c r="LG4" s="9">
        <f>BDH(LG$1,"PX_TO_BOOK_RATIO",DataStart,DataEnd,"Per=M","Days=A","Fill=P")</f>
        <v/>
      </c>
      <c r="LI4" s="9">
        <f>BDH(LI$1,"PX_TO_BOOK_RATIO",DataStart,DataEnd,"Per=M","Days=A","Fill=P")</f>
        <v/>
      </c>
      <c r="LK4" s="9">
        <f>BDH(LK$1,"PX_TO_BOOK_RATIO",DataStart,DataEnd,"Per=M","Days=A","Fill=P")</f>
        <v/>
      </c>
      <c r="LM4" s="9">
        <f>BDH(LM$1,"PX_TO_BOOK_RATIO",DataStart,DataEnd,"Per=M","Days=A","Fill=P")</f>
        <v/>
      </c>
      <c r="LO4" s="9">
        <f>BDH(LO$1,"PX_TO_BOOK_RATIO",DataStart,DataEnd,"Per=M","Days=A","Fill=P")</f>
        <v/>
      </c>
      <c r="LQ4" s="9">
        <f>BDH(LQ$1,"PX_TO_BOOK_RATIO",DataStart,DataEnd,"Per=M","Days=A","Fill=P")</f>
        <v/>
      </c>
      <c r="LS4" s="9">
        <f>BDH(LS$1,"PX_TO_BOOK_RATIO",DataStart,DataEnd,"Per=M","Days=A","Fill=P")</f>
        <v/>
      </c>
      <c r="LU4" s="9">
        <f>BDH(LU$1,"PX_TO_BOOK_RATIO",DataStart,DataEnd,"Per=M","Days=A","Fill=P")</f>
        <v/>
      </c>
      <c r="LW4" s="9">
        <f>BDH(LW$1,"PX_TO_BOOK_RATIO",DataStart,DataEnd,"Per=M","Days=A","Fill=P")</f>
        <v/>
      </c>
      <c r="LY4" s="9">
        <f>BDH(LY$1,"PX_TO_BOOK_RATIO",DataStart,DataEnd,"Per=M","Days=A","Fill=P")</f>
        <v/>
      </c>
      <c r="MA4" s="9">
        <f>BDH(MA$1,"PX_TO_BOOK_RATIO",DataStart,DataEnd,"Per=M","Days=A","Fill=P")</f>
        <v/>
      </c>
      <c r="MC4" s="9">
        <f>BDH(MC$1,"PX_TO_BOOK_RATIO",DataStart,DataEnd,"Per=M","Days=A","Fill=P")</f>
        <v/>
      </c>
      <c r="ME4" s="9">
        <f>BDH(ME$1,"PX_TO_BOOK_RATIO",DataStart,DataEnd,"Per=M","Days=A","Fill=P")</f>
        <v/>
      </c>
      <c r="MG4" s="9">
        <f>BDH(MG$1,"PX_TO_BOOK_RATIO",DataStart,DataEnd,"Per=M","Days=A","Fill=P")</f>
        <v/>
      </c>
      <c r="MI4" s="9">
        <f>BDH(MI$1,"PX_TO_BOOK_RATIO",DataStart,DataEnd,"Per=M","Days=A","Fill=P")</f>
        <v/>
      </c>
      <c r="MK4" s="9">
        <f>BDH(MK$1,"PX_TO_BOOK_RATIO",DataStart,DataEnd,"Per=M","Days=A","Fill=P")</f>
        <v/>
      </c>
      <c r="MM4" s="9">
        <f>BDH(MM$1,"PX_TO_BOOK_RATIO",DataStart,DataEnd,"Per=M","Days=A","Fill=P")</f>
        <v/>
      </c>
      <c r="MO4" s="9">
        <f>BDH(MO$1,"PX_TO_BOOK_RATIO",DataStart,DataEnd,"Per=M","Days=A","Fill=P")</f>
        <v/>
      </c>
      <c r="MQ4" s="9">
        <f>BDH(MQ$1,"PX_TO_BOOK_RATIO",DataStart,DataEnd,"Per=M","Days=A","Fill=P")</f>
        <v/>
      </c>
      <c r="MS4" s="9">
        <f>BDH(MS$1,"PX_TO_BOOK_RATIO",DataStart,DataEnd,"Per=M","Days=A","Fill=P")</f>
        <v/>
      </c>
      <c r="MU4" s="9">
        <f>BDH(MU$1,"PX_TO_BOOK_RATIO",DataStart,DataEnd,"Per=M","Days=A","Fill=P")</f>
        <v/>
      </c>
      <c r="MW4" s="9">
        <f>BDH(MW$1,"PX_TO_BOOK_RATIO",DataStart,DataEnd,"Per=M","Days=A","Fill=P")</f>
        <v/>
      </c>
      <c r="MY4" s="9">
        <f>BDH(MY$1,"PX_TO_BOOK_RATIO",DataStart,DataEnd,"Per=M","Days=A","Fill=P")</f>
        <v/>
      </c>
      <c r="NA4" s="9">
        <f>BDH(NA$1,"PX_TO_BOOK_RATIO",DataStart,DataEnd,"Per=M","Days=A","Fill=P")</f>
        <v/>
      </c>
      <c r="NC4" s="9">
        <f>BDH(NC$1,"PX_TO_BOOK_RATIO",DataStart,DataEnd,"Per=M","Days=A","Fill=P")</f>
        <v/>
      </c>
      <c r="NE4" s="9">
        <f>BDH(NE$1,"PX_TO_BOOK_RATIO",DataStart,DataEnd,"Per=M","Days=A","Fill=P")</f>
        <v/>
      </c>
      <c r="NG4" s="9">
        <f>BDH(NG$1,"PX_TO_BOOK_RATIO",DataStart,DataEnd,"Per=M","Days=A","Fill=P")</f>
        <v/>
      </c>
      <c r="NI4" s="9">
        <f>BDH(NI$1,"PX_TO_BOOK_RATIO",DataStart,DataEnd,"Per=M","Days=A","Fill=P")</f>
        <v/>
      </c>
      <c r="NK4" s="9">
        <f>BDH(NK$1,"PX_TO_BOOK_RATIO",DataStart,DataEnd,"Per=M","Days=A","Fill=P")</f>
        <v/>
      </c>
      <c r="NM4" s="9">
        <f>BDH(NM$1,"PX_TO_BOOK_RATIO",DataStart,DataEnd,"Per=M","Days=A","Fill=P")</f>
        <v/>
      </c>
      <c r="NO4" s="9">
        <f>BDH(NO$1,"PX_TO_BOOK_RATIO",DataStart,DataEnd,"Per=M","Days=A","Fill=P")</f>
        <v/>
      </c>
      <c r="NQ4" s="9">
        <f>BDH(NQ$1,"PX_TO_BOOK_RATIO",DataStart,DataEnd,"Per=M","Days=A","Fill=P")</f>
        <v/>
      </c>
      <c r="NS4" s="9">
        <f>BDH(NS$1,"PX_TO_BOOK_RATIO",DataStart,DataEnd,"Per=M","Days=A","Fill=P")</f>
        <v/>
      </c>
      <c r="NU4" s="9">
        <f>BDH(NU$1,"PX_TO_BOOK_RATIO",DataStart,DataEnd,"Per=M","Days=A","Fill=P")</f>
        <v/>
      </c>
      <c r="NW4" s="9">
        <f>BDH(NW$1,"PX_TO_BOOK_RATIO",DataStart,DataEnd,"Per=M","Days=A","Fill=P")</f>
        <v/>
      </c>
      <c r="NY4" s="9">
        <f>BDH(NY$1,"PX_TO_BOOK_RATIO",DataStart,DataEnd,"Per=M","Days=A","Fill=P")</f>
        <v/>
      </c>
      <c r="OA4" s="9">
        <f>BDH(OA$1,"PX_TO_BOOK_RATIO",DataStart,DataEnd,"Per=M","Days=A","Fill=P")</f>
        <v/>
      </c>
      <c r="OC4" s="9">
        <f>BDH(OC$1,"PX_TO_BOOK_RATIO",DataStart,DataEnd,"Per=M","Days=A","Fill=P")</f>
        <v/>
      </c>
      <c r="OE4" s="9">
        <f>BDH(OE$1,"PX_TO_BOOK_RATIO",DataStart,DataEnd,"Per=M","Days=A","Fill=P")</f>
        <v/>
      </c>
      <c r="OG4" s="9">
        <f>BDH(OG$1,"PX_TO_BOOK_RATIO",DataStart,DataEnd,"Per=M","Days=A","Fill=P")</f>
        <v/>
      </c>
      <c r="OI4" s="9">
        <f>BDH(OI$1,"PX_TO_BOOK_RATIO",DataStart,DataEnd,"Per=M","Days=A","Fill=P")</f>
        <v/>
      </c>
      <c r="OK4" s="9">
        <f>BDH(OK$1,"PX_TO_BOOK_RATIO",DataStart,DataEnd,"Per=M","Days=A","Fill=P")</f>
        <v/>
      </c>
      <c r="OM4" s="9">
        <f>BDH(OM$1,"PX_TO_BOOK_RATIO",DataStart,DataEnd,"Per=M","Days=A","Fill=P")</f>
        <v/>
      </c>
      <c r="OO4" s="9">
        <f>BDH(OO$1,"PX_TO_BOOK_RATIO",DataStart,DataEnd,"Per=M","Days=A","Fill=P")</f>
        <v/>
      </c>
      <c r="OQ4" s="9">
        <f>BDH(OQ$1,"PX_TO_BOOK_RATIO",DataStart,DataEnd,"Per=M","Days=A","Fill=P")</f>
        <v/>
      </c>
      <c r="OS4" s="9">
        <f>BDH(OS$1,"PX_TO_BOOK_RATIO",DataStart,DataEnd,"Per=M","Days=A","Fill=P")</f>
        <v/>
      </c>
      <c r="OU4" s="9">
        <f>BDH(OU$1,"PX_TO_BOOK_RATIO",DataStart,DataEnd,"Per=M","Days=A","Fill=P")</f>
        <v/>
      </c>
      <c r="OW4" s="9">
        <f>BDH(OW$1,"PX_TO_BOOK_RATIO",DataStart,DataEnd,"Per=M","Days=A","Fill=P")</f>
        <v/>
      </c>
      <c r="OY4" s="9">
        <f>BDH(OY$1,"PX_TO_BOOK_RATIO",DataStart,DataEnd,"Per=M","Days=A","Fill=P")</f>
        <v/>
      </c>
      <c r="PA4" s="9">
        <f>BDH(PA$1,"PX_TO_BOOK_RATIO",DataStart,DataEnd,"Per=M","Days=A","Fill=P")</f>
        <v/>
      </c>
      <c r="PC4" s="9">
        <f>BDH(PC$1,"PX_TO_BOOK_RATIO",DataStart,DataEnd,"Per=M","Days=A","Fill=P")</f>
        <v/>
      </c>
      <c r="PE4" s="9">
        <f>BDH(PE$1,"PX_TO_BOOK_RATIO",DataStart,DataEnd,"Per=M","Days=A","Fill=P")</f>
        <v/>
      </c>
      <c r="PG4" s="9">
        <f>BDH(PG$1,"PX_TO_BOOK_RATIO",DataStart,DataEnd,"Per=M","Days=A","Fill=P")</f>
        <v/>
      </c>
      <c r="PI4" s="9">
        <f>BDH(PI$1,"PX_TO_BOOK_RATIO",DataStart,DataEnd,"Per=M","Days=A","Fill=P")</f>
        <v/>
      </c>
      <c r="PK4" s="9">
        <f>BDH(PK$1,"PX_TO_BOOK_RATIO",DataStart,DataEnd,"Per=M","Days=A","Fill=P")</f>
        <v/>
      </c>
      <c r="PM4" s="9">
        <f>BDH(PM$1,"PX_TO_BOOK_RATIO",DataStart,DataEnd,"Per=M","Days=A","Fill=P")</f>
        <v/>
      </c>
      <c r="PO4" s="9">
        <f>BDH(PO$1,"PX_TO_BOOK_RATIO",DataStart,DataEnd,"Per=M","Days=A","Fill=P")</f>
        <v/>
      </c>
      <c r="PQ4" s="9">
        <f>BDH(PQ$1,"PX_TO_BOOK_RATIO",DataStart,DataEnd,"Per=M","Days=A","Fill=P")</f>
        <v/>
      </c>
      <c r="PS4" s="9">
        <f>BDH(PS$1,"PX_TO_BOOK_RATIO",DataStart,DataEnd,"Per=M","Days=A","Fill=P")</f>
        <v/>
      </c>
      <c r="PU4" s="9">
        <f>BDH(PU$1,"PX_TO_BOOK_RATIO",DataStart,DataEnd,"Per=M","Days=A","Fill=P")</f>
        <v/>
      </c>
      <c r="PW4" s="9">
        <f>BDH(PW$1,"PX_TO_BOOK_RATIO",DataStart,DataEnd,"Per=M","Days=A","Fill=P")</f>
        <v/>
      </c>
      <c r="PY4" s="9">
        <f>BDH(PY$1,"PX_TO_BOOK_RATIO",DataStart,DataEnd,"Per=M","Days=A","Fill=P")</f>
        <v/>
      </c>
      <c r="QA4" s="9">
        <f>BDH(QA$1,"PX_TO_BOOK_RATIO",DataStart,DataEnd,"Per=M","Days=A","Fill=P")</f>
        <v/>
      </c>
      <c r="QC4" s="9">
        <f>BDH(QC$1,"PX_TO_BOOK_RATIO",DataStart,DataEnd,"Per=M","Days=A","Fill=P")</f>
        <v/>
      </c>
      <c r="QE4" s="9">
        <f>BDH(QE$1,"PX_TO_BOOK_RATIO",DataStart,DataEnd,"Per=M","Days=A","Fill=P")</f>
        <v/>
      </c>
      <c r="QG4" s="9">
        <f>BDH(QG$1,"PX_TO_BOOK_RATIO",DataStart,DataEnd,"Per=M","Days=A","Fill=P")</f>
        <v/>
      </c>
      <c r="QI4" s="9">
        <f>BDH(QI$1,"PX_TO_BOOK_RATIO",DataStart,DataEnd,"Per=M","Days=A","Fill=P")</f>
        <v/>
      </c>
      <c r="QK4" s="9">
        <f>BDH(QK$1,"PX_TO_BOOK_RATIO",DataStart,DataEnd,"Per=M","Days=A","Fill=P")</f>
        <v/>
      </c>
      <c r="QM4" s="9">
        <f>BDH(QM$1,"PX_TO_BOOK_RATIO",DataStart,DataEnd,"Per=M","Days=A","Fill=P")</f>
        <v/>
      </c>
      <c r="QO4" s="9">
        <f>BDH(QO$1,"PX_TO_BOOK_RATIO",DataStart,DataEnd,"Per=M","Days=A","Fill=P")</f>
        <v/>
      </c>
      <c r="QQ4" s="9">
        <f>BDH(QQ$1,"PX_TO_BOOK_RATIO",DataStart,DataEnd,"Per=M","Days=A","Fill=P")</f>
        <v/>
      </c>
      <c r="QS4" s="9">
        <f>BDH(QS$1,"PX_TO_BOOK_RATIO",DataStart,DataEnd,"Per=M","Days=A","Fill=P")</f>
        <v/>
      </c>
      <c r="QU4" s="9">
        <f>BDH(QU$1,"PX_TO_BOOK_RATIO",DataStart,DataEnd,"Per=M","Days=A","Fill=P")</f>
        <v/>
      </c>
      <c r="QW4" s="9">
        <f>BDH(QW$1,"PX_TO_BOOK_RATIO",DataStart,DataEnd,"Per=M","Days=A","Fill=P")</f>
        <v/>
      </c>
      <c r="QY4" s="9">
        <f>BDH(QY$1,"PX_TO_BOOK_RATIO",DataStart,DataEnd,"Per=M","Days=A","Fill=P")</f>
        <v/>
      </c>
      <c r="RA4" s="9">
        <f>BDH(RA$1,"PX_TO_BOOK_RATIO",DataStart,DataEnd,"Per=M","Days=A","Fill=P")</f>
        <v/>
      </c>
      <c r="RC4" s="9">
        <f>BDH(RC$1,"PX_TO_BOOK_RATIO",DataStart,DataEnd,"Per=M","Days=A","Fill=P")</f>
        <v/>
      </c>
      <c r="RE4" s="9">
        <f>BDH(RE$1,"PX_TO_BOOK_RATIO",DataStart,DataEnd,"Per=M","Days=A","Fill=P")</f>
        <v/>
      </c>
      <c r="RG4" s="9">
        <f>BDH(RG$1,"PX_TO_BOOK_RATIO",DataStart,DataEnd,"Per=M","Days=A","Fill=P")</f>
        <v/>
      </c>
      <c r="RI4" s="9">
        <f>BDH(RI$1,"PX_TO_BOOK_RATIO",DataStart,DataEnd,"Per=M","Days=A","Fill=P")</f>
        <v/>
      </c>
      <c r="RK4" s="9">
        <f>BDH(RK$1,"PX_TO_BOOK_RATIO",DataStart,DataEnd,"Per=M","Days=A","Fill=P")</f>
        <v/>
      </c>
      <c r="RM4" s="9">
        <f>BDH(RM$1,"PX_TO_BOOK_RATIO",DataStart,DataEnd,"Per=M","Days=A","Fill=P")</f>
        <v/>
      </c>
      <c r="RO4" s="9">
        <f>BDH(RO$1,"PX_TO_BOOK_RATIO",DataStart,DataEnd,"Per=M","Days=A","Fill=P")</f>
        <v/>
      </c>
      <c r="RQ4" s="9">
        <f>BDH(RQ$1,"PX_TO_BOOK_RATIO",DataStart,DataEnd,"Per=M","Days=A","Fill=P")</f>
        <v/>
      </c>
      <c r="RS4" s="9">
        <f>BDH(RS$1,"PX_TO_BOOK_RATIO",DataStart,DataEnd,"Per=M","Days=A","Fill=P")</f>
        <v/>
      </c>
      <c r="RU4" s="9">
        <f>BDH(RU$1,"PX_TO_BOOK_RATIO",DataStart,DataEnd,"Per=M","Days=A","Fill=P")</f>
        <v/>
      </c>
      <c r="RW4" s="9">
        <f>BDH(RW$1,"PX_TO_BOOK_RATIO",DataStart,DataEnd,"Per=M","Days=A","Fill=P")</f>
        <v/>
      </c>
      <c r="RY4" s="9">
        <f>BDH(RY$1,"PX_TO_BOOK_RATIO",DataStart,DataEnd,"Per=M","Days=A","Fill=P")</f>
        <v/>
      </c>
      <c r="SA4" s="9">
        <f>BDH(SA$1,"PX_TO_BOOK_RATIO",DataStart,DataEnd,"Per=M","Days=A","Fill=P")</f>
        <v/>
      </c>
      <c r="SC4" s="9">
        <f>BDH(SC$1,"PX_TO_BOOK_RATIO",DataStart,DataEnd,"Per=M","Days=A","Fill=P")</f>
        <v/>
      </c>
      <c r="SE4" s="9">
        <f>BDH(SE$1,"PX_TO_BOOK_RATIO",DataStart,DataEnd,"Per=M","Days=A","Fill=P")</f>
        <v/>
      </c>
      <c r="SG4" s="9">
        <f>BDH(SG$1,"PX_TO_BOOK_RATIO",DataStart,DataEnd,"Per=M","Days=A","Fill=P")</f>
        <v/>
      </c>
      <c r="SI4" s="9">
        <f>BDH(SI$1,"PX_TO_BOOK_RATIO",DataStart,DataEnd,"Per=M","Days=A","Fill=P")</f>
        <v/>
      </c>
      <c r="SK4" s="9">
        <f>BDH(SK$1,"PX_TO_BOOK_RATIO",DataStart,DataEnd,"Per=M","Days=A","Fill=P")</f>
        <v/>
      </c>
      <c r="SM4" s="9">
        <f>BDH(SM$1,"PX_TO_BOOK_RATIO",DataStart,DataEnd,"Per=M","Days=A","Fill=P")</f>
        <v/>
      </c>
      <c r="SO4" s="9">
        <f>BDH(SO$1,"PX_TO_BOOK_RATIO",DataStart,DataEnd,"Per=M","Days=A","Fill=P")</f>
        <v/>
      </c>
      <c r="SQ4" s="9">
        <f>BDH(SQ$1,"PX_TO_BOOK_RATIO",DataStart,DataEnd,"Per=M","Days=A","Fill=P")</f>
        <v/>
      </c>
      <c r="SS4" s="9">
        <f>BDH(SS$1,"PX_TO_BOOK_RATIO",DataStart,DataEnd,"Per=M","Days=A","Fill=P")</f>
        <v/>
      </c>
      <c r="SU4" s="9">
        <f>BDH(SU$1,"PX_TO_BOOK_RATIO",DataStart,DataEnd,"Per=M","Days=A","Fill=P")</f>
        <v/>
      </c>
      <c r="SW4" s="9">
        <f>BDH(SW$1,"PX_TO_BOOK_RATIO",DataStart,DataEnd,"Per=M","Days=A","Fill=P")</f>
        <v/>
      </c>
      <c r="SY4" s="9">
        <f>BDH(SY$1,"PX_TO_BOOK_RATIO",DataStart,DataEnd,"Per=M","Days=A","Fill=P")</f>
        <v/>
      </c>
      <c r="TA4" s="9">
        <f>BDH(TA$1,"PX_TO_BOOK_RATIO",DataStart,DataEnd,"Per=M","Days=A","Fill=P")</f>
        <v/>
      </c>
      <c r="TC4" s="9">
        <f>BDH(TC$1,"PX_TO_BOOK_RATIO",DataStart,DataEnd,"Per=M","Days=A","Fill=P")</f>
        <v/>
      </c>
      <c r="TE4" s="9">
        <f>BDH(TE$1,"PX_TO_BOOK_RATIO",DataStart,DataEnd,"Per=M","Days=A","Fill=P")</f>
        <v/>
      </c>
      <c r="TG4" s="9">
        <f>BDH(TG$1,"PX_TO_BOOK_RATIO",DataStart,DataEnd,"Per=M","Days=A","Fill=P")</f>
        <v/>
      </c>
      <c r="TI4" s="9">
        <f>BDH(TI$1,"PX_TO_BOOK_RATIO",DataStart,DataEnd,"Per=M","Days=A","Fill=P")</f>
        <v/>
      </c>
      <c r="TK4" s="9">
        <f>BDH(TK$1,"PX_TO_BOOK_RATIO",DataStart,DataEnd,"Per=M","Days=A","Fill=P")</f>
        <v/>
      </c>
      <c r="TM4" s="9">
        <f>BDH(TM$1,"PX_TO_BOOK_RATIO",DataStart,DataEnd,"Per=M","Days=A","Fill=P")</f>
        <v/>
      </c>
      <c r="TO4" s="9">
        <f>BDH(TO$1,"PX_TO_BOOK_RATIO",DataStart,DataEnd,"Per=M","Days=A","Fill=P")</f>
        <v/>
      </c>
      <c r="TQ4" s="9">
        <f>BDH(TQ$1,"PX_TO_BOOK_RATIO",DataStart,DataEnd,"Per=M","Days=A","Fill=P")</f>
        <v/>
      </c>
      <c r="TS4" s="9">
        <f>BDH(TS$1,"PX_TO_BOOK_RATIO",DataStart,DataEnd,"Per=M","Days=A","Fill=P")</f>
        <v/>
      </c>
      <c r="TU4" s="9">
        <f>BDH(TU$1,"PX_TO_BOOK_RATIO",DataStart,DataEnd,"Per=M","Days=A","Fill=P")</f>
        <v/>
      </c>
      <c r="TW4" s="9">
        <f>BDH(TW$1,"PX_TO_BOOK_RATIO",DataStart,DataEnd,"Per=M","Days=A","Fill=P")</f>
        <v/>
      </c>
      <c r="TY4" s="9">
        <f>BDH(TY$1,"PX_TO_BOOK_RATIO",DataStart,DataEnd,"Per=M","Days=A","Fill=P")</f>
        <v/>
      </c>
      <c r="UA4" s="9">
        <f>BDH(UA$1,"PX_TO_BOOK_RATIO",DataStart,DataEnd,"Per=M","Days=A","Fill=P")</f>
        <v/>
      </c>
      <c r="UC4" s="9">
        <f>BDH(UC$1,"PX_TO_BOOK_RATIO",DataStart,DataEnd,"Per=M","Days=A","Fill=P")</f>
        <v/>
      </c>
      <c r="UE4" s="9">
        <f>BDH(UE$1,"PX_TO_BOOK_RATIO",DataStart,DataEnd,"Per=M","Days=A","Fill=P")</f>
        <v/>
      </c>
      <c r="UG4" s="9">
        <f>BDH(UG$1,"PX_TO_BOOK_RATIO",DataStart,DataEnd,"Per=M","Days=A","Fill=P")</f>
        <v/>
      </c>
      <c r="UI4" s="9">
        <f>BDH(UI$1,"PX_TO_BOOK_RATIO",DataStart,DataEnd,"Per=M","Days=A","Fill=P")</f>
        <v/>
      </c>
      <c r="UK4" s="9">
        <f>BDH(UK$1,"PX_TO_BOOK_RATIO",DataStart,DataEnd,"Per=M","Days=A","Fill=P")</f>
        <v/>
      </c>
      <c r="UM4" s="9">
        <f>BDH(UM$1,"PX_TO_BOOK_RATIO",DataStart,DataEnd,"Per=M","Days=A","Fill=P")</f>
        <v/>
      </c>
      <c r="UO4" s="9">
        <f>BDH(UO$1,"PX_TO_BOOK_RATIO",DataStart,DataEnd,"Per=M","Days=A","Fill=P")</f>
        <v/>
      </c>
      <c r="UQ4" s="9">
        <f>BDH(UQ$1,"PX_TO_BOOK_RATIO",DataStart,DataEnd,"Per=M","Days=A","Fill=P")</f>
        <v/>
      </c>
      <c r="US4" s="9">
        <f>BDH(US$1,"PX_TO_BOOK_RATIO",DataStart,DataEnd,"Per=M","Days=A","Fill=P")</f>
        <v/>
      </c>
      <c r="UU4" s="9">
        <f>BDH(UU$1,"PX_TO_BOOK_RATIO",DataStart,DataEnd,"Per=M","Days=A","Fill=P")</f>
        <v/>
      </c>
      <c r="UW4" s="9">
        <f>BDH(UW$1,"PX_TO_BOOK_RATIO",DataStart,DataEnd,"Per=M","Days=A","Fill=P")</f>
        <v/>
      </c>
      <c r="UY4" s="9">
        <f>BDH(UY$1,"PX_TO_BOOK_RATIO",DataStart,DataEnd,"Per=M","Days=A","Fill=P")</f>
        <v/>
      </c>
      <c r="VA4" s="9">
        <f>BDH(VA$1,"PX_TO_BOOK_RATIO",DataStart,DataEnd,"Per=M","Days=A","Fill=P")</f>
        <v/>
      </c>
      <c r="VC4" s="9">
        <f>BDH(VC$1,"PX_TO_BOOK_RATIO",DataStart,DataEnd,"Per=M","Days=A","Fill=P")</f>
        <v/>
      </c>
      <c r="VE4" s="9">
        <f>BDH(VE$1,"PX_TO_BOOK_RATIO",DataStart,DataEnd,"Per=M","Days=A","Fill=P")</f>
        <v/>
      </c>
      <c r="VG4" s="9">
        <f>BDH(VG$1,"PX_TO_BOOK_RATIO",DataStart,DataEnd,"Per=M","Days=A","Fill=P")</f>
        <v/>
      </c>
      <c r="VI4" s="9">
        <f>BDH(VI$1,"PX_TO_BOOK_RATIO",DataStart,DataEnd,"Per=M","Days=A","Fill=P")</f>
        <v/>
      </c>
      <c r="VK4" s="9">
        <f>BDH(VK$1,"PX_TO_BOOK_RATIO",DataStart,DataEnd,"Per=M","Days=A","Fill=P")</f>
        <v/>
      </c>
      <c r="VM4" s="9">
        <f>BDH(VM$1,"PX_TO_BOOK_RATIO",DataStart,DataEnd,"Per=M","Days=A","Fill=P")</f>
        <v/>
      </c>
      <c r="VO4" s="9">
        <f>BDH(VO$1,"PX_TO_BOOK_RATIO",DataStart,DataEnd,"Per=M","Days=A","Fill=P")</f>
        <v/>
      </c>
      <c r="VQ4" s="9">
        <f>BDH(VQ$1,"PX_TO_BOOK_RATIO",DataStart,DataEnd,"Per=M","Days=A","Fill=P")</f>
        <v/>
      </c>
      <c r="VS4" s="9">
        <f>BDH(VS$1,"PX_TO_BOOK_RATIO",DataStart,DataEnd,"Per=M","Days=A","Fill=P")</f>
        <v/>
      </c>
      <c r="VU4" s="9">
        <f>BDH(VU$1,"PX_TO_BOOK_RATIO",DataStart,DataEnd,"Per=M","Days=A","Fill=P")</f>
        <v/>
      </c>
      <c r="VW4" s="9">
        <f>BDH(VW$1,"PX_TO_BOOK_RATIO",DataStart,DataEnd,"Per=M","Days=A","Fill=P")</f>
        <v/>
      </c>
      <c r="VY4" s="9">
        <f>BDH(VY$1,"PX_TO_BOOK_RATIO",DataStart,DataEnd,"Per=M","Days=A","Fill=P")</f>
        <v/>
      </c>
      <c r="WA4" s="9">
        <f>BDH(WA$1,"PX_TO_BOOK_RATIO",DataStart,DataEnd,"Per=M","Days=A","Fill=P")</f>
        <v/>
      </c>
      <c r="WC4" s="9">
        <f>BDH(WC$1,"PX_TO_BOOK_RATIO",DataStart,DataEnd,"Per=M","Days=A","Fill=P")</f>
        <v/>
      </c>
      <c r="WE4" s="9">
        <f>BDH(WE$1,"PX_TO_BOOK_RATIO",DataStart,DataEnd,"Per=M","Days=A","Fill=P")</f>
        <v/>
      </c>
      <c r="WG4" s="9">
        <f>BDH(WG$1,"PX_TO_BOOK_RATIO",DataStart,DataEnd,"Per=M","Days=A","Fill=P")</f>
        <v/>
      </c>
      <c r="WI4" s="9">
        <f>BDH(WI$1,"PX_TO_BOOK_RATIO",DataStart,DataEnd,"Per=M","Days=A","Fill=P")</f>
        <v/>
      </c>
      <c r="WK4" s="9">
        <f>BDH(WK$1,"PX_TO_BOOK_RATIO",DataStart,DataEnd,"Per=M","Days=A","Fill=P")</f>
        <v/>
      </c>
      <c r="WM4" s="9">
        <f>BDH(WM$1,"PX_TO_BOOK_RATIO",DataStart,DataEnd,"Per=M","Days=A","Fill=P")</f>
        <v/>
      </c>
      <c r="WO4" s="9">
        <f>BDH(WO$1,"PX_TO_BOOK_RATIO",DataStart,DataEnd,"Per=M","Days=A","Fill=P")</f>
        <v/>
      </c>
      <c r="WQ4" s="9">
        <f>BDH(WQ$1,"PX_TO_BOOK_RATIO",DataStart,DataEnd,"Per=M","Days=A","Fill=P")</f>
        <v/>
      </c>
      <c r="WS4" s="9">
        <f>BDH(WS$1,"PX_TO_BOOK_RATIO",DataStart,DataEnd,"Per=M","Days=A","Fill=P")</f>
        <v/>
      </c>
      <c r="WU4" s="9">
        <f>BDH(WU$1,"PX_TO_BOOK_RATIO",DataStart,DataEnd,"Per=M","Days=A","Fill=P")</f>
        <v/>
      </c>
      <c r="WW4" s="9">
        <f>BDH(WW$1,"PX_TO_BOOK_RATIO",DataStart,DataEnd,"Per=M","Days=A","Fill=P")</f>
        <v/>
      </c>
      <c r="WY4" s="9">
        <f>BDH(WY$1,"PX_TO_BOOK_RATIO",DataStart,DataEnd,"Per=M","Days=A","Fill=P")</f>
        <v/>
      </c>
      <c r="XA4" s="9">
        <f>BDH(XA$1,"PX_TO_BOOK_RATIO",DataStart,DataEnd,"Per=M","Days=A","Fill=P")</f>
        <v/>
      </c>
      <c r="XC4" s="9">
        <f>BDH(XC$1,"PX_TO_BOOK_RATIO",DataStart,DataEnd,"Per=M","Days=A","Fill=P")</f>
        <v/>
      </c>
      <c r="XE4" s="9">
        <f>BDH(XE$1,"PX_TO_BOOK_RATIO",DataStart,DataEnd,"Per=M","Days=A","Fill=P")</f>
        <v/>
      </c>
      <c r="XG4" s="9">
        <f>BDH(XG$1,"PX_TO_BOOK_RATIO",DataStart,DataEnd,"Per=M","Days=A","Fill=P")</f>
        <v/>
      </c>
      <c r="XI4" s="9">
        <f>BDH(XI$1,"PX_TO_BOOK_RATIO",DataStart,DataEnd,"Per=M","Days=A","Fill=P")</f>
        <v/>
      </c>
      <c r="XK4" s="9">
        <f>BDH(XK$1,"PX_TO_BOOK_RATIO",DataStart,DataEnd,"Per=M","Days=A","Fill=P")</f>
        <v/>
      </c>
      <c r="XM4" s="9">
        <f>BDH(XM$1,"PX_TO_BOOK_RATIO",DataStart,DataEnd,"Per=M","Days=A","Fill=P")</f>
        <v/>
      </c>
      <c r="XO4" s="9">
        <f>BDH(XO$1,"PX_TO_BOOK_RATIO",DataStart,DataEnd,"Per=M","Days=A","Fill=P")</f>
        <v/>
      </c>
      <c r="XQ4" s="9">
        <f>BDH(XQ$1,"PX_TO_BOOK_RATIO",DataStart,DataEnd,"Per=M","Days=A","Fill=P")</f>
        <v/>
      </c>
      <c r="XS4" s="9">
        <f>BDH(XS$1,"PX_TO_BOOK_RATIO",DataStart,DataEnd,"Per=M","Days=A","Fill=P")</f>
        <v/>
      </c>
      <c r="XU4" s="9">
        <f>BDH(XU$1,"PX_TO_BOOK_RATIO",DataStart,DataEnd,"Per=M","Days=A","Fill=P")</f>
        <v/>
      </c>
      <c r="XW4" s="9">
        <f>BDH(XW$1,"PX_TO_BOOK_RATIO",DataStart,DataEnd,"Per=M","Days=A","Fill=P")</f>
        <v/>
      </c>
      <c r="XY4" s="9">
        <f>BDH(XY$1,"PX_TO_BOOK_RATIO",DataStart,DataEnd,"Per=M","Days=A","Fill=P")</f>
        <v/>
      </c>
      <c r="YA4" s="9">
        <f>BDH(YA$1,"PX_TO_BOOK_RATIO",DataStart,DataEnd,"Per=M","Days=A","Fill=P")</f>
        <v/>
      </c>
      <c r="YC4" s="9">
        <f>BDH(YC$1,"PX_TO_BOOK_RATIO",DataStart,DataEnd,"Per=M","Days=A","Fill=P")</f>
        <v/>
      </c>
      <c r="YE4" s="9">
        <f>BDH(YE$1,"PX_TO_BOOK_RATIO",DataStart,DataEnd,"Per=M","Days=A","Fill=P")</f>
        <v/>
      </c>
      <c r="YG4" s="9">
        <f>BDH(YG$1,"PX_TO_BOOK_RATIO",DataStart,DataEnd,"Per=M","Days=A","Fill=P")</f>
        <v/>
      </c>
      <c r="YI4" s="9">
        <f>BDH(YI$1,"PX_TO_BOOK_RATIO",DataStart,DataEnd,"Per=M","Days=A","Fill=P")</f>
        <v/>
      </c>
      <c r="YK4" s="9">
        <f>BDH(YK$1,"PX_TO_BOOK_RATIO",DataStart,DataEnd,"Per=M","Days=A","Fill=P")</f>
        <v/>
      </c>
      <c r="YM4" s="9">
        <f>BDH(YM$1,"PX_TO_BOOK_RATIO",DataStart,DataEnd,"Per=M","Days=A","Fill=P")</f>
        <v/>
      </c>
      <c r="YO4" s="9">
        <f>BDH(YO$1,"PX_TO_BOOK_RATIO",DataStart,DataEnd,"Per=M","Days=A","Fill=P")</f>
        <v/>
      </c>
      <c r="YQ4" s="9">
        <f>BDH(YQ$1,"PX_TO_BOOK_RATIO",DataStart,DataEnd,"Per=M","Days=A","Fill=P")</f>
        <v/>
      </c>
      <c r="YS4" s="9">
        <f>BDH(YS$1,"PX_TO_BOOK_RATIO",DataStart,DataEnd,"Per=M","Days=A","Fill=P")</f>
        <v/>
      </c>
      <c r="YU4" s="9">
        <f>BDH(YU$1,"PX_TO_BOOK_RATIO",DataStart,DataEnd,"Per=M","Days=A","Fill=P")</f>
        <v/>
      </c>
      <c r="YW4" s="9">
        <f>BDH(YW$1,"PX_TO_BOOK_RATIO",DataStart,DataEnd,"Per=M","Days=A","Fill=P")</f>
        <v/>
      </c>
      <c r="YY4" s="9">
        <f>BDH(YY$1,"PX_TO_BOOK_RATIO",DataStart,DataEnd,"Per=M","Days=A","Fill=P")</f>
        <v/>
      </c>
      <c r="ZA4" s="9">
        <f>BDH(ZA$1,"PX_TO_BOOK_RATIO",DataStart,DataEnd,"Per=M","Days=A","Fill=P")</f>
        <v/>
      </c>
      <c r="ZC4" s="9">
        <f>BDH(ZC$1,"PX_TO_BOOK_RATIO",DataStart,DataEnd,"Per=M","Days=A","Fill=P")</f>
        <v/>
      </c>
      <c r="ZE4" s="9">
        <f>BDH(ZE$1,"PX_TO_BOOK_RATIO",DataStart,DataEnd,"Per=M","Days=A","Fill=P")</f>
        <v/>
      </c>
      <c r="ZG4" s="9">
        <f>BDH(ZG$1,"PX_TO_BOOK_RATIO",DataStart,DataEnd,"Per=M","Days=A","Fill=P")</f>
        <v/>
      </c>
      <c r="ZI4" s="9">
        <f>BDH(ZI$1,"PX_TO_BOOK_RATIO",DataStart,DataEnd,"Per=M","Days=A","Fill=P")</f>
        <v/>
      </c>
      <c r="ZK4" s="9">
        <f>BDH(ZK$1,"PX_TO_BOOK_RATIO",DataStart,DataEnd,"Per=M","Days=A","Fill=P")</f>
        <v/>
      </c>
      <c r="ZM4" s="9">
        <f>BDH(ZM$1,"PX_TO_BOOK_RATIO",DataStart,DataEnd,"Per=M","Days=A","Fill=P")</f>
        <v/>
      </c>
      <c r="ZO4" s="9">
        <f>BDH(ZO$1,"PX_TO_BOOK_RATIO",DataStart,DataEnd,"Per=M","Days=A","Fill=P")</f>
        <v/>
      </c>
      <c r="ZQ4" s="9">
        <f>BDH(ZQ$1,"PX_TO_BOOK_RATIO",DataStart,DataEnd,"Per=M","Days=A","Fill=P")</f>
        <v/>
      </c>
      <c r="ZS4" s="9">
        <f>BDH(ZS$1,"PX_TO_BOOK_RATIO",DataStart,DataEnd,"Per=M","Days=A","Fill=P")</f>
        <v/>
      </c>
      <c r="ZU4" s="9">
        <f>BDH(ZU$1,"PX_TO_BOOK_RATIO",DataStart,DataEnd,"Per=M","Days=A","Fill=P")</f>
        <v/>
      </c>
      <c r="ZW4" s="9">
        <f>BDH(ZW$1,"PX_TO_BOOK_RATIO",DataStart,DataEnd,"Per=M","Days=A","Fill=P")</f>
        <v/>
      </c>
      <c r="ZY4" s="9">
        <f>BDH(ZY$1,"PX_TO_BOOK_RATIO",DataStart,DataEnd,"Per=M","Days=A","Fill=P")</f>
        <v/>
      </c>
      <c r="AAA4" s="9">
        <f>BDH(AAA$1,"PX_TO_BOOK_RATIO",DataStart,DataEnd,"Per=M","Days=A","Fill=P")</f>
        <v/>
      </c>
      <c r="AAC4" s="9">
        <f>BDH(AAC$1,"PX_TO_BOOK_RATIO",DataStart,DataEnd,"Per=M","Days=A","Fill=P")</f>
        <v/>
      </c>
      <c r="AAE4" s="9">
        <f>BDH(AAE$1,"PX_TO_BOOK_RATIO",DataStart,DataEnd,"Per=M","Days=A","Fill=P")</f>
        <v/>
      </c>
      <c r="AAG4" s="9">
        <f>BDH(AAG$1,"PX_TO_BOOK_RATIO",DataStart,DataEnd,"Per=M","Days=A","Fill=P")</f>
        <v/>
      </c>
      <c r="AAI4" s="9">
        <f>BDH(AAI$1,"PX_TO_BOOK_RATIO",DataStart,DataEnd,"Per=M","Days=A","Fill=P")</f>
        <v/>
      </c>
      <c r="AAK4" s="9">
        <f>BDH(AAK$1,"PX_TO_BOOK_RATIO",DataStart,DataEnd,"Per=M","Days=A","Fill=P")</f>
        <v/>
      </c>
      <c r="AAM4" s="9">
        <f>BDH(AAM$1,"PX_TO_BOOK_RATIO",DataStart,DataEnd,"Per=M","Days=A","Fill=P")</f>
        <v/>
      </c>
      <c r="AAO4" s="9">
        <f>BDH(AAO$1,"PX_TO_BOOK_RATIO",DataStart,DataEnd,"Per=M","Days=A","Fill=P")</f>
        <v/>
      </c>
      <c r="AAQ4" s="9">
        <f>BDH(AAQ$1,"PX_TO_BOOK_RATIO",DataStart,DataEnd,"Per=M","Days=A","Fill=P")</f>
        <v/>
      </c>
      <c r="AAS4" s="9">
        <f>BDH(AAS$1,"PX_TO_BOOK_RATIO",DataStart,DataEnd,"Per=M","Days=A","Fill=P")</f>
        <v/>
      </c>
      <c r="AAU4" s="9">
        <f>BDH(AAU$1,"PX_TO_BOOK_RATIO",DataStart,DataEnd,"Per=M","Days=A","Fill=P")</f>
        <v/>
      </c>
      <c r="AAW4" s="9">
        <f>BDH(AAW$1,"PX_TO_BOOK_RATIO",DataStart,DataEnd,"Per=M","Days=A","Fill=P")</f>
        <v/>
      </c>
      <c r="AAY4" s="9">
        <f>BDH(AAY$1,"PX_TO_BOOK_RATIO",DataStart,DataEnd,"Per=M","Days=A","Fill=P")</f>
        <v/>
      </c>
      <c r="ABA4" s="9">
        <f>BDH(ABA$1,"PX_TO_BOOK_RATIO",DataStart,DataEnd,"Per=M","Days=A","Fill=P")</f>
        <v/>
      </c>
      <c r="ABC4" s="9">
        <f>BDH(ABC$1,"PX_TO_BOOK_RATIO",DataStart,DataEnd,"Per=M","Days=A","Fill=P")</f>
        <v/>
      </c>
      <c r="ABE4" s="9">
        <f>BDH(ABE$1,"PX_TO_BOOK_RATIO",DataStart,DataEnd,"Per=M","Days=A","Fill=P")</f>
        <v/>
      </c>
      <c r="ABG4" s="9">
        <f>BDH(ABG$1,"PX_TO_BOOK_RATIO",DataStart,DataEnd,"Per=M","Days=A","Fill=P")</f>
        <v/>
      </c>
      <c r="ABI4" s="9">
        <f>BDH(ABI$1,"PX_TO_BOOK_RATIO",DataStart,DataEnd,"Per=M","Days=A","Fill=P")</f>
        <v/>
      </c>
      <c r="ABK4" s="9">
        <f>BDH(ABK$1,"PX_TO_BOOK_RATIO",DataStart,DataEnd,"Per=M","Days=A","Fill=P")</f>
        <v/>
      </c>
      <c r="ABM4" s="9">
        <f>BDH(ABM$1,"PX_TO_BOOK_RATIO",DataStart,DataEnd,"Per=M","Days=A","Fill=P")</f>
        <v/>
      </c>
      <c r="ABO4" s="9">
        <f>BDH(ABO$1,"PX_TO_BOOK_RATIO",DataStart,DataEnd,"Per=M","Days=A","Fill=P")</f>
        <v/>
      </c>
      <c r="ABQ4" s="9">
        <f>BDH(ABQ$1,"PX_TO_BOOK_RATIO",DataStart,DataEnd,"Per=M","Days=A","Fill=P")</f>
        <v/>
      </c>
      <c r="ABS4" s="9">
        <f>BDH(ABS$1,"PX_TO_BOOK_RATIO",DataStart,DataEnd,"Per=M","Days=A","Fill=P")</f>
        <v/>
      </c>
      <c r="ABU4" s="9">
        <f>BDH(ABU$1,"PX_TO_BOOK_RATIO",DataStart,DataEnd,"Per=M","Days=A","Fill=P")</f>
        <v/>
      </c>
      <c r="ABW4" s="9">
        <f>BDH(ABW$1,"PX_TO_BOOK_RATIO",DataStart,DataEnd,"Per=M","Days=A","Fill=P")</f>
        <v/>
      </c>
      <c r="ABY4" s="9">
        <f>BDH(ABY$1,"PX_TO_BOOK_RATIO",DataStart,DataEnd,"Per=M","Days=A","Fill=P")</f>
        <v/>
      </c>
      <c r="ACA4" s="9">
        <f>BDH(ACA$1,"PX_TO_BOOK_RATIO",DataStart,DataEnd,"Per=M","Days=A","Fill=P")</f>
        <v/>
      </c>
      <c r="ACC4" s="9">
        <f>BDH(ACC$1,"PX_TO_BOOK_RATIO",DataStart,DataEnd,"Per=M","Days=A","Fill=P")</f>
        <v/>
      </c>
      <c r="ACE4" s="9">
        <f>BDH(ACE$1,"PX_TO_BOOK_RATIO",DataStart,DataEnd,"Per=M","Days=A","Fill=P")</f>
        <v/>
      </c>
      <c r="ACG4" s="9">
        <f>BDH(ACG$1,"PX_TO_BOOK_RATIO",DataStart,DataEnd,"Per=M","Days=A","Fill=P")</f>
        <v/>
      </c>
      <c r="ACI4" s="9">
        <f>BDH(ACI$1,"PX_TO_BOOK_RATIO",DataStart,DataEnd,"Per=M","Days=A","Fill=P")</f>
        <v/>
      </c>
      <c r="ACK4" s="9">
        <f>BDH(ACK$1,"PX_TO_BOOK_RATIO",DataStart,DataEnd,"Per=M","Days=A","Fill=P")</f>
        <v/>
      </c>
      <c r="ACM4" s="9">
        <f>BDH(ACM$1,"PX_TO_BOOK_RATIO",DataStart,DataEnd,"Per=M","Days=A","Fill=P")</f>
        <v/>
      </c>
      <c r="ACO4" s="9">
        <f>BDH(ACO$1,"PX_TO_BOOK_RATIO",DataStart,DataEnd,"Per=M","Days=A","Fill=P")</f>
        <v/>
      </c>
      <c r="ACQ4" s="9">
        <f>BDH(ACQ$1,"PX_TO_BOOK_RATIO",DataStart,DataEnd,"Per=M","Days=A","Fill=P")</f>
        <v/>
      </c>
      <c r="ACS4" s="9">
        <f>BDH(ACS$1,"PX_TO_BOOK_RATIO",DataStart,DataEnd,"Per=M","Days=A","Fill=P")</f>
        <v/>
      </c>
      <c r="ACU4" s="9">
        <f>BDH(ACU$1,"PX_TO_BOOK_RATIO",DataStart,DataEnd,"Per=M","Days=A","Fill=P")</f>
        <v/>
      </c>
      <c r="ACW4" s="9">
        <f>BDH(ACW$1,"PX_TO_BOOK_RATIO",DataStart,DataEnd,"Per=M","Days=A","Fill=P")</f>
        <v/>
      </c>
      <c r="ACY4" s="9">
        <f>BDH(ACY$1,"PX_TO_BOOK_RATIO",DataStart,DataEnd,"Per=M","Days=A","Fill=P")</f>
        <v/>
      </c>
      <c r="ADA4" s="9">
        <f>BDH(ADA$1,"PX_TO_BOOK_RATIO",DataStart,DataEnd,"Per=M","Days=A","Fill=P")</f>
        <v/>
      </c>
      <c r="ADC4" s="9">
        <f>BDH(ADC$1,"PX_TO_BOOK_RATIO",DataStart,DataEnd,"Per=M","Days=A","Fill=P")</f>
        <v/>
      </c>
      <c r="ADE4" s="9">
        <f>BDH(ADE$1,"PX_TO_BOOK_RATIO",DataStart,DataEnd,"Per=M","Days=A","Fill=P")</f>
        <v/>
      </c>
      <c r="ADG4" s="9">
        <f>BDH(ADG$1,"PX_TO_BOOK_RATIO",DataStart,DataEnd,"Per=M","Days=A","Fill=P")</f>
        <v/>
      </c>
      <c r="ADI4" s="9">
        <f>BDH(ADI$1,"PX_TO_BOOK_RATIO",DataStart,DataEnd,"Per=M","Days=A","Fill=P")</f>
        <v/>
      </c>
      <c r="ADK4" s="9">
        <f>BDH(ADK$1,"PX_TO_BOOK_RATIO",DataStart,DataEnd,"Per=M","Days=A","Fill=P")</f>
        <v/>
      </c>
      <c r="ADM4" s="9">
        <f>BDH(ADM$1,"PX_TO_BOOK_RATIO",DataStart,DataEnd,"Per=M","Days=A","Fill=P")</f>
        <v/>
      </c>
      <c r="ADO4" s="9">
        <f>BDH(ADO$1,"PX_TO_BOOK_RATIO",DataStart,DataEnd,"Per=M","Days=A","Fill=P")</f>
        <v/>
      </c>
      <c r="ADQ4" s="9">
        <f>BDH(ADQ$1,"PX_TO_BOOK_RATIO",DataStart,DataEnd,"Per=M","Days=A","Fill=P")</f>
        <v/>
      </c>
      <c r="ADS4" s="9">
        <f>BDH(ADS$1,"PX_TO_BOOK_RATIO",DataStart,DataEnd,"Per=M","Days=A","Fill=P")</f>
        <v/>
      </c>
      <c r="ADU4" s="9">
        <f>BDH(ADU$1,"PX_TO_BOOK_RATIO",DataStart,DataEnd,"Per=M","Days=A","Fill=P")</f>
        <v/>
      </c>
      <c r="ADW4" s="9">
        <f>BDH(ADW$1,"PX_TO_BOOK_RATIO",DataStart,DataEnd,"Per=M","Days=A","Fill=P")</f>
        <v/>
      </c>
      <c r="ADY4" s="9">
        <f>BDH(ADY$1,"PX_TO_BOOK_RATIO",DataStart,DataEnd,"Per=M","Days=A","Fill=P")</f>
        <v/>
      </c>
      <c r="AEA4" s="9">
        <f>BDH(AEA$1,"PX_TO_BOOK_RATIO",DataStart,DataEnd,"Per=M","Days=A","Fill=P")</f>
        <v/>
      </c>
      <c r="AEC4" s="9">
        <f>BDH(AEC$1,"PX_TO_BOOK_RATIO",DataStart,DataEnd,"Per=M","Days=A","Fill=P")</f>
        <v/>
      </c>
      <c r="AEE4" s="9">
        <f>BDH(AEE$1,"PX_TO_BOOK_RATIO",DataStart,DataEnd,"Per=M","Days=A","Fill=P")</f>
        <v/>
      </c>
      <c r="AEG4" s="9">
        <f>BDH(AEG$1,"PX_TO_BOOK_RATIO",DataStart,DataEnd,"Per=M","Days=A","Fill=P")</f>
        <v/>
      </c>
      <c r="AEI4" s="9">
        <f>BDH(AEI$1,"PX_TO_BOOK_RATIO",DataStart,DataEnd,"Per=M","Days=A","Fill=P")</f>
        <v/>
      </c>
      <c r="AEK4" s="9">
        <f>BDH(AEK$1,"PX_TO_BOOK_RATIO",DataStart,DataEnd,"Per=M","Days=A","Fill=P")</f>
        <v/>
      </c>
      <c r="AEM4" s="9">
        <f>BDH(AEM$1,"PX_TO_BOOK_RATIO",DataStart,DataEnd,"Per=M","Days=A","Fill=P")</f>
        <v/>
      </c>
      <c r="AEO4" s="9">
        <f>BDH(AEO$1,"PX_TO_BOOK_RATIO",DataStart,DataEnd,"Per=M","Days=A","Fill=P")</f>
        <v/>
      </c>
      <c r="AEQ4" s="9">
        <f>BDH(AEQ$1,"PX_TO_BOOK_RATIO",DataStart,DataEnd,"Per=M","Days=A","Fill=P")</f>
        <v/>
      </c>
      <c r="AES4" s="9">
        <f>BDH(AES$1,"PX_TO_BOOK_RATIO",DataStart,DataEnd,"Per=M","Days=A","Fill=P")</f>
        <v/>
      </c>
      <c r="AEU4" s="9">
        <f>BDH(AEU$1,"PX_TO_BOOK_RATIO",DataStart,DataEnd,"Per=M","Days=A","Fill=P")</f>
        <v/>
      </c>
      <c r="AEW4" s="9">
        <f>BDH(AEW$1,"PX_TO_BOOK_RATIO",DataStart,DataEnd,"Per=M","Days=A","Fill=P")</f>
        <v/>
      </c>
      <c r="AEY4" s="9">
        <f>BDH(AEY$1,"PX_TO_BOOK_RATIO",DataStart,DataEnd,"Per=M","Days=A","Fill=P")</f>
        <v/>
      </c>
      <c r="AFA4" s="9">
        <f>BDH(AFA$1,"PX_TO_BOOK_RATIO",DataStart,DataEnd,"Per=M","Days=A","Fill=P")</f>
        <v/>
      </c>
      <c r="AFC4" s="9">
        <f>BDH(AFC$1,"PX_TO_BOOK_RATIO",DataStart,DataEnd,"Per=M","Days=A","Fill=P")</f>
        <v/>
      </c>
      <c r="AFE4" s="9">
        <f>BDH(AFE$1,"PX_TO_BOOK_RATIO",DataStart,DataEnd,"Per=M","Days=A","Fill=P")</f>
        <v/>
      </c>
      <c r="AFG4" s="9">
        <f>BDH(AFG$1,"PX_TO_BOOK_RATIO",DataStart,DataEnd,"Per=M","Days=A","Fill=P")</f>
        <v/>
      </c>
      <c r="AFI4" s="9">
        <f>BDH(AFI$1,"PX_TO_BOOK_RATIO",DataStart,DataEnd,"Per=M","Days=A","Fill=P")</f>
        <v/>
      </c>
      <c r="AFK4" s="9">
        <f>BDH(AFK$1,"PX_TO_BOOK_RATIO",DataStart,DataEnd,"Per=M","Days=A","Fill=P")</f>
        <v/>
      </c>
      <c r="AFM4" s="9">
        <f>BDH(AFM$1,"PX_TO_BOOK_RATIO",DataStart,DataEnd,"Per=M","Days=A","Fill=P")</f>
        <v/>
      </c>
      <c r="AFO4" s="9">
        <f>BDH(AFO$1,"PX_TO_BOOK_RATIO",DataStart,DataEnd,"Per=M","Days=A","Fill=P")</f>
        <v/>
      </c>
      <c r="AFQ4" s="9">
        <f>BDH(AFQ$1,"PX_TO_BOOK_RATIO",DataStart,DataEnd,"Per=M","Days=A","Fill=P")</f>
        <v/>
      </c>
      <c r="AFS4" s="9">
        <f>BDH(AFS$1,"PX_TO_BOOK_RATIO",DataStart,DataEnd,"Per=M","Days=A","Fill=P")</f>
        <v/>
      </c>
      <c r="AFU4" s="9">
        <f>BDH(AFU$1,"PX_TO_BOOK_RATIO",DataStart,DataEnd,"Per=M","Days=A","Fill=P")</f>
        <v/>
      </c>
      <c r="AFW4" s="9">
        <f>BDH(AFW$1,"PX_TO_BOOK_RATIO",DataStart,DataEnd,"Per=M","Days=A","Fill=P")</f>
        <v/>
      </c>
      <c r="AFY4" s="9">
        <f>BDH(AFY$1,"PX_TO_BOOK_RATIO",DataStart,DataEnd,"Per=M","Days=A","Fill=P")</f>
        <v/>
      </c>
      <c r="AGA4" s="9">
        <f>BDH(AGA$1,"PX_TO_BOOK_RATIO",DataStart,DataEnd,"Per=M","Days=A","Fill=P")</f>
        <v/>
      </c>
      <c r="AGC4" s="9">
        <f>BDH(AGC$1,"PX_TO_BOOK_RATIO",DataStart,DataEnd,"Per=M","Days=A","Fill=P")</f>
        <v/>
      </c>
      <c r="AGE4" s="9">
        <f>BDH(AGE$1,"PX_TO_BOOK_RATIO",DataStart,DataEnd,"Per=M","Days=A","Fill=P")</f>
        <v/>
      </c>
      <c r="AGG4" s="9">
        <f>BDH(AGG$1,"PX_TO_BOOK_RATIO",DataStart,DataEnd,"Per=M","Days=A","Fill=P")</f>
        <v/>
      </c>
      <c r="AGI4" s="9">
        <f>BDH(AGI$1,"PX_TO_BOOK_RATIO",DataStart,DataEnd,"Per=M","Days=A","Fill=P")</f>
        <v/>
      </c>
      <c r="AGK4" s="9">
        <f>BDH(AGK$1,"PX_TO_BOOK_RATIO",DataStart,DataEnd,"Per=M","Days=A","Fill=P")</f>
        <v/>
      </c>
      <c r="AGM4" s="9">
        <f>BDH(AGM$1,"PX_TO_BOOK_RATIO",DataStart,DataEnd,"Per=M","Days=A","Fill=P")</f>
        <v/>
      </c>
      <c r="AGO4" s="9">
        <f>BDH(AGO$1,"PX_TO_BOOK_RATIO",DataStart,DataEnd,"Per=M","Days=A","Fill=P")</f>
        <v/>
      </c>
      <c r="AGQ4" s="9">
        <f>BDH(AGQ$1,"PX_TO_BOOK_RATIO",DataStart,DataEnd,"Per=M","Days=A","Fill=P")</f>
        <v/>
      </c>
      <c r="AGS4" s="9">
        <f>BDH(AGS$1,"PX_TO_BOOK_RATIO",DataStart,DataEnd,"Per=M","Days=A","Fill=P")</f>
        <v/>
      </c>
      <c r="AGU4" s="9">
        <f>BDH(AGU$1,"PX_TO_BOOK_RATIO",DataStart,DataEnd,"Per=M","Days=A","Fill=P")</f>
        <v/>
      </c>
      <c r="AGW4" s="9">
        <f>BDH(AGW$1,"PX_TO_BOOK_RATIO",DataStart,DataEnd,"Per=M","Days=A","Fill=P")</f>
        <v/>
      </c>
      <c r="AGY4" s="9">
        <f>BDH(AGY$1,"PX_TO_BOOK_RATIO",DataStart,DataEnd,"Per=M","Days=A","Fill=P")</f>
        <v/>
      </c>
      <c r="AHA4" s="9">
        <f>BDH(AHA$1,"PX_TO_BOOK_RATIO",DataStart,DataEnd,"Per=M","Days=A","Fill=P")</f>
        <v/>
      </c>
      <c r="AHC4" s="9">
        <f>BDH(AHC$1,"PX_TO_BOOK_RATIO",DataStart,DataEnd,"Per=M","Days=A","Fill=P")</f>
        <v/>
      </c>
      <c r="AHE4" s="9">
        <f>BDH(AHE$1,"PX_TO_BOOK_RATIO",DataStart,DataEnd,"Per=M","Days=A","Fill=P")</f>
        <v/>
      </c>
      <c r="AHG4" s="9">
        <f>BDH(AHG$1,"PX_TO_BOOK_RATIO",DataStart,DataEnd,"Per=M","Days=A","Fill=P")</f>
        <v/>
      </c>
      <c r="AHI4" s="9">
        <f>BDH(AHI$1,"PX_TO_BOOK_RATIO",DataStart,DataEnd,"Per=M","Days=A","Fill=P")</f>
        <v/>
      </c>
      <c r="AHK4" s="9">
        <f>BDH(AHK$1,"PX_TO_BOOK_RATIO",DataStart,DataEnd,"Per=M","Days=A","Fill=P")</f>
        <v/>
      </c>
      <c r="AHM4" s="9">
        <f>BDH(AHM$1,"PX_TO_BOOK_RATIO",DataStart,DataEnd,"Per=M","Days=A","Fill=P")</f>
        <v/>
      </c>
      <c r="AHO4" s="9">
        <f>BDH(AHO$1,"PX_TO_BOOK_RATIO",DataStart,DataEnd,"Per=M","Days=A","Fill=P")</f>
        <v/>
      </c>
      <c r="AHQ4" s="9">
        <f>BDH(AHQ$1,"PX_TO_BOOK_RATIO",DataStart,DataEnd,"Per=M","Days=A","Fill=P")</f>
        <v/>
      </c>
      <c r="AHS4" s="9">
        <f>BDH(AHS$1,"PX_TO_BOOK_RATIO",DataStart,DataEnd,"Per=M","Days=A","Fill=P")</f>
        <v/>
      </c>
      <c r="AHU4" s="9">
        <f>BDH(AHU$1,"PX_TO_BOOK_RATIO",DataStart,DataEnd,"Per=M","Days=A","Fill=P")</f>
        <v/>
      </c>
      <c r="AHW4" s="9">
        <f>BDH(AHW$1,"PX_TO_BOOK_RATIO",DataStart,DataEnd,"Per=M","Days=A","Fill=P")</f>
        <v/>
      </c>
      <c r="AHY4" s="9">
        <f>BDH(AHY$1,"PX_TO_BOOK_RATIO",DataStart,DataEnd,"Per=M","Days=A","Fill=P")</f>
        <v/>
      </c>
      <c r="AIA4" s="9">
        <f>BDH(AIA$1,"PX_TO_BOOK_RATIO",DataStart,DataEnd,"Per=M","Days=A","Fill=P")</f>
        <v/>
      </c>
      <c r="AIC4" s="9">
        <f>BDH(AIC$1,"PX_TO_BOOK_RATIO",DataStart,DataEnd,"Per=M","Days=A","Fill=P")</f>
        <v/>
      </c>
      <c r="AIE4" s="9">
        <f>BDH(AIE$1,"PX_TO_BOOK_RATIO",DataStart,DataEnd,"Per=M","Days=A","Fill=P")</f>
        <v/>
      </c>
      <c r="AIG4" s="9">
        <f>BDH(AIG$1,"PX_TO_BOOK_RATIO",DataStart,DataEnd,"Per=M","Days=A","Fill=P")</f>
        <v/>
      </c>
      <c r="AII4" s="9">
        <f>BDH(AII$1,"PX_TO_BOOK_RATIO",DataStart,DataEnd,"Per=M","Days=A","Fill=P")</f>
        <v/>
      </c>
      <c r="AIK4" s="9">
        <f>BDH(AIK$1,"PX_TO_BOOK_RATIO",DataStart,DataEnd,"Per=M","Days=A","Fill=P")</f>
        <v/>
      </c>
      <c r="AIM4" s="9">
        <f>BDH(AIM$1,"PX_TO_BOOK_RATIO",DataStart,DataEnd,"Per=M","Days=A","Fill=P")</f>
        <v/>
      </c>
      <c r="AIO4" s="9">
        <f>BDH(AIO$1,"PX_TO_BOOK_RATIO",DataStart,DataEnd,"Per=M","Days=A","Fill=P")</f>
        <v/>
      </c>
      <c r="AIQ4" s="9">
        <f>BDH(AIQ$1,"PX_TO_BOOK_RATIO",DataStart,DataEnd,"Per=M","Days=A","Fill=P")</f>
        <v/>
      </c>
      <c r="AIS4" s="9">
        <f>BDH(AIS$1,"PX_TO_BOOK_RATIO",DataStart,DataEnd,"Per=M","Days=A","Fill=P")</f>
        <v/>
      </c>
      <c r="AIU4" s="9">
        <f>BDH(AIU$1,"PX_TO_BOOK_RATIO",DataStart,DataEnd,"Per=M","Days=A","Fill=P")</f>
        <v/>
      </c>
      <c r="AIW4" s="9">
        <f>BDH(AIW$1,"PX_TO_BOOK_RATIO",DataStart,DataEnd,"Per=M","Days=A","Fill=P")</f>
        <v/>
      </c>
      <c r="AIY4" s="9">
        <f>BDH(AIY$1,"PX_TO_BOOK_RATIO",DataStart,DataEnd,"Per=M","Days=A","Fill=P")</f>
        <v/>
      </c>
      <c r="AJA4" s="9">
        <f>BDH(AJA$1,"PX_TO_BOOK_RATIO",DataStart,DataEnd,"Per=M","Days=A","Fill=P")</f>
        <v/>
      </c>
      <c r="AJC4" s="9">
        <f>BDH(AJC$1,"PX_TO_BOOK_RATIO",DataStart,DataEnd,"Per=M","Days=A","Fill=P")</f>
        <v/>
      </c>
      <c r="AJE4" s="9">
        <f>BDH(AJE$1,"PX_TO_BOOK_RATIO",DataStart,DataEnd,"Per=M","Days=A","Fill=P")</f>
        <v/>
      </c>
      <c r="AJG4" s="9">
        <f>BDH(AJG$1,"PX_TO_BOOK_RATIO",DataStart,DataEnd,"Per=M","Days=A","Fill=P")</f>
        <v/>
      </c>
      <c r="AJI4" s="9">
        <f>BDH(AJI$1,"PX_TO_BOOK_RATIO",DataStart,DataEnd,"Per=M","Days=A","Fill=P")</f>
        <v/>
      </c>
      <c r="AJK4" s="9">
        <f>BDH(AJK$1,"PX_TO_BOOK_RATIO",DataStart,DataEnd,"Per=M","Days=A","Fill=P")</f>
        <v/>
      </c>
      <c r="AJM4" s="9">
        <f>BDH(AJM$1,"PX_TO_BOOK_RATIO",DataStart,DataEnd,"Per=M","Days=A","Fill=P")</f>
        <v/>
      </c>
      <c r="AJO4" s="9">
        <f>BDH(AJO$1,"PX_TO_BOOK_RATIO",DataStart,DataEnd,"Per=M","Days=A","Fill=P")</f>
        <v/>
      </c>
      <c r="AJQ4" s="9">
        <f>BDH(AJQ$1,"PX_TO_BOOK_RATIO",DataStart,DataEnd,"Per=M","Days=A","Fill=P")</f>
        <v/>
      </c>
      <c r="AJS4" s="9">
        <f>BDH(AJS$1,"PX_TO_BOOK_RATIO",DataStart,DataEnd,"Per=M","Days=A","Fill=P")</f>
        <v/>
      </c>
      <c r="AJU4" s="9">
        <f>BDH(AJU$1,"PX_TO_BOOK_RATIO",DataStart,DataEnd,"Per=M","Days=A","Fill=P")</f>
        <v/>
      </c>
      <c r="AJW4" s="9">
        <f>BDH(AJW$1,"PX_TO_BOOK_RATIO",DataStart,DataEnd,"Per=M","Days=A","Fill=P")</f>
        <v/>
      </c>
      <c r="AJY4" s="9">
        <f>BDH(AJY$1,"PX_TO_BOOK_RATIO",DataStart,DataEnd,"Per=M","Days=A","Fill=P")</f>
        <v/>
      </c>
      <c r="AKA4" s="9">
        <f>BDH(AKA$1,"PX_TO_BOOK_RATIO",DataStart,DataEnd,"Per=M","Days=A","Fill=P")</f>
        <v/>
      </c>
      <c r="AKC4" s="9">
        <f>BDH(AKC$1,"PX_TO_BOOK_RATIO",DataStart,DataEnd,"Per=M","Days=A","Fill=P")</f>
        <v/>
      </c>
      <c r="AKE4" s="9">
        <f>BDH(AKE$1,"PX_TO_BOOK_RATIO",DataStart,DataEnd,"Per=M","Days=A","Fill=P")</f>
        <v/>
      </c>
      <c r="AKG4" s="9">
        <f>BDH(AKG$1,"PX_TO_BOOK_RATIO",DataStart,DataEnd,"Per=M","Days=A","Fill=P")</f>
        <v/>
      </c>
      <c r="AKI4" s="9">
        <f>BDH(AKI$1,"PX_TO_BOOK_RATIO",DataStart,DataEnd,"Per=M","Days=A","Fill=P")</f>
        <v/>
      </c>
      <c r="AKK4" s="9">
        <f>BDH(AKK$1,"PX_TO_BOOK_RATIO",DataStart,DataEnd,"Per=M","Days=A","Fill=P")</f>
        <v/>
      </c>
      <c r="AKM4" s="9">
        <f>BDH(AKM$1,"PX_TO_BOOK_RATIO",DataStart,DataEnd,"Per=M","Days=A","Fill=P")</f>
        <v/>
      </c>
      <c r="AKO4" s="9">
        <f>BDH(AKO$1,"PX_TO_BOOK_RATIO",DataStart,DataEnd,"Per=M","Days=A","Fill=P")</f>
        <v/>
      </c>
      <c r="AKQ4" s="9">
        <f>BDH(AKQ$1,"PX_TO_BOOK_RATIO",DataStart,DataEnd,"Per=M","Days=A","Fill=P")</f>
        <v/>
      </c>
      <c r="AKS4" s="9">
        <f>BDH(AKS$1,"PX_TO_BOOK_RATIO",DataStart,DataEnd,"Per=M","Days=A","Fill=P")</f>
        <v/>
      </c>
      <c r="AKU4" s="9">
        <f>BDH(AKU$1,"PX_TO_BOOK_RATIO",DataStart,DataEnd,"Per=M","Days=A","Fill=P")</f>
        <v/>
      </c>
      <c r="AKW4" s="9">
        <f>BDH(AKW$1,"PX_TO_BOOK_RATIO",DataStart,DataEnd,"Per=M","Days=A","Fill=P")</f>
        <v/>
      </c>
      <c r="AKY4" s="9">
        <f>BDH(AKY$1,"PX_TO_BOOK_RATIO",DataStart,DataEnd,"Per=M","Days=A","Fill=P")</f>
        <v/>
      </c>
      <c r="ALA4" s="9">
        <f>BDH(ALA$1,"PX_TO_BOOK_RATIO",DataStart,DataEnd,"Per=M","Days=A","Fill=P")</f>
        <v/>
      </c>
      <c r="ALC4" s="9">
        <f>BDH(ALC$1,"PX_TO_BOOK_RATIO",DataStart,DataEnd,"Per=M","Days=A","Fill=P")</f>
        <v/>
      </c>
      <c r="ALE4" s="9">
        <f>BDH(ALE$1,"PX_TO_BOOK_RATIO",DataStart,DataEnd,"Per=M","Days=A","Fill=P")</f>
        <v/>
      </c>
      <c r="ALG4" s="9">
        <f>BDH(ALG$1,"PX_TO_BOOK_RATIO",DataStart,DataEnd,"Per=M","Days=A","Fill=P")</f>
        <v/>
      </c>
      <c r="ALI4" s="9">
        <f>BDH(ALI$1,"PX_TO_BOOK_RATIO",DataStart,DataEnd,"Per=M","Days=A","Fill=P")</f>
        <v/>
      </c>
      <c r="ALK4" s="9">
        <f>BDH(ALK$1,"PX_TO_BOOK_RATIO",DataStart,DataEnd,"Per=M","Days=A","Fill=P")</f>
        <v/>
      </c>
      <c r="ALM4" s="9">
        <f>BDH(ALM$1,"PX_TO_BOOK_RATIO",DataStart,DataEnd,"Per=M","Days=A","Fill=P")</f>
        <v/>
      </c>
      <c r="ALO4" s="9">
        <f>BDH(ALO$1,"PX_TO_BOOK_RATIO",DataStart,DataEnd,"Per=M","Days=A","Fill=P")</f>
        <v/>
      </c>
      <c r="ALQ4" s="9">
        <f>BDH(ALQ$1,"PX_TO_BOOK_RATIO",DataStart,DataEnd,"Per=M","Days=A","Fill=P")</f>
        <v/>
      </c>
      <c r="ALS4" s="9">
        <f>BDH(ALS$1,"PX_TO_BOOK_RATIO",DataStart,DataEnd,"Per=M","Days=A","Fill=P")</f>
        <v/>
      </c>
      <c r="ALU4" s="9">
        <f>BDH(ALU$1,"PX_TO_BOOK_RATIO",DataStart,DataEnd,"Per=M","Days=A","Fill=P")</f>
        <v/>
      </c>
      <c r="ALW4" s="9">
        <f>BDH(ALW$1,"PX_TO_BOOK_RATIO",DataStart,DataEnd,"Per=M","Days=A","Fill=P")</f>
        <v/>
      </c>
      <c r="ALY4" s="9">
        <f>BDH(ALY$1,"PX_TO_BOOK_RATIO",DataStart,DataEnd,"Per=M","Days=A","Fill=P")</f>
        <v/>
      </c>
      <c r="AMA4" s="9">
        <f>BDH(AMA$1,"PX_TO_BOOK_RATIO",DataStart,DataEnd,"Per=M","Days=A","Fill=P")</f>
        <v/>
      </c>
      <c r="AMC4" s="9">
        <f>BDH(AMC$1,"PX_TO_BOOK_RATIO",DataStart,DataEnd,"Per=M","Days=A","Fill=P")</f>
        <v/>
      </c>
      <c r="AME4" s="9">
        <f>BDH(AME$1,"PX_TO_BOOK_RATIO",DataStart,DataEnd,"Per=M","Days=A","Fill=P")</f>
        <v/>
      </c>
      <c r="AMG4" s="9">
        <f>BDH(AMG$1,"PX_TO_BOOK_RATIO",DataStart,DataEnd,"Per=M","Days=A","Fill=P")</f>
        <v/>
      </c>
      <c r="AMI4" s="9">
        <f>BDH(AMI$1,"PX_TO_BOOK_RATIO",DataStart,DataEnd,"Per=M","Days=A","Fill=P")</f>
        <v/>
      </c>
      <c r="AMK4" s="9">
        <f>BDH(AMK$1,"PX_TO_BOOK_RATIO",DataStart,DataEnd,"Per=M","Days=A","Fill=P")</f>
        <v/>
      </c>
      <c r="AMM4" s="9">
        <f>BDH(AMM$1,"PX_TO_BOOK_RATIO",DataStart,DataEnd,"Per=M","Days=A","Fill=P")</f>
        <v/>
      </c>
      <c r="AMO4" s="9">
        <f>BDH(AMO$1,"PX_TO_BOOK_RATIO",DataStart,DataEnd,"Per=M","Days=A","Fill=P")</f>
        <v/>
      </c>
      <c r="AMQ4" s="9">
        <f>BDH(AMQ$1,"PX_TO_BOOK_RATIO",DataStart,DataEnd,"Per=M","Days=A","Fill=P")</f>
        <v/>
      </c>
      <c r="AMS4" s="9">
        <f>BDH(AMS$1,"PX_TO_BOOK_RATIO",DataStart,DataEnd,"Per=M","Days=A","Fill=P")</f>
        <v/>
      </c>
      <c r="AMU4" s="9">
        <f>BDH(AMU$1,"PX_TO_BOOK_RATIO",DataStart,DataEnd,"Per=M","Days=A","Fill=P")</f>
        <v/>
      </c>
      <c r="AMW4" s="9">
        <f>BDH(AMW$1,"PX_TO_BOOK_RATIO",DataStart,DataEnd,"Per=M","Days=A","Fill=P")</f>
        <v/>
      </c>
      <c r="AMY4" s="9">
        <f>BDH(AMY$1,"PX_TO_BOOK_RATIO",DataStart,DataEnd,"Per=M","Days=A","Fill=P")</f>
        <v/>
      </c>
      <c r="ANA4" s="9">
        <f>BDH(ANA$1,"PX_TO_BOOK_RATIO",DataStart,DataEnd,"Per=M","Days=A","Fill=P")</f>
        <v/>
      </c>
      <c r="ANC4" s="9">
        <f>BDH(ANC$1,"PX_TO_BOOK_RATIO",DataStart,DataEnd,"Per=M","Days=A","Fill=P")</f>
        <v/>
      </c>
      <c r="ANE4" s="9">
        <f>BDH(ANE$1,"PX_TO_BOOK_RATIO",DataStart,DataEnd,"Per=M","Days=A","Fill=P")</f>
        <v/>
      </c>
      <c r="ANG4" s="9">
        <f>BDH(ANG$1,"PX_TO_BOOK_RATIO",DataStart,DataEnd,"Per=M","Days=A","Fill=P")</f>
        <v/>
      </c>
      <c r="ANI4" s="9">
        <f>BDH(ANI$1,"PX_TO_BOOK_RATIO",DataStart,DataEnd,"Per=M","Days=A","Fill=P")</f>
        <v/>
      </c>
      <c r="ANK4" s="9">
        <f>BDH(ANK$1,"PX_TO_BOOK_RATIO",DataStart,DataEnd,"Per=M","Days=A","Fill=P")</f>
        <v/>
      </c>
      <c r="ANM4" s="9">
        <f>BDH(ANM$1,"PX_TO_BOOK_RATIO",DataStart,DataEnd,"Per=M","Days=A","Fill=P")</f>
        <v/>
      </c>
      <c r="ANO4" s="9">
        <f>BDH(ANO$1,"PX_TO_BOOK_RATIO",DataStart,DataEnd,"Per=M","Days=A","Fill=P")</f>
        <v/>
      </c>
      <c r="ANQ4" s="9">
        <f>BDH(ANQ$1,"PX_TO_BOOK_RATIO",DataStart,DataEnd,"Per=M","Days=A","Fill=P")</f>
        <v/>
      </c>
      <c r="ANS4" s="9">
        <f>BDH(ANS$1,"PX_TO_BOOK_RATIO",DataStart,DataEnd,"Per=M","Days=A","Fill=P")</f>
        <v/>
      </c>
      <c r="ANU4" s="9">
        <f>BDH(ANU$1,"PX_TO_BOOK_RATIO",DataStart,DataEnd,"Per=M","Days=A","Fill=P")</f>
        <v/>
      </c>
      <c r="ANW4" s="9">
        <f>BDH(ANW$1,"PX_TO_BOOK_RATIO",DataStart,DataEnd,"Per=M","Days=A","Fill=P")</f>
        <v/>
      </c>
      <c r="ANY4" s="9">
        <f>BDH(ANY$1,"PX_TO_BOOK_RATIO",DataStart,DataEnd,"Per=M","Days=A","Fill=P")</f>
        <v/>
      </c>
      <c r="AOA4" s="9">
        <f>BDH(AOA$1,"PX_TO_BOOK_RATIO",DataStart,DataEnd,"Per=M","Days=A","Fill=P")</f>
        <v/>
      </c>
      <c r="AOC4" s="9">
        <f>BDH(AOC$1,"PX_TO_BOOK_RATIO",DataStart,DataEnd,"Per=M","Days=A","Fill=P")</f>
        <v/>
      </c>
      <c r="AOE4" s="9">
        <f>BDH(AOE$1,"PX_TO_BOOK_RATIO",DataStart,DataEnd,"Per=M","Days=A","Fill=P")</f>
        <v/>
      </c>
      <c r="AOG4" s="9">
        <f>BDH(AOG$1,"PX_TO_BOOK_RATIO",DataStart,DataEnd,"Per=M","Days=A","Fill=P")</f>
        <v/>
      </c>
      <c r="AOI4" s="9">
        <f>BDH(AOI$1,"PX_TO_BOOK_RATIO",DataStart,DataEnd,"Per=M","Days=A","Fill=P")</f>
        <v/>
      </c>
      <c r="AOK4" s="9">
        <f>BDH(AOK$1,"PX_TO_BOOK_RATIO",DataStart,DataEnd,"Per=M","Days=A","Fill=P")</f>
        <v/>
      </c>
      <c r="AOM4" s="9">
        <f>BDH(AOM$1,"PX_TO_BOOK_RATIO",DataStart,DataEnd,"Per=M","Days=A","Fill=P")</f>
        <v/>
      </c>
      <c r="AOO4" s="9">
        <f>BDH(AOO$1,"PX_TO_BOOK_RATIO",DataStart,DataEnd,"Per=M","Days=A","Fill=P")</f>
        <v/>
      </c>
      <c r="AOQ4" s="9">
        <f>BDH(AOQ$1,"PX_TO_BOOK_RATIO",DataStart,DataEnd,"Per=M","Days=A","Fill=P")</f>
        <v/>
      </c>
      <c r="AOS4" s="9">
        <f>BDH(AOS$1,"PX_TO_BOOK_RATIO",DataStart,DataEnd,"Per=M","Days=A","Fill=P")</f>
        <v/>
      </c>
      <c r="AOU4" s="9">
        <f>BDH(AOU$1,"PX_TO_BOOK_RATIO",DataStart,DataEnd,"Per=M","Days=A","Fill=P")</f>
        <v/>
      </c>
      <c r="AOW4" s="9">
        <f>BDH(AOW$1,"PX_TO_BOOK_RATIO",DataStart,DataEnd,"Per=M","Days=A","Fill=P")</f>
        <v/>
      </c>
      <c r="AOY4" s="9">
        <f>BDH(AOY$1,"PX_TO_BOOK_RATIO",DataStart,DataEnd,"Per=M","Days=A","Fill=P")</f>
        <v/>
      </c>
      <c r="APA4" s="9">
        <f>BDH(APA$1,"PX_TO_BOOK_RATIO",DataStart,DataEnd,"Per=M","Days=A","Fill=P")</f>
        <v/>
      </c>
      <c r="APC4" s="9">
        <f>BDH(APC$1,"PX_TO_BOOK_RATIO",DataStart,DataEnd,"Per=M","Days=A","Fill=P")</f>
        <v/>
      </c>
      <c r="APE4" s="9">
        <f>BDH(APE$1,"PX_TO_BOOK_RATIO",DataStart,DataEnd,"Per=M","Days=A","Fill=P")</f>
        <v/>
      </c>
      <c r="APG4" s="9">
        <f>BDH(APG$1,"PX_TO_BOOK_RATIO",DataStart,DataEnd,"Per=M","Days=A","Fill=P")</f>
        <v/>
      </c>
      <c r="API4" s="9">
        <f>BDH(API$1,"PX_TO_BOOK_RATIO",DataStart,DataEnd,"Per=M","Days=A","Fill=P")</f>
        <v/>
      </c>
      <c r="APK4" s="9">
        <f>BDH(APK$1,"PX_TO_BOOK_RATIO",DataStart,DataEnd,"Per=M","Days=A","Fill=P")</f>
        <v/>
      </c>
      <c r="APM4" s="9">
        <f>BDH(APM$1,"PX_TO_BOOK_RATIO",DataStart,DataEnd,"Per=M","Days=A","Fill=P")</f>
        <v/>
      </c>
      <c r="APO4" s="9">
        <f>BDH(APO$1,"PX_TO_BOOK_RATIO",DataStart,DataEnd,"Per=M","Days=A","Fill=P")</f>
        <v/>
      </c>
      <c r="APQ4" s="9">
        <f>BDH(APQ$1,"PX_TO_BOOK_RATIO",DataStart,DataEnd,"Per=M","Days=A","Fill=P")</f>
        <v/>
      </c>
      <c r="APS4" s="9">
        <f>BDH(APS$1,"PX_TO_BOOK_RATIO",DataStart,DataEnd,"Per=M","Days=A","Fill=P")</f>
        <v/>
      </c>
      <c r="APU4" s="9">
        <f>BDH(APU$1,"PX_TO_BOOK_RATIO",DataStart,DataEnd,"Per=M","Days=A","Fill=P")</f>
        <v/>
      </c>
      <c r="APW4" s="9">
        <f>BDH(APW$1,"PX_TO_BOOK_RATIO",DataStart,DataEnd,"Per=M","Days=A","Fill=P")</f>
        <v/>
      </c>
      <c r="APY4" s="9">
        <f>BDH(APY$1,"PX_TO_BOOK_RATIO",DataStart,DataEnd,"Per=M","Days=A","Fill=P")</f>
        <v/>
      </c>
      <c r="AQA4" s="9">
        <f>BDH(AQA$1,"PX_TO_BOOK_RATIO",DataStart,DataEnd,"Per=M","Days=A","Fill=P")</f>
        <v/>
      </c>
      <c r="AQC4" s="9">
        <f>BDH(AQC$1,"PX_TO_BOOK_RATIO",DataStart,DataEnd,"Per=M","Days=A","Fill=P")</f>
        <v/>
      </c>
      <c r="AQE4" s="9">
        <f>BDH(AQE$1,"PX_TO_BOOK_RATIO",DataStart,DataEnd,"Per=M","Days=A","Fill=P")</f>
        <v/>
      </c>
      <c r="AQG4" s="9">
        <f>BDH(AQG$1,"PX_TO_BOOK_RATIO",DataStart,DataEnd,"Per=M","Days=A","Fill=P")</f>
        <v/>
      </c>
      <c r="AQI4" s="9">
        <f>BDH(AQI$1,"PX_TO_BOOK_RATIO",DataStart,DataEnd,"Per=M","Days=A","Fill=P")</f>
        <v/>
      </c>
      <c r="AQK4" s="9">
        <f>BDH(AQK$1,"PX_TO_BOOK_RATIO",DataStart,DataEnd,"Per=M","Days=A","Fill=P")</f>
        <v/>
      </c>
      <c r="AQM4" s="9">
        <f>BDH(AQM$1,"PX_TO_BOOK_RATIO",DataStart,DataEnd,"Per=M","Days=A","Fill=P")</f>
        <v/>
      </c>
      <c r="AQO4" s="9">
        <f>BDH(AQO$1,"PX_TO_BOOK_RATIO",DataStart,DataEnd,"Per=M","Days=A","Fill=P")</f>
        <v/>
      </c>
      <c r="AQQ4" s="9">
        <f>BDH(AQQ$1,"PX_TO_BOOK_RATIO",DataStart,DataEnd,"Per=M","Days=A","Fill=P")</f>
        <v/>
      </c>
      <c r="AQS4" s="9">
        <f>BDH(AQS$1,"PX_TO_BOOK_RATIO",DataStart,DataEnd,"Per=M","Days=A","Fill=P")</f>
        <v/>
      </c>
      <c r="AQU4" s="9">
        <f>BDH(AQU$1,"PX_TO_BOOK_RATIO",DataStart,DataEnd,"Per=M","Days=A","Fill=P")</f>
        <v/>
      </c>
      <c r="AQW4" s="9">
        <f>BDH(AQW$1,"PX_TO_BOOK_RATIO",DataStart,DataEnd,"Per=M","Days=A","Fill=P")</f>
        <v/>
      </c>
      <c r="AQY4" s="9">
        <f>BDH(AQY$1,"PX_TO_BOOK_RATIO",DataStart,DataEnd,"Per=M","Days=A","Fill=P")</f>
        <v/>
      </c>
      <c r="ARA4" s="9">
        <f>BDH(ARA$1,"PX_TO_BOOK_RATIO",DataStart,DataEnd,"Per=M","Days=A","Fill=P")</f>
        <v/>
      </c>
      <c r="ARC4" s="9">
        <f>BDH(ARC$1,"PX_TO_BOOK_RATIO",DataStart,DataEnd,"Per=M","Days=A","Fill=P")</f>
        <v/>
      </c>
      <c r="ARE4" s="9">
        <f>BDH(ARE$1,"PX_TO_BOOK_RATIO",DataStart,DataEnd,"Per=M","Days=A","Fill=P")</f>
        <v/>
      </c>
      <c r="ARG4" s="9">
        <f>BDH(ARG$1,"PX_TO_BOOK_RATIO",DataStart,DataEnd,"Per=M","Days=A","Fill=P")</f>
        <v/>
      </c>
      <c r="ARI4" s="9">
        <f>BDH(ARI$1,"PX_TO_BOOK_RATIO",DataStart,DataEnd,"Per=M","Days=A","Fill=P")</f>
        <v/>
      </c>
      <c r="ARK4" s="9">
        <f>BDH(ARK$1,"PX_TO_BOOK_RATIO",DataStart,DataEnd,"Per=M","Days=A","Fill=P")</f>
        <v/>
      </c>
      <c r="ARM4" s="9">
        <f>BDH(ARM$1,"PX_TO_BOOK_RATIO",DataStart,DataEnd,"Per=M","Days=A","Fill=P")</f>
        <v/>
      </c>
      <c r="ARO4" s="9">
        <f>BDH(ARO$1,"PX_TO_BOOK_RATIO",DataStart,DataEnd,"Per=M","Days=A","Fill=P")</f>
        <v/>
      </c>
      <c r="ARQ4" s="9">
        <f>BDH(ARQ$1,"PX_TO_BOOK_RATIO",DataStart,DataEnd,"Per=M","Days=A","Fill=P")</f>
        <v/>
      </c>
      <c r="ARS4" s="9">
        <f>BDH(ARS$1,"PX_TO_BOOK_RATIO",DataStart,DataEnd,"Per=M","Days=A","Fill=P")</f>
        <v/>
      </c>
      <c r="ARU4" s="9">
        <f>BDH(ARU$1,"PX_TO_BOOK_RATIO",DataStart,DataEnd,"Per=M","Days=A","Fill=P")</f>
        <v/>
      </c>
      <c r="ARW4" s="9">
        <f>BDH(ARW$1,"PX_TO_BOOK_RATIO",DataStart,DataEnd,"Per=M","Days=A","Fill=P")</f>
        <v/>
      </c>
      <c r="ARY4" s="9">
        <f>BDH(ARY$1,"PX_TO_BOOK_RATIO",DataStart,DataEnd,"Per=M","Days=A","Fill=P")</f>
        <v/>
      </c>
      <c r="ASA4" s="9">
        <f>BDH(ASA$1,"PX_TO_BOOK_RATIO",DataStart,DataEnd,"Per=M","Days=A","Fill=P")</f>
        <v/>
      </c>
      <c r="ASC4" s="9">
        <f>BDH(ASC$1,"PX_TO_BOOK_RATIO",DataStart,DataEnd,"Per=M","Days=A","Fill=P")</f>
        <v/>
      </c>
      <c r="ASE4" s="9">
        <f>BDH(ASE$1,"PX_TO_BOOK_RATIO",DataStart,DataEnd,"Per=M","Days=A","Fill=P")</f>
        <v/>
      </c>
      <c r="ASG4" s="9">
        <f>BDH(ASG$1,"PX_TO_BOOK_RATIO",DataStart,DataEnd,"Per=M","Days=A","Fill=P")</f>
        <v/>
      </c>
      <c r="ASI4" s="9">
        <f>BDH(ASI$1,"PX_TO_BOOK_RATIO",DataStart,DataEnd,"Per=M","Days=A","Fill=P")</f>
        <v/>
      </c>
      <c r="ASK4" s="9">
        <f>BDH(ASK$1,"PX_TO_BOOK_RATIO",DataStart,DataEnd,"Per=M","Days=A","Fill=P")</f>
        <v/>
      </c>
      <c r="ASM4" s="9">
        <f>BDH(ASM$1,"PX_TO_BOOK_RATIO",DataStart,DataEnd,"Per=M","Days=A","Fill=P")</f>
        <v/>
      </c>
      <c r="ASO4" s="9">
        <f>BDH(ASO$1,"PX_TO_BOOK_RATIO",DataStart,DataEnd,"Per=M","Days=A","Fill=P")</f>
        <v/>
      </c>
      <c r="ASQ4" s="9">
        <f>BDH(ASQ$1,"PX_TO_BOOK_RATIO",DataStart,DataEnd,"Per=M","Days=A","Fill=P")</f>
        <v/>
      </c>
      <c r="ASS4" s="9">
        <f>BDH(ASS$1,"PX_TO_BOOK_RATIO",DataStart,DataEnd,"Per=M","Days=A","Fill=P")</f>
        <v/>
      </c>
      <c r="ASU4" s="9">
        <f>BDH(ASU$1,"PX_TO_BOOK_RATIO",DataStart,DataEnd,"Per=M","Days=A","Fill=P")</f>
        <v/>
      </c>
      <c r="ASW4" s="9">
        <f>BDH(ASW$1,"PX_TO_BOOK_RATIO",DataStart,DataEnd,"Per=M","Days=A","Fill=P")</f>
        <v/>
      </c>
      <c r="ASY4" s="9">
        <f>BDH(ASY$1,"PX_TO_BOOK_RATIO",DataStart,DataEnd,"Per=M","Days=A","Fill=P")</f>
        <v/>
      </c>
      <c r="ATA4" s="9">
        <f>BDH(ATA$1,"PX_TO_BOOK_RATIO",DataStart,DataEnd,"Per=M","Days=A","Fill=P")</f>
        <v/>
      </c>
      <c r="ATC4" s="9">
        <f>BDH(ATC$1,"PX_TO_BOOK_RATIO",DataStart,DataEnd,"Per=M","Days=A","Fill=P")</f>
        <v/>
      </c>
      <c r="ATE4" s="9">
        <f>BDH(ATE$1,"PX_TO_BOOK_RATIO",DataStart,DataEnd,"Per=M","Days=A","Fill=P")</f>
        <v/>
      </c>
      <c r="ATG4" s="9">
        <f>BDH(ATG$1,"PX_TO_BOOK_RATIO",DataStart,DataEnd,"Per=M","Days=A","Fill=P")</f>
        <v/>
      </c>
      <c r="ATI4" s="9">
        <f>BDH(ATI$1,"PX_TO_BOOK_RATIO",DataStart,DataEnd,"Per=M","Days=A","Fill=P")</f>
        <v/>
      </c>
      <c r="ATK4" s="9">
        <f>BDH(ATK$1,"PX_TO_BOOK_RATIO",DataStart,DataEnd,"Per=M","Days=A","Fill=P")</f>
        <v/>
      </c>
      <c r="ATM4" s="9">
        <f>BDH(ATM$1,"PX_TO_BOOK_RATIO",DataStart,DataEnd,"Per=M","Days=A","Fill=P")</f>
        <v/>
      </c>
      <c r="ATO4" s="9">
        <f>BDH(ATO$1,"PX_TO_BOOK_RATIO",DataStart,DataEnd,"Per=M","Days=A","Fill=P")</f>
        <v/>
      </c>
      <c r="ATQ4" s="9">
        <f>BDH(ATQ$1,"PX_TO_BOOK_RATIO",DataStart,DataEnd,"Per=M","Days=A","Fill=P")</f>
        <v/>
      </c>
      <c r="ATS4" s="9">
        <f>BDH(ATS$1,"PX_TO_BOOK_RATIO",DataStart,DataEnd,"Per=M","Days=A","Fill=P")</f>
        <v/>
      </c>
      <c r="ATU4" s="9">
        <f>BDH(ATU$1,"PX_TO_BOOK_RATIO",DataStart,DataEnd,"Per=M","Days=A","Fill=P")</f>
        <v/>
      </c>
      <c r="ATW4" s="9">
        <f>BDH(ATW$1,"PX_TO_BOOK_RATIO",DataStart,DataEnd,"Per=M","Days=A","Fill=P")</f>
        <v/>
      </c>
      <c r="ATY4" s="9">
        <f>BDH(ATY$1,"PX_TO_BOOK_RATIO",DataStart,DataEnd,"Per=M","Days=A","Fill=P")</f>
        <v/>
      </c>
      <c r="AUA4" s="9">
        <f>BDH(AUA$1,"PX_TO_BOOK_RATIO",DataStart,DataEnd,"Per=M","Days=A","Fill=P")</f>
        <v/>
      </c>
      <c r="AUC4" s="9">
        <f>BDH(AUC$1,"PX_TO_BOOK_RATIO",DataStart,DataEnd,"Per=M","Days=A","Fill=P")</f>
        <v/>
      </c>
      <c r="AUE4" s="9">
        <f>BDH(AUE$1,"PX_TO_BOOK_RATIO",DataStart,DataEnd,"Per=M","Days=A","Fill=P")</f>
        <v/>
      </c>
      <c r="AUG4" s="9">
        <f>BDH(AUG$1,"PX_TO_BOOK_RATIO",DataStart,DataEnd,"Per=M","Days=A","Fill=P")</f>
        <v/>
      </c>
      <c r="AUI4" s="9">
        <f>BDH(AUI$1,"PX_TO_BOOK_RATIO",DataStart,DataEnd,"Per=M","Days=A","Fill=P")</f>
        <v/>
      </c>
      <c r="AUK4" s="9">
        <f>BDH(AUK$1,"PX_TO_BOOK_RATIO",DataStart,DataEnd,"Per=M","Days=A","Fill=P")</f>
        <v/>
      </c>
      <c r="AUM4" s="9">
        <f>BDH(AUM$1,"PX_TO_BOOK_RATIO",DataStart,DataEnd,"Per=M","Days=A","Fill=P")</f>
        <v/>
      </c>
      <c r="AUO4" s="9">
        <f>BDH(AUO$1,"PX_TO_BOOK_RATIO",DataStart,DataEnd,"Per=M","Days=A","Fill=P")</f>
        <v/>
      </c>
      <c r="AUQ4" s="9">
        <f>BDH(AUQ$1,"PX_TO_BOOK_RATIO",DataStart,DataEnd,"Per=M","Days=A","Fill=P")</f>
        <v/>
      </c>
      <c r="AUS4" s="9">
        <f>BDH(AUS$1,"PX_TO_BOOK_RATIO",DataStart,DataEnd,"Per=M","Days=A","Fill=P")</f>
        <v/>
      </c>
      <c r="AUU4" s="9">
        <f>BDH(AUU$1,"PX_TO_BOOK_RATIO",DataStart,DataEnd,"Per=M","Days=A","Fill=P")</f>
        <v/>
      </c>
      <c r="AUW4" s="9">
        <f>BDH(AUW$1,"PX_TO_BOOK_RATIO",DataStart,DataEnd,"Per=M","Days=A","Fill=P")</f>
        <v/>
      </c>
      <c r="AUY4" s="9">
        <f>BDH(AUY$1,"PX_TO_BOOK_RATIO",DataStart,DataEnd,"Per=M","Days=A","Fill=P")</f>
        <v/>
      </c>
      <c r="AVA4" s="9">
        <f>BDH(AVA$1,"PX_TO_BOOK_RATIO",DataStart,DataEnd,"Per=M","Days=A","Fill=P")</f>
        <v/>
      </c>
      <c r="AVC4" s="9">
        <f>BDH(AVC$1,"PX_TO_BOOK_RATIO",DataStart,DataEnd,"Per=M","Days=A","Fill=P")</f>
        <v/>
      </c>
      <c r="AVE4" s="9">
        <f>BDH(AVE$1,"PX_TO_BOOK_RATIO",DataStart,DataEnd,"Per=M","Days=A","Fill=P")</f>
        <v/>
      </c>
      <c r="AVG4" s="9">
        <f>BDH(AVG$1,"PX_TO_BOOK_RATIO",DataStart,DataEnd,"Per=M","Days=A","Fill=P")</f>
        <v/>
      </c>
      <c r="AVI4" s="9">
        <f>BDH(AVI$1,"PX_TO_BOOK_RATIO",DataStart,DataEnd,"Per=M","Days=A","Fill=P")</f>
        <v/>
      </c>
      <c r="AVK4" s="9">
        <f>BDH(AVK$1,"PX_TO_BOOK_RATIO",DataStart,DataEnd,"Per=M","Days=A","Fill=P")</f>
        <v/>
      </c>
      <c r="AVM4" s="9">
        <f>BDH(AVM$1,"PX_TO_BOOK_RATIO",DataStart,DataEnd,"Per=M","Days=A","Fill=P")</f>
        <v/>
      </c>
      <c r="AVO4" s="9">
        <f>BDH(AVO$1,"PX_TO_BOOK_RATIO",DataStart,DataEnd,"Per=M","Days=A","Fill=P")</f>
        <v/>
      </c>
      <c r="AVQ4" s="9">
        <f>BDH(AVQ$1,"PX_TO_BOOK_RATIO",DataStart,DataEnd,"Per=M","Days=A","Fill=P")</f>
        <v/>
      </c>
      <c r="AVS4" s="9">
        <f>BDH(AVS$1,"PX_TO_BOOK_RATIO",DataStart,DataEnd,"Per=M","Days=A","Fill=P")</f>
        <v/>
      </c>
      <c r="AVU4" s="9">
        <f>BDH(AVU$1,"PX_TO_BOOK_RATIO",DataStart,DataEnd,"Per=M","Days=A","Fill=P")</f>
        <v/>
      </c>
      <c r="AVW4" s="9">
        <f>BDH(AVW$1,"PX_TO_BOOK_RATIO",DataStart,DataEnd,"Per=M","Days=A","Fill=P")</f>
        <v/>
      </c>
      <c r="AVY4" s="9">
        <f>BDH(AVY$1,"PX_TO_BOOK_RATIO",DataStart,DataEnd,"Per=M","Days=A","Fill=P")</f>
        <v/>
      </c>
      <c r="AWA4" s="9">
        <f>BDH(AWA$1,"PX_TO_BOOK_RATIO",DataStart,DataEnd,"Per=M","Days=A","Fill=P")</f>
        <v/>
      </c>
      <c r="AWC4" s="9">
        <f>BDH(AWC$1,"PX_TO_BOOK_RATIO",DataStart,DataEnd,"Per=M","Days=A","Fill=P")</f>
        <v/>
      </c>
      <c r="AWE4" s="9">
        <f>BDH(AWE$1,"PX_TO_BOOK_RATIO",DataStart,DataEnd,"Per=M","Days=A","Fill=P")</f>
        <v/>
      </c>
      <c r="AWG4" s="9">
        <f>BDH(AWG$1,"PX_TO_BOOK_RATIO",DataStart,DataEnd,"Per=M","Days=A","Fill=P")</f>
        <v/>
      </c>
      <c r="AWI4" s="9">
        <f>BDH(AWI$1,"PX_TO_BOOK_RATIO",DataStart,DataEnd,"Per=M","Days=A","Fill=P")</f>
        <v/>
      </c>
      <c r="AWK4" s="9">
        <f>BDH(AWK$1,"PX_TO_BOOK_RATIO",DataStart,DataEnd,"Per=M","Days=A","Fill=P")</f>
        <v/>
      </c>
      <c r="AWM4" s="9">
        <f>BDH(AWM$1,"PX_TO_BOOK_RATIO",DataStart,DataEnd,"Per=M","Days=A","Fill=P")</f>
        <v/>
      </c>
      <c r="AWO4" s="9">
        <f>BDH(AWO$1,"PX_TO_BOOK_RATIO",DataStart,DataEnd,"Per=M","Days=A","Fill=P")</f>
        <v/>
      </c>
      <c r="AWQ4" s="9">
        <f>BDH(AWQ$1,"PX_TO_BOOK_RATIO",DataStart,DataEnd,"Per=M","Days=A","Fill=P")</f>
        <v/>
      </c>
      <c r="AWS4" s="9">
        <f>BDH(AWS$1,"PX_TO_BOOK_RATIO",DataStart,DataEnd,"Per=M","Days=A","Fill=P")</f>
        <v/>
      </c>
      <c r="AWU4" s="9">
        <f>BDH(AWU$1,"PX_TO_BOOK_RATIO",DataStart,DataEnd,"Per=M","Days=A","Fill=P")</f>
        <v/>
      </c>
      <c r="AWW4" s="9">
        <f>BDH(AWW$1,"PX_TO_BOOK_RATIO",DataStart,DataEnd,"Per=M","Days=A","Fill=P")</f>
        <v/>
      </c>
      <c r="AWY4" s="9">
        <f>BDH(AWY$1,"PX_TO_BOOK_RATIO",DataStart,DataEnd,"Per=M","Days=A","Fill=P")</f>
        <v/>
      </c>
      <c r="AXA4" s="9">
        <f>BDH(AXA$1,"PX_TO_BOOK_RATIO",DataStart,DataEnd,"Per=M","Days=A","Fill=P")</f>
        <v/>
      </c>
      <c r="AXC4" s="9">
        <f>BDH(AXC$1,"PX_TO_BOOK_RATIO",DataStart,DataEnd,"Per=M","Days=A","Fill=P")</f>
        <v/>
      </c>
      <c r="AXE4" s="9">
        <f>BDH(AXE$1,"PX_TO_BOOK_RATIO",DataStart,DataEnd,"Per=M","Days=A","Fill=P")</f>
        <v/>
      </c>
      <c r="AXG4" s="9">
        <f>BDH(AXG$1,"PX_TO_BOOK_RATIO",DataStart,DataEnd,"Per=M","Days=A","Fill=P")</f>
        <v/>
      </c>
      <c r="AXI4" s="9">
        <f>BDH(AXI$1,"PX_TO_BOOK_RATIO",DataStart,DataEnd,"Per=M","Days=A","Fill=P")</f>
        <v/>
      </c>
      <c r="AXK4" s="9">
        <f>BDH(AXK$1,"PX_TO_BOOK_RATIO",DataStart,DataEnd,"Per=M","Days=A","Fill=P")</f>
        <v/>
      </c>
      <c r="AXM4" s="9">
        <f>BDH(AXM$1,"PX_TO_BOOK_RATIO",DataStart,DataEnd,"Per=M","Days=A","Fill=P")</f>
        <v/>
      </c>
      <c r="AXO4" s="9">
        <f>BDH(AXO$1,"PX_TO_BOOK_RATIO",DataStart,DataEnd,"Per=M","Days=A","Fill=P")</f>
        <v/>
      </c>
      <c r="AXQ4" s="9">
        <f>BDH(AXQ$1,"PX_TO_BOOK_RATIO",DataStart,DataEnd,"Per=M","Days=A","Fill=P")</f>
        <v/>
      </c>
      <c r="AXS4" s="9">
        <f>BDH(AXS$1,"PX_TO_BOOK_RATIO",DataStart,DataEnd,"Per=M","Days=A","Fill=P")</f>
        <v/>
      </c>
      <c r="AXU4" s="9">
        <f>BDH(AXU$1,"PX_TO_BOOK_RATIO",DataStart,DataEnd,"Per=M","Days=A","Fill=P")</f>
        <v/>
      </c>
      <c r="AXW4" s="9">
        <f>BDH(AXW$1,"PX_TO_BOOK_RATIO",DataStart,DataEnd,"Per=M","Days=A","Fill=P")</f>
        <v/>
      </c>
      <c r="AXY4" s="9">
        <f>BDH(AXY$1,"PX_TO_BOOK_RATIO",DataStart,DataEnd,"Per=M","Days=A","Fill=P")</f>
        <v/>
      </c>
      <c r="AYA4" s="9">
        <f>BDH(AYA$1,"PX_TO_BOOK_RATIO",DataStart,DataEnd,"Per=M","Days=A","Fill=P")</f>
        <v/>
      </c>
      <c r="AYC4" s="9">
        <f>BDH(AYC$1,"PX_TO_BOOK_RATIO",DataStart,DataEnd,"Per=M","Days=A","Fill=P")</f>
        <v/>
      </c>
      <c r="AYE4" s="9">
        <f>BDH(AYE$1,"PX_TO_BOOK_RATIO",DataStart,DataEnd,"Per=M","Days=A","Fill=P")</f>
        <v/>
      </c>
      <c r="AYG4" s="9">
        <f>BDH(AYG$1,"PX_TO_BOOK_RATIO",DataStart,DataEnd,"Per=M","Days=A","Fill=P")</f>
        <v/>
      </c>
      <c r="AYI4" s="9">
        <f>BDH(AYI$1,"PX_TO_BOOK_RATIO",DataStart,DataEnd,"Per=M","Days=A","Fill=P")</f>
        <v/>
      </c>
      <c r="AYK4" s="9">
        <f>BDH(AYK$1,"PX_TO_BOOK_RATIO",DataStart,DataEnd,"Per=M","Days=A","Fill=P")</f>
        <v/>
      </c>
      <c r="AYM4" s="9">
        <f>BDH(AYM$1,"PX_TO_BOOK_RATIO",DataStart,DataEnd,"Per=M","Days=A","Fill=P")</f>
        <v/>
      </c>
      <c r="AYO4" s="9">
        <f>BDH(AYO$1,"PX_TO_BOOK_RATIO",DataStart,DataEnd,"Per=M","Days=A","Fill=P")</f>
        <v/>
      </c>
      <c r="AYQ4" s="9">
        <f>BDH(AYQ$1,"PX_TO_BOOK_RATIO",DataStart,DataEnd,"Per=M","Days=A","Fill=P")</f>
        <v/>
      </c>
      <c r="AYS4" s="9">
        <f>BDH(AYS$1,"PX_TO_BOOK_RATIO",DataStart,DataEnd,"Per=M","Days=A","Fill=P")</f>
        <v/>
      </c>
      <c r="AYU4" s="9">
        <f>BDH(AYU$1,"PX_TO_BOOK_RATIO",DataStart,DataEnd,"Per=M","Days=A","Fill=P")</f>
        <v/>
      </c>
      <c r="AYW4" s="9">
        <f>BDH(AYW$1,"PX_TO_BOOK_RATIO",DataStart,DataEnd,"Per=M","Days=A","Fill=P")</f>
        <v/>
      </c>
      <c r="AYY4" s="9">
        <f>BDH(AYY$1,"PX_TO_BOOK_RATIO",DataStart,DataEnd,"Per=M","Days=A","Fill=P")</f>
        <v/>
      </c>
      <c r="AZA4" s="9">
        <f>BDH(AZA$1,"PX_TO_BOOK_RATIO",DataStart,DataEnd,"Per=M","Days=A","Fill=P")</f>
        <v/>
      </c>
      <c r="AZC4" s="9">
        <f>BDH(AZC$1,"PX_TO_BOOK_RATIO",DataStart,DataEnd,"Per=M","Days=A","Fill=P")</f>
        <v/>
      </c>
      <c r="AZE4" s="9">
        <f>BDH(AZE$1,"PX_TO_BOOK_RATIO",DataStart,DataEnd,"Per=M","Days=A","Fill=P")</f>
        <v/>
      </c>
      <c r="AZG4" s="9">
        <f>BDH(AZG$1,"PX_TO_BOOK_RATIO",DataStart,DataEnd,"Per=M","Days=A","Fill=P")</f>
        <v/>
      </c>
      <c r="AZI4" s="9">
        <f>BDH(AZI$1,"PX_TO_BOOK_RATIO",DataStart,DataEnd,"Per=M","Days=A","Fill=P")</f>
        <v/>
      </c>
      <c r="AZK4" s="9">
        <f>BDH(AZK$1,"PX_TO_BOOK_RATIO",DataStart,DataEnd,"Per=M","Days=A","Fill=P")</f>
        <v/>
      </c>
      <c r="AZM4" s="9">
        <f>BDH(AZM$1,"PX_TO_BOOK_RATIO",DataStart,DataEnd,"Per=M","Days=A","Fill=P")</f>
        <v/>
      </c>
      <c r="AZO4" s="9">
        <f>BDH(AZO$1,"PX_TO_BOOK_RATIO",DataStart,DataEnd,"Per=M","Days=A","Fill=P")</f>
        <v/>
      </c>
      <c r="AZQ4" s="9">
        <f>BDH(AZQ$1,"PX_TO_BOOK_RATIO",DataStart,DataEnd,"Per=M","Days=A","Fill=P")</f>
        <v/>
      </c>
      <c r="AZS4" s="9">
        <f>BDH(AZS$1,"PX_TO_BOOK_RATIO",DataStart,DataEnd,"Per=M","Days=A","Fill=P")</f>
        <v/>
      </c>
      <c r="AZU4" s="9">
        <f>BDH(AZU$1,"PX_TO_BOOK_RATIO",DataStart,DataEnd,"Per=M","Days=A","Fill=P")</f>
        <v/>
      </c>
      <c r="AZW4" s="9">
        <f>BDH(AZW$1,"PX_TO_BOOK_RATIO",DataStart,DataEnd,"Per=M","Days=A","Fill=P")</f>
        <v/>
      </c>
      <c r="AZY4" s="9">
        <f>BDH(AZY$1,"PX_TO_BOOK_RATIO",DataStart,DataEnd,"Per=M","Days=A","Fill=P")</f>
        <v/>
      </c>
      <c r="BAA4" s="9">
        <f>BDH(BAA$1,"PX_TO_BOOK_RATIO",DataStart,DataEnd,"Per=M","Days=A","Fill=P")</f>
        <v/>
      </c>
      <c r="BAC4" s="9">
        <f>BDH(BAC$1,"PX_TO_BOOK_RATIO",DataStart,DataEnd,"Per=M","Days=A","Fill=P")</f>
        <v/>
      </c>
      <c r="BAE4" s="9">
        <f>BDH(BAE$1,"PX_TO_BOOK_RATIO",DataStart,DataEnd,"Per=M","Days=A","Fill=P")</f>
        <v/>
      </c>
      <c r="BAG4" s="9">
        <f>BDH(BAG$1,"PX_TO_BOOK_RATIO",DataStart,DataEnd,"Per=M","Days=A","Fill=P")</f>
        <v/>
      </c>
      <c r="BAI4" s="9">
        <f>BDH(BAI$1,"PX_TO_BOOK_RATIO",DataStart,DataEnd,"Per=M","Days=A","Fill=P")</f>
        <v/>
      </c>
      <c r="BAK4" s="9">
        <f>BDH(BAK$1,"PX_TO_BOOK_RATIO",DataStart,DataEnd,"Per=M","Days=A","Fill=P")</f>
        <v/>
      </c>
      <c r="BAM4" s="9">
        <f>BDH(BAM$1,"PX_TO_BOOK_RATIO",DataStart,DataEnd,"Per=M","Days=A","Fill=P")</f>
        <v/>
      </c>
      <c r="BAO4" s="9">
        <f>BDH(BAO$1,"PX_TO_BOOK_RATIO",DataStart,DataEnd,"Per=M","Days=A","Fill=P")</f>
        <v/>
      </c>
      <c r="BAQ4" s="9">
        <f>BDH(BAQ$1,"PX_TO_BOOK_RATIO",DataStart,DataEnd,"Per=M","Days=A","Fill=P")</f>
        <v/>
      </c>
      <c r="BAS4" s="9">
        <f>BDH(BAS$1,"PX_TO_BOOK_RATIO",DataStart,DataEnd,"Per=M","Days=A","Fill=P")</f>
        <v/>
      </c>
      <c r="BAU4" s="9">
        <f>BDH(BAU$1,"PX_TO_BOOK_RATIO",DataStart,DataEnd,"Per=M","Days=A","Fill=P")</f>
        <v/>
      </c>
      <c r="BAW4" s="9">
        <f>BDH(BAW$1,"PX_TO_BOOK_RATIO",DataStart,DataEnd,"Per=M","Days=A","Fill=P")</f>
        <v/>
      </c>
      <c r="BAY4" s="9">
        <f>BDH(BAY$1,"PX_TO_BOOK_RATIO",DataStart,DataEnd,"Per=M","Days=A","Fill=P")</f>
        <v/>
      </c>
      <c r="BBA4" s="9">
        <f>BDH(BBA$1,"PX_TO_BOOK_RATIO",DataStart,DataEnd,"Per=M","Days=A","Fill=P")</f>
        <v/>
      </c>
      <c r="BBC4" s="9">
        <f>BDH(BBC$1,"PX_TO_BOOK_RATIO",DataStart,DataEnd,"Per=M","Days=A","Fill=P")</f>
        <v/>
      </c>
      <c r="BBE4" s="9">
        <f>BDH(BBE$1,"PX_TO_BOOK_RATIO",DataStart,DataEnd,"Per=M","Days=A","Fill=P")</f>
        <v/>
      </c>
      <c r="BBG4" s="9">
        <f>BDH(BBG$1,"PX_TO_BOOK_RATIO",DataStart,DataEnd,"Per=M","Days=A","Fill=P")</f>
        <v/>
      </c>
      <c r="BBI4" s="9">
        <f>BDH(BBI$1,"PX_TO_BOOK_RATIO",DataStart,DataEnd,"Per=M","Days=A","Fill=P")</f>
        <v/>
      </c>
      <c r="BBK4" s="9">
        <f>BDH(BBK$1,"PX_TO_BOOK_RATIO",DataStart,DataEnd,"Per=M","Days=A","Fill=P")</f>
        <v/>
      </c>
      <c r="BBM4" s="9">
        <f>BDH(BBM$1,"PX_TO_BOOK_RATIO",DataStart,DataEnd,"Per=M","Days=A","Fill=P")</f>
        <v/>
      </c>
      <c r="BBO4" s="9">
        <f>BDH(BBO$1,"PX_TO_BOOK_RATIO",DataStart,DataEnd,"Per=M","Days=A","Fill=P")</f>
        <v/>
      </c>
      <c r="BBQ4" s="9">
        <f>BDH(BBQ$1,"PX_TO_BOOK_RATIO",DataStart,DataEnd,"Per=M","Days=A","Fill=P")</f>
        <v/>
      </c>
      <c r="BBS4" s="9">
        <f>BDH(BBS$1,"PX_TO_BOOK_RATIO",DataStart,DataEnd,"Per=M","Days=A","Fill=P")</f>
        <v/>
      </c>
      <c r="BBU4" s="9">
        <f>BDH(BBU$1,"PX_TO_BOOK_RATIO",DataStart,DataEnd,"Per=M","Days=A","Fill=P")</f>
        <v/>
      </c>
      <c r="BBW4" s="9">
        <f>BDH(BBW$1,"PX_TO_BOOK_RATIO",DataStart,DataEnd,"Per=M","Days=A","Fill=P")</f>
        <v/>
      </c>
      <c r="BBY4" s="9">
        <f>BDH(BBY$1,"PX_TO_BOOK_RATIO",DataStart,DataEnd,"Per=M","Days=A","Fill=P")</f>
        <v/>
      </c>
      <c r="BCA4" s="9">
        <f>BDH(BCA$1,"PX_TO_BOOK_RATIO",DataStart,DataEnd,"Per=M","Days=A","Fill=P")</f>
        <v/>
      </c>
      <c r="BCC4" s="9">
        <f>BDH(BCC$1,"PX_TO_BOOK_RATIO",DataStart,DataEnd,"Per=M","Days=A","Fill=P")</f>
        <v/>
      </c>
      <c r="BCE4" s="9">
        <f>BDH(BCE$1,"PX_TO_BOOK_RATIO",DataStart,DataEnd,"Per=M","Days=A","Fill=P")</f>
        <v/>
      </c>
      <c r="BCG4" s="9">
        <f>BDH(BCG$1,"PX_TO_BOOK_RATIO",DataStart,DataEnd,"Per=M","Days=A","Fill=P")</f>
        <v/>
      </c>
      <c r="BCI4" s="9">
        <f>BDH(BCI$1,"PX_TO_BOOK_RATIO",DataStart,DataEnd,"Per=M","Days=A","Fill=P")</f>
        <v/>
      </c>
      <c r="BCK4" s="9">
        <f>BDH(BCK$1,"PX_TO_BOOK_RATIO",DataStart,DataEnd,"Per=M","Days=A","Fill=P")</f>
        <v/>
      </c>
      <c r="BCM4" s="9">
        <f>BDH(BCM$1,"PX_TO_BOOK_RATIO",DataStart,DataEnd,"Per=M","Days=A","Fill=P")</f>
        <v/>
      </c>
      <c r="BCO4" s="9">
        <f>BDH(BCO$1,"PX_TO_BOOK_RATIO",DataStart,DataEnd,"Per=M","Days=A","Fill=P")</f>
        <v/>
      </c>
      <c r="BCQ4" s="9">
        <f>BDH(BCQ$1,"PX_TO_BOOK_RATIO",DataStart,DataEnd,"Per=M","Days=A","Fill=P")</f>
        <v/>
      </c>
      <c r="BCS4" s="9">
        <f>BDH(BCS$1,"PX_TO_BOOK_RATIO",DataStart,DataEnd,"Per=M","Days=A","Fill=P")</f>
        <v/>
      </c>
      <c r="BCU4" s="9">
        <f>BDH(BCU$1,"PX_TO_BOOK_RATIO",DataStart,DataEnd,"Per=M","Days=A","Fill=P")</f>
        <v/>
      </c>
      <c r="BCW4" s="9">
        <f>BDH(BCW$1,"PX_TO_BOOK_RATIO",DataStart,DataEnd,"Per=M","Days=A","Fill=P")</f>
        <v/>
      </c>
      <c r="BCY4" s="9">
        <f>BDH(BCY$1,"PX_TO_BOOK_RATIO",DataStart,DataEnd,"Per=M","Days=A","Fill=P")</f>
        <v/>
      </c>
      <c r="BDA4" s="9">
        <f>BDH(BDA$1,"PX_TO_BOOK_RATIO",DataStart,DataEnd,"Per=M","Days=A","Fill=P")</f>
        <v/>
      </c>
      <c r="BDC4" s="9">
        <f>BDH(BDC$1,"PX_TO_BOOK_RATIO",DataStart,DataEnd,"Per=M","Days=A","Fill=P")</f>
        <v/>
      </c>
      <c r="BDE4" s="9">
        <f>BDH(BDE$1,"PX_TO_BOOK_RATIO",DataStart,DataEnd,"Per=M","Days=A","Fill=P")</f>
        <v/>
      </c>
      <c r="BDG4" s="9">
        <f>BDH(BDG$1,"PX_TO_BOOK_RATIO",DataStart,DataEnd,"Per=M","Days=A","Fill=P")</f>
        <v/>
      </c>
      <c r="BDI4" s="9">
        <f>BDH(BDI$1,"PX_TO_BOOK_RATIO",DataStart,DataEnd,"Per=M","Days=A","Fill=P")</f>
        <v/>
      </c>
      <c r="BDK4" s="9">
        <f>BDH(BDK$1,"PX_TO_BOOK_RATIO",DataStart,DataEnd,"Per=M","Days=A","Fill=P")</f>
        <v/>
      </c>
      <c r="BDM4" s="9">
        <f>BDH(BDM$1,"PX_TO_BOOK_RATIO",DataStart,DataEnd,"Per=M","Days=A","Fill=P")</f>
        <v/>
      </c>
      <c r="BDO4" s="9">
        <f>BDH(BDO$1,"PX_TO_BOOK_RATIO",DataStart,DataEnd,"Per=M","Days=A","Fill=P")</f>
        <v/>
      </c>
      <c r="BDQ4" s="9">
        <f>BDH(BDQ$1,"PX_TO_BOOK_RATIO",DataStart,DataEnd,"Per=M","Days=A","Fill=P")</f>
        <v/>
      </c>
      <c r="BDS4" s="9">
        <f>BDH(BDS$1,"PX_TO_BOOK_RATIO",DataStart,DataEnd,"Per=M","Days=A","Fill=P")</f>
        <v/>
      </c>
      <c r="BDU4" s="9">
        <f>BDH(BDU$1,"PX_TO_BOOK_RATIO",DataStart,DataEnd,"Per=M","Days=A","Fill=P")</f>
        <v/>
      </c>
      <c r="BDW4" s="9">
        <f>BDH(BDW$1,"PX_TO_BOOK_RATIO",DataStart,DataEnd,"Per=M","Days=A","Fill=P")</f>
        <v/>
      </c>
      <c r="BDY4" s="9">
        <f>BDH(BDY$1,"PX_TO_BOOK_RATIO",DataStart,DataEnd,"Per=M","Days=A","Fill=P")</f>
        <v/>
      </c>
      <c r="BEA4" s="9">
        <f>BDH(BEA$1,"PX_TO_BOOK_RATIO",DataStart,DataEnd,"Per=M","Days=A","Fill=P")</f>
        <v/>
      </c>
      <c r="BEC4" s="9">
        <f>BDH(BEC$1,"PX_TO_BOOK_RATIO",DataStart,DataEnd,"Per=M","Days=A","Fill=P")</f>
        <v/>
      </c>
      <c r="BEE4" s="9">
        <f>BDH(BEE$1,"PX_TO_BOOK_RATIO",DataStart,DataEnd,"Per=M","Days=A","Fill=P")</f>
        <v/>
      </c>
      <c r="BEG4" s="9">
        <f>BDH(BEG$1,"PX_TO_BOOK_RATIO",DataStart,DataEnd,"Per=M","Days=A","Fill=P")</f>
        <v/>
      </c>
      <c r="BEI4" s="9">
        <f>BDH(BEI$1,"PX_TO_BOOK_RATIO",DataStart,DataEnd,"Per=M","Days=A","Fill=P")</f>
        <v/>
      </c>
      <c r="BEK4" s="9">
        <f>BDH(BEK$1,"PX_TO_BOOK_RATIO",DataStart,DataEnd,"Per=M","Days=A","Fill=P")</f>
        <v/>
      </c>
      <c r="BEM4" s="9">
        <f>BDH(BEM$1,"PX_TO_BOOK_RATIO",DataStart,DataEnd,"Per=M","Days=A","Fill=P")</f>
        <v/>
      </c>
      <c r="BEO4" s="9">
        <f>BDH(BEO$1,"PX_TO_BOOK_RATIO",DataStart,DataEnd,"Per=M","Days=A","Fill=P")</f>
        <v/>
      </c>
      <c r="BEQ4" s="9">
        <f>BDH(BEQ$1,"PX_TO_BOOK_RATIO",DataStart,DataEnd,"Per=M","Days=A","Fill=P")</f>
        <v/>
      </c>
      <c r="BES4" s="9">
        <f>BDH(BES$1,"PX_TO_BOOK_RATIO",DataStart,DataEnd,"Per=M","Days=A","Fill=P")</f>
        <v/>
      </c>
      <c r="BEU4" s="9">
        <f>BDH(BEU$1,"PX_TO_BOOK_RATIO",DataStart,DataEnd,"Per=M","Days=A","Fill=P")</f>
        <v/>
      </c>
      <c r="BEW4" s="9">
        <f>BDH(BEW$1,"PX_TO_BOOK_RATIO",DataStart,DataEnd,"Per=M","Days=A","Fill=P")</f>
        <v/>
      </c>
      <c r="BEY4" s="9">
        <f>BDH(BEY$1,"PX_TO_BOOK_RATIO",DataStart,DataEnd,"Per=M","Days=A","Fill=P")</f>
        <v/>
      </c>
      <c r="BFA4" s="9">
        <f>BDH(BFA$1,"PX_TO_BOOK_RATIO",DataStart,DataEnd,"Per=M","Days=A","Fill=P")</f>
        <v/>
      </c>
      <c r="BFC4" s="9">
        <f>BDH(BFC$1,"PX_TO_BOOK_RATIO",DataStart,DataEnd,"Per=M","Days=A","Fill=P")</f>
        <v/>
      </c>
      <c r="BFE4" s="9">
        <f>BDH(BFE$1,"PX_TO_BOOK_RATIO",DataStart,DataEnd,"Per=M","Days=A","Fill=P")</f>
        <v/>
      </c>
      <c r="BFG4" s="9">
        <f>BDH(BFG$1,"PX_TO_BOOK_RATIO",DataStart,DataEnd,"Per=M","Days=A","Fill=P")</f>
        <v/>
      </c>
      <c r="BFI4" s="9">
        <f>BDH(BFI$1,"PX_TO_BOOK_RATIO",DataStart,DataEnd,"Per=M","Days=A","Fill=P")</f>
        <v/>
      </c>
      <c r="BFK4" s="9">
        <f>BDH(BFK$1,"PX_TO_BOOK_RATIO",DataStart,DataEnd,"Per=M","Days=A","Fill=P")</f>
        <v/>
      </c>
      <c r="BFM4" s="9">
        <f>BDH(BFM$1,"PX_TO_BOOK_RATIO",DataStart,DataEnd,"Per=M","Days=A","Fill=P")</f>
        <v/>
      </c>
      <c r="BFO4" s="9">
        <f>BDH(BFO$1,"PX_TO_BOOK_RATIO",DataStart,DataEnd,"Per=M","Days=A","Fill=P")</f>
        <v/>
      </c>
      <c r="BFQ4" s="9">
        <f>BDH(BFQ$1,"PX_TO_BOOK_RATIO",DataStart,DataEnd,"Per=M","Days=A","Fill=P")</f>
        <v/>
      </c>
      <c r="BFS4" s="9">
        <f>BDH(BFS$1,"PX_TO_BOOK_RATIO",DataStart,DataEnd,"Per=M","Days=A","Fill=P")</f>
        <v/>
      </c>
      <c r="BFU4" s="9">
        <f>BDH(BFU$1,"PX_TO_BOOK_RATIO",DataStart,DataEnd,"Per=M","Days=A","Fill=P")</f>
        <v/>
      </c>
      <c r="BFW4" s="9">
        <f>BDH(BFW$1,"PX_TO_BOOK_RATIO",DataStart,DataEnd,"Per=M","Days=A","Fill=P")</f>
        <v/>
      </c>
      <c r="BFY4" s="9">
        <f>BDH(BFY$1,"PX_TO_BOOK_RATIO",DataStart,DataEnd,"Per=M","Days=A","Fill=P")</f>
        <v/>
      </c>
      <c r="BGA4" s="9">
        <f>BDH(BGA$1,"PX_TO_BOOK_RATIO",DataStart,DataEnd,"Per=M","Days=A","Fill=P")</f>
        <v/>
      </c>
      <c r="BGC4" s="9">
        <f>BDH(BGC$1,"PX_TO_BOOK_RATIO",DataStart,DataEnd,"Per=M","Days=A","Fill=P")</f>
        <v/>
      </c>
      <c r="BGE4" s="9">
        <f>BDH(BGE$1,"PX_TO_BOOK_RATIO",DataStart,DataEnd,"Per=M","Days=A","Fill=P")</f>
        <v/>
      </c>
      <c r="BGG4" s="9">
        <f>BDH(BGG$1,"PX_TO_BOOK_RATIO",DataStart,DataEnd,"Per=M","Days=A","Fill=P")</f>
        <v/>
      </c>
      <c r="BGI4" s="9">
        <f>BDH(BGI$1,"PX_TO_BOOK_RATIO",DataStart,DataEnd,"Per=M","Days=A","Fill=P")</f>
        <v/>
      </c>
      <c r="BGK4" s="9">
        <f>BDH(BGK$1,"PX_TO_BOOK_RATIO",DataStart,DataEnd,"Per=M","Days=A","Fill=P")</f>
        <v/>
      </c>
      <c r="BGM4" s="9">
        <f>BDH(BGM$1,"PX_TO_BOOK_RATIO",DataStart,DataEnd,"Per=M","Days=A","Fill=P")</f>
        <v/>
      </c>
      <c r="BGO4" s="9">
        <f>BDH(BGO$1,"PX_TO_BOOK_RATIO",DataStart,DataEnd,"Per=M","Days=A","Fill=P")</f>
        <v/>
      </c>
      <c r="BGQ4" s="9">
        <f>BDH(BGQ$1,"PX_TO_BOOK_RATIO",DataStart,DataEnd,"Per=M","Days=A","Fill=P")</f>
        <v/>
      </c>
      <c r="BGS4" s="9">
        <f>BDH(BGS$1,"PX_TO_BOOK_RATIO",DataStart,DataEnd,"Per=M","Days=A","Fill=P")</f>
        <v/>
      </c>
      <c r="BGU4" s="9">
        <f>BDH(BGU$1,"PX_TO_BOOK_RATIO",DataStart,DataEnd,"Per=M","Days=A","Fill=P")</f>
        <v/>
      </c>
      <c r="BGW4" s="9">
        <f>BDH(BGW$1,"PX_TO_BOOK_RATIO",DataStart,DataEnd,"Per=M","Days=A","Fill=P")</f>
        <v/>
      </c>
      <c r="BGY4" s="9">
        <f>BDH(BGY$1,"PX_TO_BOOK_RATIO",DataStart,DataEnd,"Per=M","Days=A","Fill=P")</f>
        <v/>
      </c>
      <c r="BHA4" s="9">
        <f>BDH(BHA$1,"PX_TO_BOOK_RATIO",DataStart,DataEnd,"Per=M","Days=A","Fill=P")</f>
        <v/>
      </c>
      <c r="BHC4" s="9">
        <f>BDH(BHC$1,"PX_TO_BOOK_RATIO",DataStart,DataEnd,"Per=M","Days=A","Fill=P")</f>
        <v/>
      </c>
      <c r="BHE4" s="9">
        <f>BDH(BHE$1,"PX_TO_BOOK_RATIO",DataStart,DataEnd,"Per=M","Days=A","Fill=P")</f>
        <v/>
      </c>
      <c r="BHG4" s="9">
        <f>BDH(BHG$1,"PX_TO_BOOK_RATIO",DataStart,DataEnd,"Per=M","Days=A","Fill=P")</f>
        <v/>
      </c>
      <c r="BHI4" s="9">
        <f>BDH(BHI$1,"PX_TO_BOOK_RATIO",DataStart,DataEnd,"Per=M","Days=A","Fill=P")</f>
        <v/>
      </c>
      <c r="BHK4" s="9">
        <f>BDH(BHK$1,"PX_TO_BOOK_RATIO",DataStart,DataEnd,"Per=M","Days=A","Fill=P")</f>
        <v/>
      </c>
      <c r="BHM4" s="9">
        <f>BDH(BHM$1,"PX_TO_BOOK_RATIO",DataStart,DataEnd,"Per=M","Days=A","Fill=P")</f>
        <v/>
      </c>
      <c r="BHO4" s="9">
        <f>BDH(BHO$1,"PX_TO_BOOK_RATIO",DataStart,DataEnd,"Per=M","Days=A","Fill=P")</f>
        <v/>
      </c>
      <c r="BHQ4" s="9">
        <f>BDH(BHQ$1,"PX_TO_BOOK_RATIO",DataStart,DataEnd,"Per=M","Days=A","Fill=P")</f>
        <v/>
      </c>
      <c r="BHS4" s="9">
        <f>BDH(BHS$1,"PX_TO_BOOK_RATIO",DataStart,DataEnd,"Per=M","Days=A","Fill=P")</f>
        <v/>
      </c>
      <c r="BHU4" s="9">
        <f>BDH(BHU$1,"PX_TO_BOOK_RATIO",DataStart,DataEnd,"Per=M","Days=A","Fill=P")</f>
        <v/>
      </c>
      <c r="BHW4" s="9">
        <f>BDH(BHW$1,"PX_TO_BOOK_RATIO",DataStart,DataEnd,"Per=M","Days=A","Fill=P")</f>
        <v/>
      </c>
      <c r="BHY4" s="9">
        <f>BDH(BHY$1,"PX_TO_BOOK_RATIO",DataStart,DataEnd,"Per=M","Days=A","Fill=P")</f>
        <v/>
      </c>
      <c r="BIA4" s="9">
        <f>BDH(BIA$1,"PX_TO_BOOK_RATIO",DataStart,DataEnd,"Per=M","Days=A","Fill=P")</f>
        <v/>
      </c>
      <c r="BIC4" s="9">
        <f>BDH(BIC$1,"PX_TO_BOOK_RATIO",DataStart,DataEnd,"Per=M","Days=A","Fill=P")</f>
        <v/>
      </c>
      <c r="BIE4" s="9">
        <f>BDH(BIE$1,"PX_TO_BOOK_RATIO",DataStart,DataEnd,"Per=M","Days=A","Fill=P")</f>
        <v/>
      </c>
      <c r="BIG4" s="9">
        <f>BDH(BIG$1,"PX_TO_BOOK_RATIO",DataStart,DataEnd,"Per=M","Days=A","Fill=P")</f>
        <v/>
      </c>
      <c r="BII4" s="9">
        <f>BDH(BII$1,"PX_TO_BOOK_RATIO",DataStart,DataEnd,"Per=M","Days=A","Fill=P")</f>
        <v/>
      </c>
      <c r="BIK4" s="9">
        <f>BDH(BIK$1,"PX_TO_BOOK_RATIO",DataStart,DataEnd,"Per=M","Days=A","Fill=P")</f>
        <v/>
      </c>
      <c r="BIM4" s="9">
        <f>BDH(BIM$1,"PX_TO_BOOK_RATIO",DataStart,DataEnd,"Per=M","Days=A","Fill=P")</f>
        <v/>
      </c>
      <c r="BIO4" s="9">
        <f>BDH(BIO$1,"PX_TO_BOOK_RATIO",DataStart,DataEnd,"Per=M","Days=A","Fill=P")</f>
        <v/>
      </c>
      <c r="BIQ4" s="9">
        <f>BDH(BIQ$1,"PX_TO_BOOK_RATIO",DataStart,DataEnd,"Per=M","Days=A","Fill=P")</f>
        <v/>
      </c>
      <c r="BIS4" s="9">
        <f>BDH(BIS$1,"PX_TO_BOOK_RATIO",DataStart,DataEnd,"Per=M","Days=A","Fill=P")</f>
        <v/>
      </c>
      <c r="BIU4" s="9">
        <f>BDH(BIU$1,"PX_TO_BOOK_RATIO",DataStart,DataEnd,"Per=M","Days=A","Fill=P")</f>
        <v/>
      </c>
      <c r="BIW4" s="9">
        <f>BDH(BIW$1,"PX_TO_BOOK_RATIO",DataStart,DataEnd,"Per=M","Days=A","Fill=P")</f>
        <v/>
      </c>
      <c r="BIY4" s="9">
        <f>BDH(BIY$1,"PX_TO_BOOK_RATIO",DataStart,DataEnd,"Per=M","Days=A","Fill=P")</f>
        <v/>
      </c>
      <c r="BJA4" s="9">
        <f>BDH(BJA$1,"PX_TO_BOOK_RATIO",DataStart,DataEnd,"Per=M","Days=A","Fill=P")</f>
        <v/>
      </c>
      <c r="BJC4" s="9">
        <f>BDH(BJC$1,"PX_TO_BOOK_RATIO",DataStart,DataEnd,"Per=M","Days=A","Fill=P")</f>
        <v/>
      </c>
      <c r="BJE4" s="9">
        <f>BDH(BJE$1,"PX_TO_BOOK_RATIO",DataStart,DataEnd,"Per=M","Days=A","Fill=P")</f>
        <v/>
      </c>
      <c r="BJG4" s="9">
        <f>BDH(BJG$1,"PX_TO_BOOK_RATIO",DataStart,DataEnd,"Per=M","Days=A","Fill=P")</f>
        <v/>
      </c>
      <c r="BJI4" s="9">
        <f>BDH(BJI$1,"PX_TO_BOOK_RATIO",DataStart,DataEnd,"Per=M","Days=A","Fill=P")</f>
        <v/>
      </c>
      <c r="BJK4" s="9">
        <f>BDH(BJK$1,"PX_TO_BOOK_RATIO",DataStart,DataEnd,"Per=M","Days=A","Fill=P")</f>
        <v/>
      </c>
      <c r="BJM4" s="9">
        <f>BDH(BJM$1,"PX_TO_BOOK_RATIO",DataStart,DataEnd,"Per=M","Days=A","Fill=P")</f>
        <v/>
      </c>
      <c r="BJO4" s="9">
        <f>BDH(BJO$1,"PX_TO_BOOK_RATIO",DataStart,DataEnd,"Per=M","Days=A","Fill=P")</f>
        <v/>
      </c>
      <c r="BJQ4" s="9">
        <f>BDH(BJQ$1,"PX_TO_BOOK_RATIO",DataStart,DataEnd,"Per=M","Days=A","Fill=P")</f>
        <v/>
      </c>
      <c r="BJS4" s="9">
        <f>BDH(BJS$1,"PX_TO_BOOK_RATIO",DataStart,DataEnd,"Per=M","Days=A","Fill=P")</f>
        <v/>
      </c>
      <c r="BJU4" s="9">
        <f>BDH(BJU$1,"PX_TO_BOOK_RATIO",DataStart,DataEnd,"Per=M","Days=A","Fill=P")</f>
        <v/>
      </c>
      <c r="BJW4" s="9">
        <f>BDH(BJW$1,"PX_TO_BOOK_RATIO",DataStart,DataEnd,"Per=M","Days=A","Fill=P")</f>
        <v/>
      </c>
      <c r="BJY4" s="9">
        <f>BDH(BJY$1,"PX_TO_BOOK_RATIO",DataStart,DataEnd,"Per=M","Days=A","Fill=P")</f>
        <v/>
      </c>
      <c r="BKA4" s="9">
        <f>BDH(BKA$1,"PX_TO_BOOK_RATIO",DataStart,DataEnd,"Per=M","Days=A","Fill=P")</f>
        <v/>
      </c>
      <c r="BKC4" s="9">
        <f>BDH(BKC$1,"PX_TO_BOOK_RATIO",DataStart,DataEnd,"Per=M","Days=A","Fill=P")</f>
        <v/>
      </c>
      <c r="BKE4" s="9">
        <f>BDH(BKE$1,"PX_TO_BOOK_RATIO",DataStart,DataEnd,"Per=M","Days=A","Fill=P")</f>
        <v/>
      </c>
      <c r="BKG4" s="9">
        <f>BDH(BKG$1,"PX_TO_BOOK_RATIO",DataStart,DataEnd,"Per=M","Days=A","Fill=P")</f>
        <v/>
      </c>
      <c r="BKI4" s="9">
        <f>BDH(BKI$1,"PX_TO_BOOK_RATIO",DataStart,DataEnd,"Per=M","Days=A","Fill=P")</f>
        <v/>
      </c>
      <c r="BKK4" s="9">
        <f>BDH(BKK$1,"PX_TO_BOOK_RATIO",DataStart,DataEnd,"Per=M","Days=A","Fill=P")</f>
        <v/>
      </c>
      <c r="BKM4" s="9">
        <f>BDH(BKM$1,"PX_TO_BOOK_RATIO",DataStart,DataEnd,"Per=M","Days=A","Fill=P")</f>
        <v/>
      </c>
      <c r="BKO4" s="9">
        <f>BDH(BKO$1,"PX_TO_BOOK_RATIO",DataStart,DataEnd,"Per=M","Days=A","Fill=P")</f>
        <v/>
      </c>
      <c r="BKQ4" s="9">
        <f>BDH(BKQ$1,"PX_TO_BOOK_RATIO",DataStart,DataEnd,"Per=M","Days=A","Fill=P")</f>
        <v/>
      </c>
      <c r="BKS4" s="9">
        <f>BDH(BKS$1,"PX_TO_BOOK_RATIO",DataStart,DataEnd,"Per=M","Days=A","Fill=P")</f>
        <v/>
      </c>
      <c r="BKU4" s="9">
        <f>BDH(BKU$1,"PX_TO_BOOK_RATIO",DataStart,DataEnd,"Per=M","Days=A","Fill=P")</f>
        <v/>
      </c>
      <c r="BKW4" s="9">
        <f>BDH(BKW$1,"PX_TO_BOOK_RATIO",DataStart,DataEnd,"Per=M","Days=A","Fill=P")</f>
        <v/>
      </c>
      <c r="BKY4" s="9">
        <f>BDH(BKY$1,"PX_TO_BOOK_RATIO",DataStart,DataEnd,"Per=M","Days=A","Fill=P")</f>
        <v/>
      </c>
      <c r="BLA4" s="9">
        <f>BDH(BLA$1,"PX_TO_BOOK_RATIO",DataStart,DataEnd,"Per=M","Days=A","Fill=P")</f>
        <v/>
      </c>
      <c r="BLC4" s="9">
        <f>BDH(BLC$1,"PX_TO_BOOK_RATIO",DataStart,DataEnd,"Per=M","Days=A","Fill=P")</f>
        <v/>
      </c>
      <c r="BLE4" s="9">
        <f>BDH(BLE$1,"PX_TO_BOOK_RATIO",DataStart,DataEnd,"Per=M","Days=A","Fill=P")</f>
        <v/>
      </c>
      <c r="BLG4" s="9">
        <f>BDH(BLG$1,"PX_TO_BOOK_RATIO",DataStart,DataEnd,"Per=M","Days=A","Fill=P")</f>
        <v/>
      </c>
      <c r="BLI4" s="9">
        <f>BDH(BLI$1,"PX_TO_BOOK_RATIO",DataStart,DataEnd,"Per=M","Days=A","Fill=P")</f>
        <v/>
      </c>
      <c r="BLK4" s="9">
        <f>BDH(BLK$1,"PX_TO_BOOK_RATIO",DataStart,DataEnd,"Per=M","Days=A","Fill=P")</f>
        <v/>
      </c>
      <c r="BLM4" s="9">
        <f>BDH(BLM$1,"PX_TO_BOOK_RATIO",DataStart,DataEnd,"Per=M","Days=A","Fill=P")</f>
        <v/>
      </c>
      <c r="BLO4" s="9">
        <f>BDH(BLO$1,"PX_TO_BOOK_RATIO",DataStart,DataEnd,"Per=M","Days=A","Fill=P")</f>
        <v/>
      </c>
      <c r="BLQ4" s="9">
        <f>BDH(BLQ$1,"PX_TO_BOOK_RATIO",DataStart,DataEnd,"Per=M","Days=A","Fill=P")</f>
        <v/>
      </c>
      <c r="BLS4" s="9">
        <f>BDH(BLS$1,"PX_TO_BOOK_RATIO",DataStart,DataEnd,"Per=M","Days=A","Fill=P")</f>
        <v/>
      </c>
      <c r="BLU4" s="9">
        <f>BDH(BLU$1,"PX_TO_BOOK_RATIO",DataStart,DataEnd,"Per=M","Days=A","Fill=P")</f>
        <v/>
      </c>
      <c r="BLW4" s="9">
        <f>BDH(BLW$1,"PX_TO_BOOK_RATIO",DataStart,DataEnd,"Per=M","Days=A","Fill=P")</f>
        <v/>
      </c>
      <c r="BLY4" s="9">
        <f>BDH(BLY$1,"PX_TO_BOOK_RATIO",DataStart,DataEnd,"Per=M","Days=A","Fill=P")</f>
        <v/>
      </c>
      <c r="BMA4" s="9">
        <f>BDH(BMA$1,"PX_TO_BOOK_RATIO",DataStart,DataEnd,"Per=M","Days=A","Fill=P")</f>
        <v/>
      </c>
      <c r="BMC4" s="9">
        <f>BDH(BMC$1,"PX_TO_BOOK_RATIO",DataStart,DataEnd,"Per=M","Days=A","Fill=P")</f>
        <v/>
      </c>
      <c r="BME4" s="9">
        <f>BDH(BME$1,"PX_TO_BOOK_RATIO",DataStart,DataEnd,"Per=M","Days=A","Fill=P")</f>
        <v/>
      </c>
      <c r="BMG4" s="9">
        <f>BDH(BMG$1,"PX_TO_BOOK_RATIO",DataStart,DataEnd,"Per=M","Days=A","Fill=P")</f>
        <v/>
      </c>
      <c r="BMI4" s="9">
        <f>BDH(BMI$1,"PX_TO_BOOK_RATIO",DataStart,DataEnd,"Per=M","Days=A","Fill=P")</f>
        <v/>
      </c>
      <c r="BMK4" s="9">
        <f>BDH(BMK$1,"PX_TO_BOOK_RATIO",DataStart,DataEnd,"Per=M","Days=A","Fill=P")</f>
        <v/>
      </c>
      <c r="BMM4" s="9">
        <f>BDH(BMM$1,"PX_TO_BOOK_RATIO",DataStart,DataEnd,"Per=M","Days=A","Fill=P")</f>
        <v/>
      </c>
      <c r="BMO4" s="9">
        <f>BDH(BMO$1,"PX_TO_BOOK_RATIO",DataStart,DataEnd,"Per=M","Days=A","Fill=P")</f>
        <v/>
      </c>
      <c r="BMQ4" s="9">
        <f>BDH(BMQ$1,"PX_TO_BOOK_RATIO",DataStart,DataEnd,"Per=M","Days=A","Fill=P")</f>
        <v/>
      </c>
      <c r="BMS4" s="9">
        <f>BDH(BMS$1,"PX_TO_BOOK_RATIO",DataStart,DataEnd,"Per=M","Days=A","Fill=P")</f>
        <v/>
      </c>
      <c r="BMU4" s="9">
        <f>BDH(BMU$1,"PX_TO_BOOK_RATIO",DataStart,DataEnd,"Per=M","Days=A","Fill=P")</f>
        <v/>
      </c>
      <c r="BMW4" s="9">
        <f>BDH(BMW$1,"PX_TO_BOOK_RATIO",DataStart,DataEnd,"Per=M","Days=A","Fill=P")</f>
        <v/>
      </c>
      <c r="BMY4" s="9">
        <f>BDH(BMY$1,"PX_TO_BOOK_RATIO",DataStart,DataEnd,"Per=M","Days=A","Fill=P")</f>
        <v/>
      </c>
      <c r="BNA4" s="9">
        <f>BDH(BNA$1,"PX_TO_BOOK_RATIO",DataStart,DataEnd,"Per=M","Days=A","Fill=P")</f>
        <v/>
      </c>
      <c r="BNC4" s="9">
        <f>BDH(BNC$1,"PX_TO_BOOK_RATIO",DataStart,DataEnd,"Per=M","Days=A","Fill=P")</f>
        <v/>
      </c>
      <c r="BNE4" s="9">
        <f>BDH(BNE$1,"PX_TO_BOOK_RATIO",DataStart,DataEnd,"Per=M","Days=A","Fill=P")</f>
        <v/>
      </c>
      <c r="BNG4" s="9">
        <f>BDH(BNG$1,"PX_TO_BOOK_RATIO",DataStart,DataEnd,"Per=M","Days=A","Fill=P")</f>
        <v/>
      </c>
      <c r="BNI4" s="9">
        <f>BDH(BNI$1,"PX_TO_BOOK_RATIO",DataStart,DataEnd,"Per=M","Days=A","Fill=P")</f>
        <v/>
      </c>
      <c r="BNK4" s="9">
        <f>BDH(BNK$1,"PX_TO_BOOK_RATIO",DataStart,DataEnd,"Per=M","Days=A","Fill=P")</f>
        <v/>
      </c>
      <c r="BNM4" s="9">
        <f>BDH(BNM$1,"PX_TO_BOOK_RATIO",DataStart,DataEnd,"Per=M","Days=A","Fill=P")</f>
        <v/>
      </c>
      <c r="BNO4" s="9">
        <f>BDH(BNO$1,"PX_TO_BOOK_RATIO",DataStart,DataEnd,"Per=M","Days=A","Fill=P")</f>
        <v/>
      </c>
      <c r="BNQ4" s="9">
        <f>BDH(BNQ$1,"PX_TO_BOOK_RATIO",DataStart,DataEnd,"Per=M","Days=A","Fill=P")</f>
        <v/>
      </c>
      <c r="BNS4" s="9">
        <f>BDH(BNS$1,"PX_TO_BOOK_RATIO",DataStart,DataEnd,"Per=M","Days=A","Fill=P")</f>
        <v/>
      </c>
      <c r="BNU4" s="9">
        <f>BDH(BNU$1,"PX_TO_BOOK_RATIO",DataStart,DataEnd,"Per=M","Days=A","Fill=P")</f>
        <v/>
      </c>
      <c r="BNW4" s="9">
        <f>BDH(BNW$1,"PX_TO_BOOK_RATIO",DataStart,DataEnd,"Per=M","Days=A","Fill=P")</f>
        <v/>
      </c>
      <c r="BNY4" s="9">
        <f>BDH(BNY$1,"PX_TO_BOOK_RATIO",DataStart,DataEnd,"Per=M","Days=A","Fill=P")</f>
        <v/>
      </c>
      <c r="BOA4" s="9">
        <f>BDH(BOA$1,"PX_TO_BOOK_RATIO",DataStart,DataEnd,"Per=M","Days=A","Fill=P")</f>
        <v/>
      </c>
      <c r="BOC4" s="9">
        <f>BDH(BOC$1,"PX_TO_BOOK_RATIO",DataStart,DataEnd,"Per=M","Days=A","Fill=P")</f>
        <v/>
      </c>
      <c r="BOE4" s="9">
        <f>BDH(BOE$1,"PX_TO_BOOK_RATIO",DataStart,DataEnd,"Per=M","Days=A","Fill=P")</f>
        <v/>
      </c>
      <c r="BOG4" s="9">
        <f>BDH(BOG$1,"PX_TO_BOOK_RATIO",DataStart,DataEnd,"Per=M","Days=A","Fill=P")</f>
        <v/>
      </c>
      <c r="BOI4" s="9">
        <f>BDH(BOI$1,"PX_TO_BOOK_RATIO",DataStart,DataEnd,"Per=M","Days=A","Fill=P")</f>
        <v/>
      </c>
      <c r="BOK4" s="9">
        <f>BDH(BOK$1,"PX_TO_BOOK_RATIO",DataStart,DataEnd,"Per=M","Days=A","Fill=P")</f>
        <v/>
      </c>
      <c r="BOM4" s="9">
        <f>BDH(BOM$1,"PX_TO_BOOK_RATIO",DataStart,DataEnd,"Per=M","Days=A","Fill=P")</f>
        <v/>
      </c>
      <c r="BOO4" s="9">
        <f>BDH(BOO$1,"PX_TO_BOOK_RATIO",DataStart,DataEnd,"Per=M","Days=A","Fill=P")</f>
        <v/>
      </c>
      <c r="BOQ4" s="9">
        <f>BDH(BOQ$1,"PX_TO_BOOK_RATIO",DataStart,DataEnd,"Per=M","Days=A","Fill=P")</f>
        <v/>
      </c>
      <c r="BOS4" s="9">
        <f>BDH(BOS$1,"PX_TO_BOOK_RATIO",DataStart,DataEnd,"Per=M","Days=A","Fill=P")</f>
        <v/>
      </c>
      <c r="BOU4" s="9">
        <f>BDH(BOU$1,"PX_TO_BOOK_RATIO",DataStart,DataEnd,"Per=M","Days=A","Fill=P")</f>
        <v/>
      </c>
      <c r="BOW4" s="9">
        <f>BDH(BOW$1,"PX_TO_BOOK_RATIO",DataStart,DataEnd,"Per=M","Days=A","Fill=P")</f>
        <v/>
      </c>
      <c r="BOY4" s="9">
        <f>BDH(BOY$1,"PX_TO_BOOK_RATIO",DataStart,DataEnd,"Per=M","Days=A","Fill=P")</f>
        <v/>
      </c>
      <c r="BPA4" s="9">
        <f>BDH(BPA$1,"PX_TO_BOOK_RATIO",DataStart,DataEnd,"Per=M","Days=A","Fill=P")</f>
        <v/>
      </c>
      <c r="BPC4" s="9">
        <f>BDH(BPC$1,"PX_TO_BOOK_RATIO",DataStart,DataEnd,"Per=M","Days=A","Fill=P")</f>
        <v/>
      </c>
      <c r="BPE4" s="9">
        <f>BDH(BPE$1,"PX_TO_BOOK_RATIO",DataStart,DataEnd,"Per=M","Days=A","Fill=P")</f>
        <v/>
      </c>
      <c r="BPG4" s="9">
        <f>BDH(BPG$1,"PX_TO_BOOK_RATIO",DataStart,DataEnd,"Per=M","Days=A","Fill=P")</f>
        <v/>
      </c>
      <c r="BPI4" s="9">
        <f>BDH(BPI$1,"PX_TO_BOOK_RATIO",DataStart,DataEnd,"Per=M","Days=A","Fill=P")</f>
        <v/>
      </c>
      <c r="BPK4" s="9">
        <f>BDH(BPK$1,"PX_TO_BOOK_RATIO",DataStart,DataEnd,"Per=M","Days=A","Fill=P")</f>
        <v/>
      </c>
      <c r="BPM4" s="9">
        <f>BDH(BPM$1,"PX_TO_BOOK_RATIO",DataStart,DataEnd,"Per=M","Days=A","Fill=P")</f>
        <v/>
      </c>
      <c r="BPO4" s="9">
        <f>BDH(BPO$1,"PX_TO_BOOK_RATIO",DataStart,DataEnd,"Per=M","Days=A","Fill=P")</f>
        <v/>
      </c>
      <c r="BPQ4" s="9">
        <f>BDH(BPQ$1,"PX_TO_BOOK_RATIO",DataStart,DataEnd,"Per=M","Days=A","Fill=P")</f>
        <v/>
      </c>
      <c r="BPS4" s="9">
        <f>BDH(BPS$1,"PX_TO_BOOK_RATIO",DataStart,DataEnd,"Per=M","Days=A","Fill=P")</f>
        <v/>
      </c>
      <c r="BPU4" s="9">
        <f>BDH(BPU$1,"PX_TO_BOOK_RATIO",DataStart,DataEnd,"Per=M","Days=A","Fill=P")</f>
        <v/>
      </c>
      <c r="BPW4" s="9">
        <f>BDH(BPW$1,"PX_TO_BOOK_RATIO",DataStart,DataEnd,"Per=M","Days=A","Fill=P")</f>
        <v/>
      </c>
      <c r="BPY4" s="9">
        <f>BDH(BPY$1,"PX_TO_BOOK_RATIO",DataStart,DataEnd,"Per=M","Days=A","Fill=P")</f>
        <v/>
      </c>
      <c r="BQA4" s="9">
        <f>BDH(BQA$1,"PX_TO_BOOK_RATIO",DataStart,DataEnd,"Per=M","Days=A","Fill=P")</f>
        <v/>
      </c>
      <c r="BQC4" s="9">
        <f>BDH(BQC$1,"PX_TO_BOOK_RATIO",DataStart,DataEnd,"Per=M","Days=A","Fill=P")</f>
        <v/>
      </c>
      <c r="BQE4" s="9">
        <f>BDH(BQE$1,"PX_TO_BOOK_RATIO",DataStart,DataEnd,"Per=M","Days=A","Fill=P")</f>
        <v/>
      </c>
      <c r="BQG4" s="9">
        <f>BDH(BQG$1,"PX_TO_BOOK_RATIO",DataStart,DataEnd,"Per=M","Days=A","Fill=P")</f>
        <v/>
      </c>
      <c r="BQI4" s="9">
        <f>BDH(BQI$1,"PX_TO_BOOK_RATIO",DataStart,DataEnd,"Per=M","Days=A","Fill=P")</f>
        <v/>
      </c>
      <c r="BQK4" s="9">
        <f>BDH(BQK$1,"PX_TO_BOOK_RATIO",DataStart,DataEnd,"Per=M","Days=A","Fill=P")</f>
        <v/>
      </c>
      <c r="BQM4" s="9">
        <f>BDH(BQM$1,"PX_TO_BOOK_RATIO",DataStart,DataEnd,"Per=M","Days=A","Fill=P")</f>
        <v/>
      </c>
      <c r="BQO4" s="9">
        <f>BDH(BQO$1,"PX_TO_BOOK_RATIO",DataStart,DataEnd,"Per=M","Days=A","Fill=P")</f>
        <v/>
      </c>
      <c r="BQQ4" s="9">
        <f>BDH(BQQ$1,"PX_TO_BOOK_RATIO",DataStart,DataEnd,"Per=M","Days=A","Fill=P")</f>
        <v/>
      </c>
      <c r="BQS4" s="9">
        <f>BDH(BQS$1,"PX_TO_BOOK_RATIO",DataStart,DataEnd,"Per=M","Days=A","Fill=P")</f>
        <v/>
      </c>
      <c r="BQU4" s="9">
        <f>BDH(BQU$1,"PX_TO_BOOK_RATIO",DataStart,DataEnd,"Per=M","Days=A","Fill=P")</f>
        <v/>
      </c>
      <c r="BQW4" s="9">
        <f>BDH(BQW$1,"PX_TO_BOOK_RATIO",DataStart,DataEnd,"Per=M","Days=A","Fill=P")</f>
        <v/>
      </c>
      <c r="BQY4" s="9">
        <f>BDH(BQY$1,"PX_TO_BOOK_RATIO",DataStart,DataEnd,"Per=M","Days=A","Fill=P")</f>
        <v/>
      </c>
      <c r="BRA4" s="9">
        <f>BDH(BRA$1,"PX_TO_BOOK_RATIO",DataStart,DataEnd,"Per=M","Days=A","Fill=P")</f>
        <v/>
      </c>
      <c r="BRC4" s="9">
        <f>BDH(BRC$1,"PX_TO_BOOK_RATIO",DataStart,DataEnd,"Per=M","Days=A","Fill=P")</f>
        <v/>
      </c>
      <c r="BRE4" s="9">
        <f>BDH(BRE$1,"PX_TO_BOOK_RATIO",DataStart,DataEnd,"Per=M","Days=A","Fill=P")</f>
        <v/>
      </c>
      <c r="BRG4" s="9">
        <f>BDH(BRG$1,"PX_TO_BOOK_RATIO",DataStart,DataEnd,"Per=M","Days=A","Fill=P")</f>
        <v/>
      </c>
      <c r="BRI4" s="9">
        <f>BDH(BRI$1,"PX_TO_BOOK_RATIO",DataStart,DataEnd,"Per=M","Days=A","Fill=P")</f>
        <v/>
      </c>
      <c r="BRK4" s="9">
        <f>BDH(BRK$1,"PX_TO_BOOK_RATIO",DataStart,DataEnd,"Per=M","Days=A","Fill=P")</f>
        <v/>
      </c>
      <c r="BRM4" s="9">
        <f>BDH(BRM$1,"PX_TO_BOOK_RATIO",DataStart,DataEnd,"Per=M","Days=A","Fill=P")</f>
        <v/>
      </c>
      <c r="BRO4" s="9">
        <f>BDH(BRO$1,"PX_TO_BOOK_RATIO",DataStart,DataEnd,"Per=M","Days=A","Fill=P")</f>
        <v/>
      </c>
      <c r="BRQ4" s="9">
        <f>BDH(BRQ$1,"PX_TO_BOOK_RATIO",DataStart,DataEnd,"Per=M","Days=A","Fill=P")</f>
        <v/>
      </c>
      <c r="BRS4" s="9">
        <f>BDH(BRS$1,"PX_TO_BOOK_RATIO",DataStart,DataEnd,"Per=M","Days=A","Fill=P")</f>
        <v/>
      </c>
      <c r="BRU4" s="9">
        <f>BDH(BRU$1,"PX_TO_BOOK_RATIO",DataStart,DataEnd,"Per=M","Days=A","Fill=P")</f>
        <v/>
      </c>
      <c r="BRW4" s="9">
        <f>BDH(BRW$1,"PX_TO_BOOK_RATIO",DataStart,DataEnd,"Per=M","Days=A","Fill=P")</f>
        <v/>
      </c>
      <c r="BRY4" s="9">
        <f>BDH(BRY$1,"PX_TO_BOOK_RATIO",DataStart,DataEnd,"Per=M","Days=A","Fill=P")</f>
        <v/>
      </c>
      <c r="BSA4" s="9">
        <f>BDH(BSA$1,"PX_TO_BOOK_RATIO",DataStart,DataEnd,"Per=M","Days=A","Fill=P")</f>
        <v/>
      </c>
      <c r="BSC4" s="9">
        <f>BDH(BSC$1,"PX_TO_BOOK_RATIO",DataStart,DataEnd,"Per=M","Days=A","Fill=P")</f>
        <v/>
      </c>
      <c r="BSE4" s="9">
        <f>BDH(BSE$1,"PX_TO_BOOK_RATIO",DataStart,DataEnd,"Per=M","Days=A","Fill=P")</f>
        <v/>
      </c>
      <c r="BSG4" s="9">
        <f>BDH(BSG$1,"PX_TO_BOOK_RATIO",DataStart,DataEnd,"Per=M","Days=A","Fill=P")</f>
        <v/>
      </c>
      <c r="BSI4" s="9">
        <f>BDH(BSI$1,"PX_TO_BOOK_RATIO",DataStart,DataEnd,"Per=M","Days=A","Fill=P")</f>
        <v/>
      </c>
      <c r="BSK4" s="9">
        <f>BDH(BSK$1,"PX_TO_BOOK_RATIO",DataStart,DataEnd,"Per=M","Days=A","Fill=P")</f>
        <v/>
      </c>
      <c r="BSM4" s="9">
        <f>BDH(BSM$1,"PX_TO_BOOK_RATIO",DataStart,DataEnd,"Per=M","Days=A","Fill=P")</f>
        <v/>
      </c>
      <c r="BSO4" s="9">
        <f>BDH(BSO$1,"PX_TO_BOOK_RATIO",DataStart,DataEnd,"Per=M","Days=A","Fill=P")</f>
        <v/>
      </c>
      <c r="BSQ4" s="9">
        <f>BDH(BSQ$1,"PX_TO_BOOK_RATIO",DataStart,DataEnd,"Per=M","Days=A","Fill=P")</f>
        <v/>
      </c>
      <c r="BSS4" s="9">
        <f>BDH(BSS$1,"PX_TO_BOOK_RATIO",DataStart,DataEnd,"Per=M","Days=A","Fill=P")</f>
        <v/>
      </c>
      <c r="BSU4" s="9">
        <f>BDH(BSU$1,"PX_TO_BOOK_RATIO",DataStart,DataEnd,"Per=M","Days=A","Fill=P")</f>
        <v/>
      </c>
      <c r="BSW4" s="9">
        <f>BDH(BSW$1,"PX_TO_BOOK_RATIO",DataStart,DataEnd,"Per=M","Days=A","Fill=P")</f>
        <v/>
      </c>
      <c r="BSY4" s="9">
        <f>BDH(BSY$1,"PX_TO_BOOK_RATIO",DataStart,DataEnd,"Per=M","Days=A","Fill=P")</f>
        <v/>
      </c>
      <c r="BTA4" s="9">
        <f>BDH(BTA$1,"PX_TO_BOOK_RATIO",DataStart,DataEnd,"Per=M","Days=A","Fill=P")</f>
        <v/>
      </c>
      <c r="BTC4" s="9">
        <f>BDH(BTC$1,"PX_TO_BOOK_RATIO",DataStart,DataEnd,"Per=M","Days=A","Fill=P")</f>
        <v/>
      </c>
      <c r="BTE4" s="9">
        <f>BDH(BTE$1,"PX_TO_BOOK_RATIO",DataStart,DataEnd,"Per=M","Days=A","Fill=P")</f>
        <v/>
      </c>
      <c r="BTG4" s="9">
        <f>BDH(BTG$1,"PX_TO_BOOK_RATIO",DataStart,DataEnd,"Per=M","Days=A","Fill=P")</f>
        <v/>
      </c>
      <c r="BTI4" s="9">
        <f>BDH(BTI$1,"PX_TO_BOOK_RATIO",DataStart,DataEnd,"Per=M","Days=A","Fill=P")</f>
        <v/>
      </c>
      <c r="BTK4" s="9">
        <f>BDH(BTK$1,"PX_TO_BOOK_RATIO",DataStart,DataEnd,"Per=M","Days=A","Fill=P")</f>
        <v/>
      </c>
      <c r="BTM4" s="9">
        <f>BDH(BTM$1,"PX_TO_BOOK_RATIO",DataStart,DataEnd,"Per=M","Days=A","Fill=P")</f>
        <v/>
      </c>
      <c r="BTO4" s="9">
        <f>BDH(BTO$1,"PX_TO_BOOK_RATIO",DataStart,DataEnd,"Per=M","Days=A","Fill=P")</f>
        <v/>
      </c>
      <c r="BTQ4" s="9">
        <f>BDH(BTQ$1,"PX_TO_BOOK_RATIO",DataStart,DataEnd,"Per=M","Days=A","Fill=P")</f>
        <v/>
      </c>
      <c r="BTS4" s="9">
        <f>BDH(BTS$1,"PX_TO_BOOK_RATIO",DataStart,DataEnd,"Per=M","Days=A","Fill=P")</f>
        <v/>
      </c>
      <c r="BTU4" s="9">
        <f>BDH(BTU$1,"PX_TO_BOOK_RATIO",DataStart,DataEnd,"Per=M","Days=A","Fill=P")</f>
        <v/>
      </c>
      <c r="BTW4" s="9">
        <f>BDH(BTW$1,"PX_TO_BOOK_RATIO",DataStart,DataEnd,"Per=M","Days=A","Fill=P")</f>
        <v/>
      </c>
      <c r="BTY4" s="9">
        <f>BDH(BTY$1,"PX_TO_BOOK_RATIO",DataStart,DataEnd,"Per=M","Days=A","Fill=P")</f>
        <v/>
      </c>
      <c r="BUA4" s="9">
        <f>BDH(BUA$1,"PX_TO_BOOK_RATIO",DataStart,DataEnd,"Per=M","Days=A","Fill=P")</f>
        <v/>
      </c>
      <c r="BUC4" s="9">
        <f>BDH(BUC$1,"PX_TO_BOOK_RATIO",DataStart,DataEnd,"Per=M","Days=A","Fill=P")</f>
        <v/>
      </c>
      <c r="BUE4" s="9">
        <f>BDH(BUE$1,"PX_TO_BOOK_RATIO",DataStart,DataEnd,"Per=M","Days=A","Fill=P")</f>
        <v/>
      </c>
      <c r="BUG4" s="9">
        <f>BDH(BUG$1,"PX_TO_BOOK_RATIO",DataStart,DataEnd,"Per=M","Days=A","Fill=P")</f>
        <v/>
      </c>
      <c r="BUI4" s="9">
        <f>BDH(BUI$1,"PX_TO_BOOK_RATIO",DataStart,DataEnd,"Per=M","Days=A","Fill=P")</f>
        <v/>
      </c>
      <c r="BUK4" s="9">
        <f>BDH(BUK$1,"PX_TO_BOOK_RATIO",DataStart,DataEnd,"Per=M","Days=A","Fill=P")</f>
        <v/>
      </c>
      <c r="BUM4" s="9">
        <f>BDH(BUM$1,"PX_TO_BOOK_RATIO",DataStart,DataEnd,"Per=M","Days=A","Fill=P")</f>
        <v/>
      </c>
      <c r="BUO4" s="9">
        <f>BDH(BUO$1,"PX_TO_BOOK_RATIO",DataStart,DataEnd,"Per=M","Days=A","Fill=P")</f>
        <v/>
      </c>
      <c r="BUQ4" s="9">
        <f>BDH(BUQ$1,"PX_TO_BOOK_RATIO",DataStart,DataEnd,"Per=M","Days=A","Fill=P")</f>
        <v/>
      </c>
      <c r="BUS4" s="9">
        <f>BDH(BUS$1,"PX_TO_BOOK_RATIO",DataStart,DataEnd,"Per=M","Days=A","Fill=P")</f>
        <v/>
      </c>
      <c r="BUU4" s="9">
        <f>BDH(BUU$1,"PX_TO_BOOK_RATIO",DataStart,DataEnd,"Per=M","Days=A","Fill=P")</f>
        <v/>
      </c>
      <c r="BUW4" s="9">
        <f>BDH(BUW$1,"PX_TO_BOOK_RATIO",DataStart,DataEnd,"Per=M","Days=A","Fill=P")</f>
        <v/>
      </c>
      <c r="BUY4" s="9">
        <f>BDH(BUY$1,"PX_TO_BOOK_RATIO",DataStart,DataEnd,"Per=M","Days=A","Fill=P")</f>
        <v/>
      </c>
      <c r="BVA4" s="9">
        <f>BDH(BVA$1,"PX_TO_BOOK_RATIO",DataStart,DataEnd,"Per=M","Days=A","Fill=P")</f>
        <v/>
      </c>
      <c r="BVC4" s="9">
        <f>BDH(BVC$1,"PX_TO_BOOK_RATIO",DataStart,DataEnd,"Per=M","Days=A","Fill=P")</f>
        <v/>
      </c>
      <c r="BVE4" s="9">
        <f>BDH(BVE$1,"PX_TO_BOOK_RATIO",DataStart,DataEnd,"Per=M","Days=A","Fill=P")</f>
        <v/>
      </c>
      <c r="BVG4" s="9">
        <f>BDH(BVG$1,"PX_TO_BOOK_RATIO",DataStart,DataEnd,"Per=M","Days=A","Fill=P")</f>
        <v/>
      </c>
      <c r="BVI4" s="9">
        <f>BDH(BVI$1,"PX_TO_BOOK_RATIO",DataStart,DataEnd,"Per=M","Days=A","Fill=P")</f>
        <v/>
      </c>
      <c r="BVK4" s="9">
        <f>BDH(BVK$1,"PX_TO_BOOK_RATIO",DataStart,DataEnd,"Per=M","Days=A","Fill=P")</f>
        <v/>
      </c>
      <c r="BVM4" s="9">
        <f>BDH(BVM$1,"PX_TO_BOOK_RATIO",DataStart,DataEnd,"Per=M","Days=A","Fill=P")</f>
        <v/>
      </c>
      <c r="BVO4" s="9">
        <f>BDH(BVO$1,"PX_TO_BOOK_RATIO",DataStart,DataEnd,"Per=M","Days=A","Fill=P")</f>
        <v/>
      </c>
      <c r="BVQ4" s="9">
        <f>BDH(BVQ$1,"PX_TO_BOOK_RATIO",DataStart,DataEnd,"Per=M","Days=A","Fill=P")</f>
        <v/>
      </c>
      <c r="BVS4" s="9">
        <f>BDH(BVS$1,"PX_TO_BOOK_RATIO",DataStart,DataEnd,"Per=M","Days=A","Fill=P")</f>
        <v/>
      </c>
      <c r="BVU4" s="9">
        <f>BDH(BVU$1,"PX_TO_BOOK_RATIO",DataStart,DataEnd,"Per=M","Days=A","Fill=P")</f>
        <v/>
      </c>
      <c r="BVW4" s="9">
        <f>BDH(BVW$1,"PX_TO_BOOK_RATIO",DataStart,DataEnd,"Per=M","Days=A","Fill=P")</f>
        <v/>
      </c>
      <c r="BVY4" s="9">
        <f>BDH(BVY$1,"PX_TO_BOOK_RATIO",DataStart,DataEnd,"Per=M","Days=A","Fill=P")</f>
        <v/>
      </c>
      <c r="BWA4" s="9">
        <f>BDH(BWA$1,"PX_TO_BOOK_RATIO",DataStart,DataEnd,"Per=M","Days=A","Fill=P")</f>
        <v/>
      </c>
      <c r="BWC4" s="9">
        <f>BDH(BWC$1,"PX_TO_BOOK_RATIO",DataStart,DataEnd,"Per=M","Days=A","Fill=P")</f>
        <v/>
      </c>
      <c r="BWE4" s="9">
        <f>BDH(BWE$1,"PX_TO_BOOK_RATIO",DataStart,DataEnd,"Per=M","Days=A","Fill=P")</f>
        <v/>
      </c>
      <c r="BWG4" s="9">
        <f>BDH(BWG$1,"PX_TO_BOOK_RATIO",DataStart,DataEnd,"Per=M","Days=A","Fill=P")</f>
        <v/>
      </c>
      <c r="BWI4" s="9">
        <f>BDH(BWI$1,"PX_TO_BOOK_RATIO",DataStart,DataEnd,"Per=M","Days=A","Fill=P")</f>
        <v/>
      </c>
      <c r="BWK4" s="9">
        <f>BDH(BWK$1,"PX_TO_BOOK_RATIO",DataStart,DataEnd,"Per=M","Days=A","Fill=P")</f>
        <v/>
      </c>
      <c r="BWM4" s="9">
        <f>BDH(BWM$1,"PX_TO_BOOK_RATIO",DataStart,DataEnd,"Per=M","Days=A","Fill=P")</f>
        <v/>
      </c>
      <c r="BWO4" s="9">
        <f>BDH(BWO$1,"PX_TO_BOOK_RATIO",DataStart,DataEnd,"Per=M","Days=A","Fill=P")</f>
        <v/>
      </c>
      <c r="BWQ4" s="9">
        <f>BDH(BWQ$1,"PX_TO_BOOK_RATIO",DataStart,DataEnd,"Per=M","Days=A","Fill=P")</f>
        <v/>
      </c>
      <c r="BWS4" s="9">
        <f>BDH(BWS$1,"PX_TO_BOOK_RATIO",DataStart,DataEnd,"Per=M","Days=A","Fill=P")</f>
        <v/>
      </c>
      <c r="BWU4" s="9">
        <f>BDH(BWU$1,"PX_TO_BOOK_RATIO",DataStart,DataEnd,"Per=M","Days=A","Fill=P")</f>
        <v/>
      </c>
      <c r="BWW4" s="9">
        <f>BDH(BWW$1,"PX_TO_BOOK_RATIO",DataStart,DataEnd,"Per=M","Days=A","Fill=P")</f>
        <v/>
      </c>
      <c r="BWY4" s="9">
        <f>BDH(BWY$1,"PX_TO_BOOK_RATIO",DataStart,DataEnd,"Per=M","Days=A","Fill=P")</f>
        <v/>
      </c>
      <c r="BXA4" s="9">
        <f>BDH(BXA$1,"PX_TO_BOOK_RATIO",DataStart,DataEnd,"Per=M","Days=A","Fill=P")</f>
        <v/>
      </c>
      <c r="BXC4" s="9">
        <f>BDH(BXC$1,"PX_TO_BOOK_RATIO",DataStart,DataEnd,"Per=M","Days=A","Fill=P")</f>
        <v/>
      </c>
      <c r="BXE4" s="9">
        <f>BDH(BXE$1,"PX_TO_BOOK_RATIO",DataStart,DataEnd,"Per=M","Days=A","Fill=P")</f>
        <v/>
      </c>
      <c r="BXG4" s="9">
        <f>BDH(BXG$1,"PX_TO_BOOK_RATIO",DataStart,DataEnd,"Per=M","Days=A","Fill=P")</f>
        <v/>
      </c>
      <c r="BXI4" s="9">
        <f>BDH(BXI$1,"PX_TO_BOOK_RATIO",DataStart,DataEnd,"Per=M","Days=A","Fill=P")</f>
        <v/>
      </c>
      <c r="BXK4" s="9">
        <f>BDH(BXK$1,"PX_TO_BOOK_RATIO",DataStart,DataEnd,"Per=M","Days=A","Fill=P")</f>
        <v/>
      </c>
      <c r="BXM4" s="9">
        <f>BDH(BXM$1,"PX_TO_BOOK_RATIO",DataStart,DataEnd,"Per=M","Days=A","Fill=P")</f>
        <v/>
      </c>
      <c r="BXO4" s="9">
        <f>BDH(BXO$1,"PX_TO_BOOK_RATIO",DataStart,DataEnd,"Per=M","Days=A","Fill=P")</f>
        <v/>
      </c>
      <c r="BXQ4" s="9">
        <f>BDH(BXQ$1,"PX_TO_BOOK_RATIO",DataStart,DataEnd,"Per=M","Days=A","Fill=P")</f>
        <v/>
      </c>
      <c r="BXS4" s="9">
        <f>BDH(BXS$1,"PX_TO_BOOK_RATIO",DataStart,DataEnd,"Per=M","Days=A","Fill=P")</f>
        <v/>
      </c>
      <c r="BXU4" s="9">
        <f>BDH(BXU$1,"PX_TO_BOOK_RATIO",DataStart,DataEnd,"Per=M","Days=A","Fill=P")</f>
        <v/>
      </c>
      <c r="BXW4" s="9">
        <f>BDH(BXW$1,"PX_TO_BOOK_RATIO",DataStart,DataEnd,"Per=M","Days=A","Fill=P")</f>
        <v/>
      </c>
      <c r="BXY4" s="9">
        <f>BDH(BXY$1,"PX_TO_BOOK_RATIO",DataStart,DataEnd,"Per=M","Days=A","Fill=P")</f>
        <v/>
      </c>
      <c r="BYA4" s="9">
        <f>BDH(BYA$1,"PX_TO_BOOK_RATIO",DataStart,DataEnd,"Per=M","Days=A","Fill=P")</f>
        <v/>
      </c>
      <c r="BYC4" s="9">
        <f>BDH(BYC$1,"PX_TO_BOOK_RATIO",DataStart,DataEnd,"Per=M","Days=A","Fill=P")</f>
        <v/>
      </c>
      <c r="BYE4" s="9">
        <f>BDH(BYE$1,"PX_TO_BOOK_RATIO",DataStart,DataEnd,"Per=M","Days=A","Fill=P")</f>
        <v/>
      </c>
      <c r="BYG4" s="9">
        <f>BDH(BYG$1,"PX_TO_BOOK_RATIO",DataStart,DataEnd,"Per=M","Days=A","Fill=P")</f>
        <v/>
      </c>
      <c r="BYI4" s="9">
        <f>BDH(BYI$1,"PX_TO_BOOK_RATIO",DataStart,DataEnd,"Per=M","Days=A","Fill=P")</f>
        <v/>
      </c>
      <c r="BYK4" s="9">
        <f>BDH(BYK$1,"PX_TO_BOOK_RATIO",DataStart,DataEnd,"Per=M","Days=A","Fill=P")</f>
        <v/>
      </c>
      <c r="BYM4" s="9">
        <f>BDH(BYM$1,"PX_TO_BOOK_RATIO",DataStart,DataEnd,"Per=M","Days=A","Fill=P")</f>
        <v/>
      </c>
      <c r="BYO4" s="9">
        <f>BDH(BYO$1,"PX_TO_BOOK_RATIO",DataStart,DataEnd,"Per=M","Days=A","Fill=P")</f>
        <v/>
      </c>
      <c r="BYQ4" s="9">
        <f>BDH(BYQ$1,"PX_TO_BOOK_RATIO",DataStart,DataEnd,"Per=M","Days=A","Fill=P")</f>
        <v/>
      </c>
      <c r="BYS4" s="9">
        <f>BDH(BYS$1,"PX_TO_BOOK_RATIO",DataStart,DataEnd,"Per=M","Days=A","Fill=P")</f>
        <v/>
      </c>
      <c r="BYU4" s="9">
        <f>BDH(BYU$1,"PX_TO_BOOK_RATIO",DataStart,DataEnd,"Per=M","Days=A","Fill=P")</f>
        <v/>
      </c>
      <c r="BYW4" s="9">
        <f>BDH(BYW$1,"PX_TO_BOOK_RATIO",DataStart,DataEnd,"Per=M","Days=A","Fill=P")</f>
        <v/>
      </c>
      <c r="BYY4" s="9">
        <f>BDH(BYY$1,"PX_TO_BOOK_RATIO",DataStart,DataEnd,"Per=M","Days=A","Fill=P")</f>
        <v/>
      </c>
      <c r="BZA4" s="9">
        <f>BDH(BZA$1,"PX_TO_BOOK_RATIO",DataStart,DataEnd,"Per=M","Days=A","Fill=P")</f>
        <v/>
      </c>
      <c r="BZC4" s="9">
        <f>BDH(BZC$1,"PX_TO_BOOK_RATIO",DataStart,DataEnd,"Per=M","Days=A","Fill=P")</f>
        <v/>
      </c>
      <c r="BZE4" s="9">
        <f>BDH(BZE$1,"PX_TO_BOOK_RATIO",DataStart,DataEnd,"Per=M","Days=A","Fill=P")</f>
        <v/>
      </c>
      <c r="BZG4" s="9">
        <f>BDH(BZG$1,"PX_TO_BOOK_RATIO",DataStart,DataEnd,"Per=M","Days=A","Fill=P")</f>
        <v/>
      </c>
      <c r="BZI4" s="9">
        <f>BDH(BZI$1,"PX_TO_BOOK_RATIO",DataStart,DataEnd,"Per=M","Days=A","Fill=P")</f>
        <v/>
      </c>
      <c r="BZK4" s="9">
        <f>BDH(BZK$1,"PX_TO_BOOK_RATIO",DataStart,DataEnd,"Per=M","Days=A","Fill=P")</f>
        <v/>
      </c>
      <c r="BZM4" s="9">
        <f>BDH(BZM$1,"PX_TO_BOOK_RATIO",DataStart,DataEnd,"Per=M","Days=A","Fill=P")</f>
        <v/>
      </c>
      <c r="BZO4" s="9">
        <f>BDH(BZO$1,"PX_TO_BOOK_RATIO",DataStart,DataEnd,"Per=M","Days=A","Fill=P")</f>
        <v/>
      </c>
      <c r="BZQ4" s="9">
        <f>BDH(BZQ$1,"PX_TO_BOOK_RATIO",DataStart,DataEnd,"Per=M","Days=A","Fill=P")</f>
        <v/>
      </c>
      <c r="BZS4" s="9">
        <f>BDH(BZS$1,"PX_TO_BOOK_RATIO",DataStart,DataEnd,"Per=M","Days=A","Fill=P")</f>
        <v/>
      </c>
      <c r="BZU4" s="9">
        <f>BDH(BZU$1,"PX_TO_BOOK_RATIO",DataStart,DataEnd,"Per=M","Days=A","Fill=P")</f>
        <v/>
      </c>
      <c r="BZW4" s="9">
        <f>BDH(BZW$1,"PX_TO_BOOK_RATIO",DataStart,DataEnd,"Per=M","Days=A","Fill=P")</f>
        <v/>
      </c>
      <c r="BZY4" s="9">
        <f>BDH(BZY$1,"PX_TO_BOOK_RATIO",DataStart,DataEnd,"Per=M","Days=A","Fill=P")</f>
        <v/>
      </c>
      <c r="CAA4" s="9">
        <f>BDH(CAA$1,"PX_TO_BOOK_RATIO",DataStart,DataEnd,"Per=M","Days=A","Fill=P")</f>
        <v/>
      </c>
      <c r="CAC4" s="9">
        <f>BDH(CAC$1,"PX_TO_BOOK_RATIO",DataStart,DataEnd,"Per=M","Days=A","Fill=P")</f>
        <v/>
      </c>
      <c r="CAE4" s="9">
        <f>BDH(CAE$1,"PX_TO_BOOK_RATIO",DataStart,DataEnd,"Per=M","Days=A","Fill=P")</f>
        <v/>
      </c>
      <c r="CAG4" s="9">
        <f>BDH(CAG$1,"PX_TO_BOOK_RATIO",DataStart,DataEnd,"Per=M","Days=A","Fill=P")</f>
        <v/>
      </c>
      <c r="CAI4" s="9">
        <f>BDH(CAI$1,"PX_TO_BOOK_RATIO",DataStart,DataEnd,"Per=M","Days=A","Fill=P")</f>
        <v/>
      </c>
      <c r="CAK4" s="9">
        <f>BDH(CAK$1,"PX_TO_BOOK_RATIO",DataStart,DataEnd,"Per=M","Days=A","Fill=P")</f>
        <v/>
      </c>
      <c r="CAM4" s="9">
        <f>BDH(CAM$1,"PX_TO_BOOK_RATIO",DataStart,DataEnd,"Per=M","Days=A","Fill=P")</f>
        <v/>
      </c>
      <c r="CAO4" s="9">
        <f>BDH(CAO$1,"PX_TO_BOOK_RATIO",DataStart,DataEnd,"Per=M","Days=A","Fill=P")</f>
        <v/>
      </c>
      <c r="CAQ4" s="9">
        <f>BDH(CAQ$1,"PX_TO_BOOK_RATIO",DataStart,DataEnd,"Per=M","Days=A","Fill=P")</f>
        <v/>
      </c>
      <c r="CAS4" s="9">
        <f>BDH(CAS$1,"PX_TO_BOOK_RATIO",DataStart,DataEnd,"Per=M","Days=A","Fill=P")</f>
        <v/>
      </c>
      <c r="CAU4" s="9">
        <f>BDH(CAU$1,"PX_TO_BOOK_RATIO",DataStart,DataEnd,"Per=M","Days=A","Fill=P")</f>
        <v/>
      </c>
      <c r="CAW4" s="9">
        <f>BDH(CAW$1,"PX_TO_BOOK_RATIO",DataStart,DataEnd,"Per=M","Days=A","Fill=P")</f>
        <v/>
      </c>
      <c r="CAY4" s="9">
        <f>BDH(CAY$1,"PX_TO_BOOK_RATIO",DataStart,DataEnd,"Per=M","Days=A","Fill=P")</f>
        <v/>
      </c>
      <c r="CBA4" s="9">
        <f>BDH(CBA$1,"PX_TO_BOOK_RATIO",DataStart,DataEnd,"Per=M","Days=A","Fill=P")</f>
        <v/>
      </c>
      <c r="CBC4" s="9">
        <f>BDH(CBC$1,"PX_TO_BOOK_RATIO",DataStart,DataEnd,"Per=M","Days=A","Fill=P")</f>
        <v/>
      </c>
      <c r="CBE4" s="9">
        <f>BDH(CBE$1,"PX_TO_BOOK_RATIO",DataStart,DataEnd,"Per=M","Days=A","Fill=P")</f>
        <v/>
      </c>
      <c r="CBG4" s="9">
        <f>BDH(CBG$1,"PX_TO_BOOK_RATIO",DataStart,DataEnd,"Per=M","Days=A","Fill=P")</f>
        <v/>
      </c>
      <c r="CBI4" s="9">
        <f>BDH(CBI$1,"PX_TO_BOOK_RATIO",DataStart,DataEnd,"Per=M","Days=A","Fill=P")</f>
        <v/>
      </c>
      <c r="CBK4" s="9">
        <f>BDH(CBK$1,"PX_TO_BOOK_RATIO",DataStart,DataEnd,"Per=M","Days=A","Fill=P")</f>
        <v/>
      </c>
      <c r="CBM4" s="9">
        <f>BDH(CBM$1,"PX_TO_BOOK_RATIO",DataStart,DataEnd,"Per=M","Days=A","Fill=P")</f>
        <v/>
      </c>
      <c r="CBO4" s="9">
        <f>BDH(CBO$1,"PX_TO_BOOK_RATIO",DataStart,DataEnd,"Per=M","Days=A","Fill=P")</f>
        <v/>
      </c>
      <c r="CBQ4" s="9">
        <f>BDH(CBQ$1,"PX_TO_BOOK_RATIO",DataStart,DataEnd,"Per=M","Days=A","Fill=P")</f>
        <v/>
      </c>
      <c r="CBS4" s="9">
        <f>BDH(CBS$1,"PX_TO_BOOK_RATIO",DataStart,DataEnd,"Per=M","Days=A","Fill=P")</f>
        <v/>
      </c>
      <c r="CBU4" s="9">
        <f>BDH(CBU$1,"PX_TO_BOOK_RATIO",DataStart,DataEnd,"Per=M","Days=A","Fill=P")</f>
        <v/>
      </c>
      <c r="CBW4" s="9">
        <f>BDH(CBW$1,"PX_TO_BOOK_RATIO",DataStart,DataEnd,"Per=M","Days=A","Fill=P")</f>
        <v/>
      </c>
      <c r="CBY4" s="9">
        <f>BDH(CBY$1,"PX_TO_BOOK_RATIO",DataStart,DataEnd,"Per=M","Days=A","Fill=P")</f>
        <v/>
      </c>
      <c r="CCA4" s="9">
        <f>BDH(CCA$1,"PX_TO_BOOK_RATIO",DataStart,DataEnd,"Per=M","Days=A","Fill=P")</f>
        <v/>
      </c>
      <c r="CCC4" s="9">
        <f>BDH(CCC$1,"PX_TO_BOOK_RATIO",DataStart,DataEnd,"Per=M","Days=A","Fill=P")</f>
        <v/>
      </c>
      <c r="CCE4" s="9">
        <f>BDH(CCE$1,"PX_TO_BOOK_RATIO",DataStart,DataEnd,"Per=M","Days=A","Fill=P")</f>
        <v/>
      </c>
      <c r="CCG4" s="9">
        <f>BDH(CCG$1,"PX_TO_BOOK_RATIO",DataStart,DataEnd,"Per=M","Days=A","Fill=P")</f>
        <v/>
      </c>
      <c r="CCI4" s="9">
        <f>BDH(CCI$1,"PX_TO_BOOK_RATIO",DataStart,DataEnd,"Per=M","Days=A","Fill=P")</f>
        <v/>
      </c>
      <c r="CCK4" s="9">
        <f>BDH(CCK$1,"PX_TO_BOOK_RATIO",DataStart,DataEnd,"Per=M","Days=A","Fill=P")</f>
        <v/>
      </c>
      <c r="CCM4" s="9">
        <f>BDH(CCM$1,"PX_TO_BOOK_RATIO",DataStart,DataEnd,"Per=M","Days=A","Fill=P")</f>
        <v/>
      </c>
      <c r="CCO4" s="9">
        <f>BDH(CCO$1,"PX_TO_BOOK_RATIO",DataStart,DataEnd,"Per=M","Days=A","Fill=P")</f>
        <v/>
      </c>
      <c r="CCQ4" s="9">
        <f>BDH(CCQ$1,"PX_TO_BOOK_RATIO",DataStart,DataEnd,"Per=M","Days=A","Fill=P")</f>
        <v/>
      </c>
      <c r="CCS4" s="9">
        <f>BDH(CCS$1,"PX_TO_BOOK_RATIO",DataStart,DataEnd,"Per=M","Days=A","Fill=P")</f>
        <v/>
      </c>
      <c r="CCU4" s="9">
        <f>BDH(CCU$1,"PX_TO_BOOK_RATIO",DataStart,DataEnd,"Per=M","Days=A","Fill=P")</f>
        <v/>
      </c>
      <c r="CCW4" s="9">
        <f>BDH(CCW$1,"PX_TO_BOOK_RATIO",DataStart,DataEnd,"Per=M","Days=A","Fill=P")</f>
        <v/>
      </c>
      <c r="CCY4" s="9">
        <f>BDH(CCY$1,"PX_TO_BOOK_RATIO",DataStart,DataEnd,"Per=M","Days=A","Fill=P")</f>
        <v/>
      </c>
      <c r="CDA4" s="9">
        <f>BDH(CDA$1,"PX_TO_BOOK_RATIO",DataStart,DataEnd,"Per=M","Days=A","Fill=P")</f>
        <v/>
      </c>
      <c r="CDC4" s="9">
        <f>BDH(CDC$1,"PX_TO_BOOK_RATIO",DataStart,DataEnd,"Per=M","Days=A","Fill=P")</f>
        <v/>
      </c>
      <c r="CDE4" s="9">
        <f>BDH(CDE$1,"PX_TO_BOOK_RATIO",DataStart,DataEnd,"Per=M","Days=A","Fill=P")</f>
        <v/>
      </c>
      <c r="CDG4" s="9">
        <f>BDH(CDG$1,"PX_TO_BOOK_RATIO",DataStart,DataEnd,"Per=M","Days=A","Fill=P")</f>
        <v/>
      </c>
      <c r="CDI4" s="9">
        <f>BDH(CDI$1,"PX_TO_BOOK_RATIO",DataStart,DataEnd,"Per=M","Days=A","Fill=P")</f>
        <v/>
      </c>
      <c r="CDK4" s="9">
        <f>BDH(CDK$1,"PX_TO_BOOK_RATIO",DataStart,DataEnd,"Per=M","Days=A","Fill=P")</f>
        <v/>
      </c>
      <c r="CDM4" s="9">
        <f>BDH(CDM$1,"PX_TO_BOOK_RATIO",DataStart,DataEnd,"Per=M","Days=A","Fill=P")</f>
        <v/>
      </c>
      <c r="CDO4" s="9">
        <f>BDH(CDO$1,"PX_TO_BOOK_RATIO",DataStart,DataEnd,"Per=M","Days=A","Fill=P")</f>
        <v/>
      </c>
      <c r="CDQ4" s="9">
        <f>BDH(CDQ$1,"PX_TO_BOOK_RATIO",DataStart,DataEnd,"Per=M","Days=A","Fill=P")</f>
        <v/>
      </c>
      <c r="CDS4" s="9">
        <f>BDH(CDS$1,"PX_TO_BOOK_RATIO",DataStart,DataEnd,"Per=M","Days=A","Fill=P")</f>
        <v/>
      </c>
      <c r="CDU4" s="9">
        <f>BDH(CDU$1,"PX_TO_BOOK_RATIO",DataStart,DataEnd,"Per=M","Days=A","Fill=P")</f>
        <v/>
      </c>
      <c r="CDW4" s="9">
        <f>BDH(CDW$1,"PX_TO_BOOK_RATIO",DataStart,DataEnd,"Per=M","Days=A","Fill=P")</f>
        <v/>
      </c>
      <c r="CDY4" s="9">
        <f>BDH(CDY$1,"PX_TO_BOOK_RATIO",DataStart,DataEnd,"Per=M","Days=A","Fill=P")</f>
        <v/>
      </c>
      <c r="CEA4" s="9">
        <f>BDH(CEA$1,"PX_TO_BOOK_RATIO",DataStart,DataEnd,"Per=M","Days=A","Fill=P")</f>
        <v/>
      </c>
      <c r="CEC4" s="9">
        <f>BDH(CEC$1,"PX_TO_BOOK_RATIO",DataStart,DataEnd,"Per=M","Days=A","Fill=P")</f>
        <v/>
      </c>
      <c r="CEE4" s="9">
        <f>BDH(CEE$1,"PX_TO_BOOK_RATIO",DataStart,DataEnd,"Per=M","Days=A","Fill=P")</f>
        <v/>
      </c>
      <c r="CEG4" s="9">
        <f>BDH(CEG$1,"PX_TO_BOOK_RATIO",DataStart,DataEnd,"Per=M","Days=A","Fill=P")</f>
        <v/>
      </c>
      <c r="CEI4" s="9">
        <f>BDH(CEI$1,"PX_TO_BOOK_RATIO",DataStart,DataEnd,"Per=M","Days=A","Fill=P")</f>
        <v/>
      </c>
      <c r="CEK4" s="9">
        <f>BDH(CEK$1,"PX_TO_BOOK_RATIO",DataStart,DataEnd,"Per=M","Days=A","Fill=P")</f>
        <v/>
      </c>
      <c r="CEM4" s="9">
        <f>BDH(CEM$1,"PX_TO_BOOK_RATIO",DataStart,DataEnd,"Per=M","Days=A","Fill=P")</f>
        <v/>
      </c>
      <c r="CEO4" s="9">
        <f>BDH(CEO$1,"PX_TO_BOOK_RATIO",DataStart,DataEnd,"Per=M","Days=A","Fill=P")</f>
        <v/>
      </c>
      <c r="CEQ4" s="9">
        <f>BDH(CEQ$1,"PX_TO_BOOK_RATIO",DataStart,DataEnd,"Per=M","Days=A","Fill=P")</f>
        <v/>
      </c>
      <c r="CES4" s="9">
        <f>BDH(CES$1,"PX_TO_BOOK_RATIO",DataStart,DataEnd,"Per=M","Days=A","Fill=P")</f>
        <v/>
      </c>
      <c r="CEU4" s="9">
        <f>BDH(CEU$1,"PX_TO_BOOK_RATIO",DataStart,DataEnd,"Per=M","Days=A","Fill=P")</f>
        <v/>
      </c>
      <c r="CEW4" s="9">
        <f>BDH(CEW$1,"PX_TO_BOOK_RATIO",DataStart,DataEnd,"Per=M","Days=A","Fill=P")</f>
        <v/>
      </c>
      <c r="CEY4" s="9">
        <f>BDH(CEY$1,"PX_TO_BOOK_RATIO",DataStart,DataEnd,"Per=M","Days=A","Fill=P")</f>
        <v/>
      </c>
      <c r="CFA4" s="9">
        <f>BDH(CFA$1,"PX_TO_BOOK_RATIO",DataStart,DataEnd,"Per=M","Days=A","Fill=P")</f>
        <v/>
      </c>
      <c r="CFC4" s="9">
        <f>BDH(CFC$1,"PX_TO_BOOK_RATIO",DataStart,DataEnd,"Per=M","Days=A","Fill=P")</f>
        <v/>
      </c>
      <c r="CFE4" s="9">
        <f>BDH(CFE$1,"PX_TO_BOOK_RATIO",DataStart,DataEnd,"Per=M","Days=A","Fill=P")</f>
        <v/>
      </c>
      <c r="CFG4" s="9">
        <f>BDH(CFG$1,"PX_TO_BOOK_RATIO",DataStart,DataEnd,"Per=M","Days=A","Fill=P")</f>
        <v/>
      </c>
      <c r="CFI4" s="9">
        <f>BDH(CFI$1,"PX_TO_BOOK_RATIO",DataStart,DataEnd,"Per=M","Days=A","Fill=P")</f>
        <v/>
      </c>
      <c r="CFK4" s="9">
        <f>BDH(CFK$1,"PX_TO_BOOK_RATIO",DataStart,DataEnd,"Per=M","Days=A","Fill=P")</f>
        <v/>
      </c>
      <c r="CFM4" s="9">
        <f>BDH(CFM$1,"PX_TO_BOOK_RATIO",DataStart,DataEnd,"Per=M","Days=A","Fill=P")</f>
        <v/>
      </c>
      <c r="CFO4" s="9">
        <f>BDH(CFO$1,"PX_TO_BOOK_RATIO",DataStart,DataEnd,"Per=M","Days=A","Fill=P")</f>
        <v/>
      </c>
      <c r="CFQ4" s="9">
        <f>BDH(CFQ$1,"PX_TO_BOOK_RATIO",DataStart,DataEnd,"Per=M","Days=A","Fill=P")</f>
        <v/>
      </c>
      <c r="CFS4" s="9">
        <f>BDH(CFS$1,"PX_TO_BOOK_RATIO",DataStart,DataEnd,"Per=M","Days=A","Fill=P")</f>
        <v/>
      </c>
      <c r="CFU4" s="9">
        <f>BDH(CFU$1,"PX_TO_BOOK_RATIO",DataStart,DataEnd,"Per=M","Days=A","Fill=P")</f>
        <v/>
      </c>
      <c r="CFW4" s="9">
        <f>BDH(CFW$1,"PX_TO_BOOK_RATIO",DataStart,DataEnd,"Per=M","Days=A","Fill=P")</f>
        <v/>
      </c>
      <c r="CFY4" s="9">
        <f>BDH(CFY$1,"PX_TO_BOOK_RATIO",DataStart,DataEnd,"Per=M","Days=A","Fill=P")</f>
        <v/>
      </c>
      <c r="CGA4" s="9">
        <f>BDH(CGA$1,"PX_TO_BOOK_RATIO",DataStart,DataEnd,"Per=M","Days=A","Fill=P")</f>
        <v/>
      </c>
      <c r="CGC4" s="9">
        <f>BDH(CGC$1,"PX_TO_BOOK_RATIO",DataStart,DataEnd,"Per=M","Days=A","Fill=P")</f>
        <v/>
      </c>
      <c r="CGE4" s="9">
        <f>BDH(CGE$1,"PX_TO_BOOK_RATIO",DataStart,DataEnd,"Per=M","Days=A","Fill=P")</f>
        <v/>
      </c>
      <c r="CGG4" s="9">
        <f>BDH(CGG$1,"PX_TO_BOOK_RATIO",DataStart,DataEnd,"Per=M","Days=A","Fill=P")</f>
        <v/>
      </c>
      <c r="CGI4" s="9">
        <f>BDH(CGI$1,"PX_TO_BOOK_RATIO",DataStart,DataEnd,"Per=M","Days=A","Fill=P")</f>
        <v/>
      </c>
      <c r="CGK4" s="9">
        <f>BDH(CGK$1,"PX_TO_BOOK_RATIO",DataStart,DataEnd,"Per=M","Days=A","Fill=P")</f>
        <v/>
      </c>
      <c r="CGM4" s="9">
        <f>BDH(CGM$1,"PX_TO_BOOK_RATIO",DataStart,DataEnd,"Per=M","Days=A","Fill=P")</f>
        <v/>
      </c>
      <c r="CGO4" s="9">
        <f>BDH(CGO$1,"PX_TO_BOOK_RATIO",DataStart,DataEnd,"Per=M","Days=A","Fill=P")</f>
        <v/>
      </c>
      <c r="CGQ4" s="9">
        <f>BDH(CGQ$1,"PX_TO_BOOK_RATIO",DataStart,DataEnd,"Per=M","Days=A","Fill=P")</f>
        <v/>
      </c>
      <c r="CGS4" s="9">
        <f>BDH(CGS$1,"PX_TO_BOOK_RATIO",DataStart,DataEnd,"Per=M","Days=A","Fill=P")</f>
        <v/>
      </c>
      <c r="CGU4" s="9">
        <f>BDH(CGU$1,"PX_TO_BOOK_RATIO",DataStart,DataEnd,"Per=M","Days=A","Fill=P")</f>
        <v/>
      </c>
      <c r="CGW4" s="9">
        <f>BDH(CGW$1,"PX_TO_BOOK_RATIO",DataStart,DataEnd,"Per=M","Days=A","Fill=P")</f>
        <v/>
      </c>
      <c r="CGY4" s="9">
        <f>BDH(CGY$1,"PX_TO_BOOK_RATIO",DataStart,DataEnd,"Per=M","Days=A","Fill=P")</f>
        <v/>
      </c>
      <c r="CHA4" s="9">
        <f>BDH(CHA$1,"PX_TO_BOOK_RATIO",DataStart,DataEnd,"Per=M","Days=A","Fill=P")</f>
        <v/>
      </c>
      <c r="CHC4" s="9">
        <f>BDH(CHC$1,"PX_TO_BOOK_RATIO",DataStart,DataEnd,"Per=M","Days=A","Fill=P")</f>
        <v/>
      </c>
      <c r="CHE4" s="9">
        <f>BDH(CHE$1,"PX_TO_BOOK_RATIO",DataStart,DataEnd,"Per=M","Days=A","Fill=P")</f>
        <v/>
      </c>
      <c r="CHG4" s="9">
        <f>BDH(CHG$1,"PX_TO_BOOK_RATIO",DataStart,DataEnd,"Per=M","Days=A","Fill=P")</f>
        <v/>
      </c>
      <c r="CHI4" s="9">
        <f>BDH(CHI$1,"PX_TO_BOOK_RATIO",DataStart,DataEnd,"Per=M","Days=A","Fill=P")</f>
        <v/>
      </c>
      <c r="CHK4" s="9">
        <f>BDH(CHK$1,"PX_TO_BOOK_RATIO",DataStart,DataEnd,"Per=M","Days=A","Fill=P")</f>
        <v/>
      </c>
      <c r="CHM4" s="9">
        <f>BDH(CHM$1,"PX_TO_BOOK_RATIO",DataStart,DataEnd,"Per=M","Days=A","Fill=P")</f>
        <v/>
      </c>
      <c r="CHO4" s="9">
        <f>BDH(CHO$1,"PX_TO_BOOK_RATIO",DataStart,DataEnd,"Per=M","Days=A","Fill=P")</f>
        <v/>
      </c>
      <c r="CHQ4" s="9">
        <f>BDH(CHQ$1,"PX_TO_BOOK_RATIO",DataStart,DataEnd,"Per=M","Days=A","Fill=P")</f>
        <v/>
      </c>
      <c r="CHS4" s="9">
        <f>BDH(CHS$1,"PX_TO_BOOK_RATIO",DataStart,DataEnd,"Per=M","Days=A","Fill=P")</f>
        <v/>
      </c>
      <c r="CHU4" s="9">
        <f>BDH(CHU$1,"PX_TO_BOOK_RATIO",DataStart,DataEnd,"Per=M","Days=A","Fill=P")</f>
        <v/>
      </c>
      <c r="CHW4" s="9">
        <f>BDH(CHW$1,"PX_TO_BOOK_RATIO",DataStart,DataEnd,"Per=M","Days=A","Fill=P")</f>
        <v/>
      </c>
      <c r="CHY4" s="9">
        <f>BDH(CHY$1,"PX_TO_BOOK_RATIO",DataStart,DataEnd,"Per=M","Days=A","Fill=P")</f>
        <v/>
      </c>
      <c r="CIA4" s="9">
        <f>BDH(CIA$1,"PX_TO_BOOK_RATIO",DataStart,DataEnd,"Per=M","Days=A","Fill=P")</f>
        <v/>
      </c>
      <c r="CIC4" s="9">
        <f>BDH(CIC$1,"PX_TO_BOOK_RATIO",DataStart,DataEnd,"Per=M","Days=A","Fill=P")</f>
        <v/>
      </c>
      <c r="CIE4" s="9">
        <f>BDH(CIE$1,"PX_TO_BOOK_RATIO",DataStart,DataEnd,"Per=M","Days=A","Fill=P")</f>
        <v/>
      </c>
      <c r="CIG4" s="9">
        <f>BDH(CIG$1,"PX_TO_BOOK_RATIO",DataStart,DataEnd,"Per=M","Days=A","Fill=P")</f>
        <v/>
      </c>
      <c r="CII4" s="9">
        <f>BDH(CII$1,"PX_TO_BOOK_RATIO",DataStart,DataEnd,"Per=M","Days=A","Fill=P")</f>
        <v/>
      </c>
      <c r="CIK4" s="9">
        <f>BDH(CIK$1,"PX_TO_BOOK_RATIO",DataStart,DataEnd,"Per=M","Days=A","Fill=P")</f>
        <v/>
      </c>
      <c r="CIM4" s="9">
        <f>BDH(CIM$1,"PX_TO_BOOK_RATIO",DataStart,DataEnd,"Per=M","Days=A","Fill=P")</f>
        <v/>
      </c>
      <c r="CIO4" s="9">
        <f>BDH(CIO$1,"PX_TO_BOOK_RATIO",DataStart,DataEnd,"Per=M","Days=A","Fill=P")</f>
        <v/>
      </c>
      <c r="CIQ4" s="9">
        <f>BDH(CIQ$1,"PX_TO_BOOK_RATIO",DataStart,DataEnd,"Per=M","Days=A","Fill=P")</f>
        <v/>
      </c>
      <c r="CIS4" s="9">
        <f>BDH(CIS$1,"PX_TO_BOOK_RATIO",DataStart,DataEnd,"Per=M","Days=A","Fill=P")</f>
        <v/>
      </c>
      <c r="CIU4" s="9">
        <f>BDH(CIU$1,"PX_TO_BOOK_RATIO",DataStart,DataEnd,"Per=M","Days=A","Fill=P")</f>
        <v/>
      </c>
      <c r="CIW4" s="9">
        <f>BDH(CIW$1,"PX_TO_BOOK_RATIO",DataStart,DataEnd,"Per=M","Days=A","Fill=P")</f>
        <v/>
      </c>
      <c r="CIY4" s="9">
        <f>BDH(CIY$1,"PX_TO_BOOK_RATIO",DataStart,DataEnd,"Per=M","Days=A","Fill=P")</f>
        <v/>
      </c>
      <c r="CJA4" s="9">
        <f>BDH(CJA$1,"PX_TO_BOOK_RATIO",DataStart,DataEnd,"Per=M","Days=A","Fill=P")</f>
        <v/>
      </c>
      <c r="CJC4" s="9">
        <f>BDH(CJC$1,"PX_TO_BOOK_RATIO",DataStart,DataEnd,"Per=M","Days=A","Fill=P")</f>
        <v/>
      </c>
      <c r="CJE4" s="9">
        <f>BDH(CJE$1,"PX_TO_BOOK_RATIO",DataStart,DataEnd,"Per=M","Days=A","Fill=P")</f>
        <v/>
      </c>
      <c r="CJG4" s="9">
        <f>BDH(CJG$1,"PX_TO_BOOK_RATIO",DataStart,DataEnd,"Per=M","Days=A","Fill=P")</f>
        <v/>
      </c>
      <c r="CJI4" s="9">
        <f>BDH(CJI$1,"PX_TO_BOOK_RATIO",DataStart,DataEnd,"Per=M","Days=A","Fill=P")</f>
        <v/>
      </c>
      <c r="CJK4" s="9">
        <f>BDH(CJK$1,"PX_TO_BOOK_RATIO",DataStart,DataEnd,"Per=M","Days=A","Fill=P")</f>
        <v/>
      </c>
      <c r="CJM4" s="9">
        <f>BDH(CJM$1,"PX_TO_BOOK_RATIO",DataStart,DataEnd,"Per=M","Days=A","Fill=P")</f>
        <v/>
      </c>
      <c r="CJO4" s="9">
        <f>BDH(CJO$1,"PX_TO_BOOK_RATIO",DataStart,DataEnd,"Per=M","Days=A","Fill=P")</f>
        <v/>
      </c>
      <c r="CJQ4" s="9">
        <f>BDH(CJQ$1,"PX_TO_BOOK_RATIO",DataStart,DataEnd,"Per=M","Days=A","Fill=P")</f>
        <v/>
      </c>
      <c r="CJS4" s="9">
        <f>BDH(CJS$1,"PX_TO_BOOK_RATIO",DataStart,DataEnd,"Per=M","Days=A","Fill=P")</f>
        <v/>
      </c>
      <c r="CJU4" s="9">
        <f>BDH(CJU$1,"PX_TO_BOOK_RATIO",DataStart,DataEnd,"Per=M","Days=A","Fill=P")</f>
        <v/>
      </c>
      <c r="CJW4" s="9">
        <f>BDH(CJW$1,"PX_TO_BOOK_RATIO",DataStart,DataEnd,"Per=M","Days=A","Fill=P")</f>
        <v/>
      </c>
      <c r="CJY4" s="9">
        <f>BDH(CJY$1,"PX_TO_BOOK_RATIO",DataStart,DataEnd,"Per=M","Days=A","Fill=P")</f>
        <v/>
      </c>
      <c r="CKA4" s="9">
        <f>BDH(CKA$1,"PX_TO_BOOK_RATIO",DataStart,DataEnd,"Per=M","Days=A","Fill=P")</f>
        <v/>
      </c>
      <c r="CKC4" s="9">
        <f>BDH(CKC$1,"PX_TO_BOOK_RATIO",DataStart,DataEnd,"Per=M","Days=A","Fill=P")</f>
        <v/>
      </c>
      <c r="CKE4" s="9">
        <f>BDH(CKE$1,"PX_TO_BOOK_RATIO",DataStart,DataEnd,"Per=M","Days=A","Fill=P")</f>
        <v/>
      </c>
      <c r="CKG4" s="9">
        <f>BDH(CKG$1,"PX_TO_BOOK_RATIO",DataStart,DataEnd,"Per=M","Days=A","Fill=P")</f>
        <v/>
      </c>
      <c r="CKI4" s="9">
        <f>BDH(CKI$1,"PX_TO_BOOK_RATIO",DataStart,DataEnd,"Per=M","Days=A","Fill=P")</f>
        <v/>
      </c>
      <c r="CKK4" s="9">
        <f>BDH(CKK$1,"PX_TO_BOOK_RATIO",DataStart,DataEnd,"Per=M","Days=A","Fill=P")</f>
        <v/>
      </c>
      <c r="CKM4" s="9">
        <f>BDH(CKM$1,"PX_TO_BOOK_RATIO",DataStart,DataEnd,"Per=M","Days=A","Fill=P")</f>
        <v/>
      </c>
      <c r="CKO4" s="9">
        <f>BDH(CKO$1,"PX_TO_BOOK_RATIO",DataStart,DataEnd,"Per=M","Days=A","Fill=P")</f>
        <v/>
      </c>
      <c r="CKQ4" s="9">
        <f>BDH(CKQ$1,"PX_TO_BOOK_RATIO",DataStart,DataEnd,"Per=M","Days=A","Fill=P")</f>
        <v/>
      </c>
      <c r="CKS4" s="9">
        <f>BDH(CKS$1,"PX_TO_BOOK_RATIO",DataStart,DataEnd,"Per=M","Days=A","Fill=P")</f>
        <v/>
      </c>
      <c r="CKU4" s="9">
        <f>BDH(CKU$1,"PX_TO_BOOK_RATIO",DataStart,DataEnd,"Per=M","Days=A","Fill=P")</f>
        <v/>
      </c>
      <c r="CKW4" s="9">
        <f>BDH(CKW$1,"PX_TO_BOOK_RATIO",DataStart,DataEnd,"Per=M","Days=A","Fill=P")</f>
        <v/>
      </c>
      <c r="CKY4" s="9">
        <f>BDH(CKY$1,"PX_TO_BOOK_RATIO",DataStart,DataEnd,"Per=M","Days=A","Fill=P")</f>
        <v/>
      </c>
      <c r="CLA4" s="9">
        <f>BDH(CLA$1,"PX_TO_BOOK_RATIO",DataStart,DataEnd,"Per=M","Days=A","Fill=P")</f>
        <v/>
      </c>
      <c r="CLC4" s="9">
        <f>BDH(CLC$1,"PX_TO_BOOK_RATIO",DataStart,DataEnd,"Per=M","Days=A","Fill=P")</f>
        <v/>
      </c>
      <c r="CLE4" s="9">
        <f>BDH(CLE$1,"PX_TO_BOOK_RATIO",DataStart,DataEnd,"Per=M","Days=A","Fill=P")</f>
        <v/>
      </c>
      <c r="CLG4" s="9">
        <f>BDH(CLG$1,"PX_TO_BOOK_RATIO",DataStart,DataEnd,"Per=M","Days=A","Fill=P")</f>
        <v/>
      </c>
      <c r="CLI4" s="9">
        <f>BDH(CLI$1,"PX_TO_BOOK_RATIO",DataStart,DataEnd,"Per=M","Days=A","Fill=P")</f>
        <v/>
      </c>
      <c r="CLK4" s="9">
        <f>BDH(CLK$1,"PX_TO_BOOK_RATIO",DataStart,DataEnd,"Per=M","Days=A","Fill=P")</f>
        <v/>
      </c>
      <c r="CLM4" s="9">
        <f>BDH(CLM$1,"PX_TO_BOOK_RATIO",DataStart,DataEnd,"Per=M","Days=A","Fill=P")</f>
        <v/>
      </c>
      <c r="CLO4" s="9">
        <f>BDH(CLO$1,"PX_TO_BOOK_RATIO",DataStart,DataEnd,"Per=M","Days=A","Fill=P")</f>
        <v/>
      </c>
      <c r="CLQ4" s="9">
        <f>BDH(CLQ$1,"PX_TO_BOOK_RATIO",DataStart,DataEnd,"Per=M","Days=A","Fill=P")</f>
        <v/>
      </c>
      <c r="CLS4" s="9">
        <f>BDH(CLS$1,"PX_TO_BOOK_RATIO",DataStart,DataEnd,"Per=M","Days=A","Fill=P")</f>
        <v/>
      </c>
      <c r="CLU4" s="9">
        <f>BDH(CLU$1,"PX_TO_BOOK_RATIO",DataStart,DataEnd,"Per=M","Days=A","Fill=P")</f>
        <v/>
      </c>
      <c r="CLW4" s="9">
        <f>BDH(CLW$1,"PX_TO_BOOK_RATIO",DataStart,DataEnd,"Per=M","Days=A","Fill=P")</f>
        <v/>
      </c>
      <c r="CLY4" s="9">
        <f>BDH(CLY$1,"PX_TO_BOOK_RATIO",DataStart,DataEnd,"Per=M","Days=A","Fill=P")</f>
        <v/>
      </c>
      <c r="CMA4" s="9">
        <f>BDH(CMA$1,"PX_TO_BOOK_RATIO",DataStart,DataEnd,"Per=M","Days=A","Fill=P")</f>
        <v/>
      </c>
      <c r="CMC4" s="9">
        <f>BDH(CMC$1,"PX_TO_BOOK_RATIO",DataStart,DataEnd,"Per=M","Days=A","Fill=P")</f>
        <v/>
      </c>
      <c r="CME4" s="9">
        <f>BDH(CME$1,"PX_TO_BOOK_RATIO",DataStart,DataEnd,"Per=M","Days=A","Fill=P")</f>
        <v/>
      </c>
      <c r="CMG4" s="9">
        <f>BDH(CMG$1,"PX_TO_BOOK_RATIO",DataStart,DataEnd,"Per=M","Days=A","Fill=P")</f>
        <v/>
      </c>
      <c r="CMI4" s="9">
        <f>BDH(CMI$1,"PX_TO_BOOK_RATIO",DataStart,DataEnd,"Per=M","Days=A","Fill=P")</f>
        <v/>
      </c>
      <c r="CMK4" s="9">
        <f>BDH(CMK$1,"PX_TO_BOOK_RATIO",DataStart,DataEnd,"Per=M","Days=A","Fill=P")</f>
        <v/>
      </c>
      <c r="CMM4" s="9">
        <f>BDH(CMM$1,"PX_TO_BOOK_RATIO",DataStart,DataEnd,"Per=M","Days=A","Fill=P")</f>
        <v/>
      </c>
      <c r="CMO4" s="9">
        <f>BDH(CMO$1,"PX_TO_BOOK_RATIO",DataStart,DataEnd,"Per=M","Days=A","Fill=P")</f>
        <v/>
      </c>
      <c r="CMQ4" s="9">
        <f>BDH(CMQ$1,"PX_TO_BOOK_RATIO",DataStart,DataEnd,"Per=M","Days=A","Fill=P")</f>
        <v/>
      </c>
      <c r="CMS4" s="9">
        <f>BDH(CMS$1,"PX_TO_BOOK_RATIO",DataStart,DataEnd,"Per=M","Days=A","Fill=P")</f>
        <v/>
      </c>
      <c r="CMU4" s="9">
        <f>BDH(CMU$1,"PX_TO_BOOK_RATIO",DataStart,DataEnd,"Per=M","Days=A","Fill=P")</f>
        <v/>
      </c>
      <c r="CMW4" s="9">
        <f>BDH(CMW$1,"PX_TO_BOOK_RATIO",DataStart,DataEnd,"Per=M","Days=A","Fill=P")</f>
        <v/>
      </c>
      <c r="CMY4" s="9">
        <f>BDH(CMY$1,"PX_TO_BOOK_RATIO",DataStart,DataEnd,"Per=M","Days=A","Fill=P")</f>
        <v/>
      </c>
      <c r="CNA4" s="9">
        <f>BDH(CNA$1,"PX_TO_BOOK_RATIO",DataStart,DataEnd,"Per=M","Days=A","Fill=P")</f>
        <v/>
      </c>
      <c r="CNC4" s="9">
        <f>BDH(CNC$1,"PX_TO_BOOK_RATIO",DataStart,DataEnd,"Per=M","Days=A","Fill=P")</f>
        <v/>
      </c>
      <c r="CNE4" s="9">
        <f>BDH(CNE$1,"PX_TO_BOOK_RATIO",DataStart,DataEnd,"Per=M","Days=A","Fill=P")</f>
        <v/>
      </c>
      <c r="CNG4" s="9">
        <f>BDH(CNG$1,"PX_TO_BOOK_RATIO",DataStart,DataEnd,"Per=M","Days=A","Fill=P")</f>
        <v/>
      </c>
      <c r="CNI4" s="9">
        <f>BDH(CNI$1,"PX_TO_BOOK_RATIO",DataStart,DataEnd,"Per=M","Days=A","Fill=P")</f>
        <v/>
      </c>
      <c r="CNK4" s="9">
        <f>BDH(CNK$1,"PX_TO_BOOK_RATIO",DataStart,DataEnd,"Per=M","Days=A","Fill=P")</f>
        <v/>
      </c>
      <c r="CNM4" s="9">
        <f>BDH(CNM$1,"PX_TO_BOOK_RATIO",DataStart,DataEnd,"Per=M","Days=A","Fill=P")</f>
        <v/>
      </c>
      <c r="CNO4" s="9">
        <f>BDH(CNO$1,"PX_TO_BOOK_RATIO",DataStart,DataEnd,"Per=M","Days=A","Fill=P")</f>
        <v/>
      </c>
      <c r="CNQ4" s="9">
        <f>BDH(CNQ$1,"PX_TO_BOOK_RATIO",DataStart,DataEnd,"Per=M","Days=A","Fill=P")</f>
        <v/>
      </c>
      <c r="CNS4" s="9">
        <f>BDH(CNS$1,"PX_TO_BOOK_RATIO",DataStart,DataEnd,"Per=M","Days=A","Fill=P")</f>
        <v/>
      </c>
      <c r="CNU4" s="9">
        <f>BDH(CNU$1,"PX_TO_BOOK_RATIO",DataStart,DataEnd,"Per=M","Days=A","Fill=P")</f>
        <v/>
      </c>
      <c r="CNW4" s="9">
        <f>BDH(CNW$1,"PX_TO_BOOK_RATIO",DataStart,DataEnd,"Per=M","Days=A","Fill=P")</f>
        <v/>
      </c>
      <c r="CNY4" s="9">
        <f>BDH(CNY$1,"PX_TO_BOOK_RATIO",DataStart,DataEnd,"Per=M","Days=A","Fill=P")</f>
        <v/>
      </c>
      <c r="COA4" s="9">
        <f>BDH(COA$1,"PX_TO_BOOK_RATIO",DataStart,DataEnd,"Per=M","Days=A","Fill=P")</f>
        <v/>
      </c>
      <c r="COC4" s="9">
        <f>BDH(COC$1,"PX_TO_BOOK_RATIO",DataStart,DataEnd,"Per=M","Days=A","Fill=P")</f>
        <v/>
      </c>
      <c r="COE4" s="9">
        <f>BDH(COE$1,"PX_TO_BOOK_RATIO",DataStart,DataEnd,"Per=M","Days=A","Fill=P")</f>
        <v/>
      </c>
      <c r="COG4" s="9">
        <f>BDH(COG$1,"PX_TO_BOOK_RATIO",DataStart,DataEnd,"Per=M","Days=A","Fill=P")</f>
        <v/>
      </c>
      <c r="COI4" s="9">
        <f>BDH(COI$1,"PX_TO_BOOK_RATIO",DataStart,DataEnd,"Per=M","Days=A","Fill=P")</f>
        <v/>
      </c>
      <c r="COK4" s="9">
        <f>BDH(COK$1,"PX_TO_BOOK_RATIO",DataStart,DataEnd,"Per=M","Days=A","Fill=P")</f>
        <v/>
      </c>
      <c r="COM4" s="9">
        <f>BDH(COM$1,"PX_TO_BOOK_RATIO",DataStart,DataEnd,"Per=M","Days=A","Fill=P")</f>
        <v/>
      </c>
      <c r="COO4" s="9">
        <f>BDH(COO$1,"PX_TO_BOOK_RATIO",DataStart,DataEnd,"Per=M","Days=A","Fill=P")</f>
        <v/>
      </c>
      <c r="COQ4" s="9">
        <f>BDH(COQ$1,"PX_TO_BOOK_RATIO",DataStart,DataEnd,"Per=M","Days=A","Fill=P")</f>
        <v/>
      </c>
      <c r="COS4" s="9">
        <f>BDH(COS$1,"PX_TO_BOOK_RATIO",DataStart,DataEnd,"Per=M","Days=A","Fill=P")</f>
        <v/>
      </c>
      <c r="COU4" s="9">
        <f>BDH(COU$1,"PX_TO_BOOK_RATIO",DataStart,DataEnd,"Per=M","Days=A","Fill=P")</f>
        <v/>
      </c>
      <c r="COW4" s="9">
        <f>BDH(COW$1,"PX_TO_BOOK_RATIO",DataStart,DataEnd,"Per=M","Days=A","Fill=P")</f>
        <v/>
      </c>
      <c r="COY4" s="9">
        <f>BDH(COY$1,"PX_TO_BOOK_RATIO",DataStart,DataEnd,"Per=M","Days=A","Fill=P")</f>
        <v/>
      </c>
      <c r="CPA4" s="9">
        <f>BDH(CPA$1,"PX_TO_BOOK_RATIO",DataStart,DataEnd,"Per=M","Days=A","Fill=P")</f>
        <v/>
      </c>
      <c r="CPC4" s="9">
        <f>BDH(CPC$1,"PX_TO_BOOK_RATIO",DataStart,DataEnd,"Per=M","Days=A","Fill=P")</f>
        <v/>
      </c>
      <c r="CPE4" s="9">
        <f>BDH(CPE$1,"PX_TO_BOOK_RATIO",DataStart,DataEnd,"Per=M","Days=A","Fill=P")</f>
        <v/>
      </c>
      <c r="CPG4" s="9">
        <f>BDH(CPG$1,"PX_TO_BOOK_RATIO",DataStart,DataEnd,"Per=M","Days=A","Fill=P")</f>
        <v/>
      </c>
      <c r="CPI4" s="9">
        <f>BDH(CPI$1,"PX_TO_BOOK_RATIO",DataStart,DataEnd,"Per=M","Days=A","Fill=P")</f>
        <v/>
      </c>
      <c r="CPK4" s="9">
        <f>BDH(CPK$1,"PX_TO_BOOK_RATIO",DataStart,DataEnd,"Per=M","Days=A","Fill=P")</f>
        <v/>
      </c>
      <c r="CPM4" s="9">
        <f>BDH(CPM$1,"PX_TO_BOOK_RATIO",DataStart,DataEnd,"Per=M","Days=A","Fill=P")</f>
        <v/>
      </c>
      <c r="CPO4" s="9">
        <f>BDH(CPO$1,"PX_TO_BOOK_RATIO",DataStart,DataEnd,"Per=M","Days=A","Fill=P")</f>
        <v/>
      </c>
      <c r="CPQ4" s="9">
        <f>BDH(CPQ$1,"PX_TO_BOOK_RATIO",DataStart,DataEnd,"Per=M","Days=A","Fill=P")</f>
        <v/>
      </c>
      <c r="CPS4" s="9">
        <f>BDH(CPS$1,"PX_TO_BOOK_RATIO",DataStart,DataEnd,"Per=M","Days=A","Fill=P")</f>
        <v/>
      </c>
      <c r="CPU4" s="9">
        <f>BDH(CPU$1,"PX_TO_BOOK_RATIO",DataStart,DataEnd,"Per=M","Days=A","Fill=P")</f>
        <v/>
      </c>
      <c r="CPW4" s="9">
        <f>BDH(CPW$1,"PX_TO_BOOK_RATIO",DataStart,DataEnd,"Per=M","Days=A","Fill=P")</f>
        <v/>
      </c>
      <c r="CPY4" s="9">
        <f>BDH(CPY$1,"PX_TO_BOOK_RATIO",DataStart,DataEnd,"Per=M","Days=A","Fill=P")</f>
        <v/>
      </c>
      <c r="CQA4" s="9">
        <f>BDH(CQA$1,"PX_TO_BOOK_RATIO",DataStart,DataEnd,"Per=M","Days=A","Fill=P")</f>
        <v/>
      </c>
      <c r="CQC4" s="9">
        <f>BDH(CQC$1,"PX_TO_BOOK_RATIO",DataStart,DataEnd,"Per=M","Days=A","Fill=P")</f>
        <v/>
      </c>
      <c r="CQE4" s="9">
        <f>BDH(CQE$1,"PX_TO_BOOK_RATIO",DataStart,DataEnd,"Per=M","Days=A","Fill=P")</f>
        <v/>
      </c>
      <c r="CQG4" s="9">
        <f>BDH(CQG$1,"PX_TO_BOOK_RATIO",DataStart,DataEnd,"Per=M","Days=A","Fill=P")</f>
        <v/>
      </c>
      <c r="CQI4" s="9">
        <f>BDH(CQI$1,"PX_TO_BOOK_RATIO",DataStart,DataEnd,"Per=M","Days=A","Fill=P")</f>
        <v/>
      </c>
      <c r="CQK4" s="9">
        <f>BDH(CQK$1,"PX_TO_BOOK_RATIO",DataStart,DataEnd,"Per=M","Days=A","Fill=P")</f>
        <v/>
      </c>
      <c r="CQM4" s="9">
        <f>BDH(CQM$1,"PX_TO_BOOK_RATIO",DataStart,DataEnd,"Per=M","Days=A","Fill=P")</f>
        <v/>
      </c>
      <c r="CQO4" s="9">
        <f>BDH(CQO$1,"PX_TO_BOOK_RATIO",DataStart,DataEnd,"Per=M","Days=A","Fill=P")</f>
        <v/>
      </c>
      <c r="CQQ4" s="9">
        <f>BDH(CQQ$1,"PX_TO_BOOK_RATIO",DataStart,DataEnd,"Per=M","Days=A","Fill=P")</f>
        <v/>
      </c>
      <c r="CQS4" s="9">
        <f>BDH(CQS$1,"PX_TO_BOOK_RATIO",DataStart,DataEnd,"Per=M","Days=A","Fill=P")</f>
        <v/>
      </c>
      <c r="CQU4" s="9">
        <f>BDH(CQU$1,"PX_TO_BOOK_RATIO",DataStart,DataEnd,"Per=M","Days=A","Fill=P")</f>
        <v/>
      </c>
      <c r="CQW4" s="9">
        <f>BDH(CQW$1,"PX_TO_BOOK_RATIO",DataStart,DataEnd,"Per=M","Days=A","Fill=P")</f>
        <v/>
      </c>
      <c r="CQY4" s="9">
        <f>BDH(CQY$1,"PX_TO_BOOK_RATIO",DataStart,DataEnd,"Per=M","Days=A","Fill=P")</f>
        <v/>
      </c>
      <c r="CRA4" s="9">
        <f>BDH(CRA$1,"PX_TO_BOOK_RATIO",DataStart,DataEnd,"Per=M","Days=A","Fill=P")</f>
        <v/>
      </c>
      <c r="CRC4" s="9">
        <f>BDH(CRC$1,"PX_TO_BOOK_RATIO",DataStart,DataEnd,"Per=M","Days=A","Fill=P")</f>
        <v/>
      </c>
      <c r="CRE4" s="9">
        <f>BDH(CRE$1,"PX_TO_BOOK_RATIO",DataStart,DataEnd,"Per=M","Days=A","Fill=P")</f>
        <v/>
      </c>
      <c r="CRG4" s="9">
        <f>BDH(CRG$1,"PX_TO_BOOK_RATIO",DataStart,DataEnd,"Per=M","Days=A","Fill=P")</f>
        <v/>
      </c>
      <c r="CRI4" s="9">
        <f>BDH(CRI$1,"PX_TO_BOOK_RATIO",DataStart,DataEnd,"Per=M","Days=A","Fill=P")</f>
        <v/>
      </c>
      <c r="CRK4" s="9">
        <f>BDH(CRK$1,"PX_TO_BOOK_RATIO",DataStart,DataEnd,"Per=M","Days=A","Fill=P")</f>
        <v/>
      </c>
      <c r="CRM4" s="9">
        <f>BDH(CRM$1,"PX_TO_BOOK_RATIO",DataStart,DataEnd,"Per=M","Days=A","Fill=P")</f>
        <v/>
      </c>
      <c r="CRO4" s="9">
        <f>BDH(CRO$1,"PX_TO_BOOK_RATIO",DataStart,DataEnd,"Per=M","Days=A","Fill=P")</f>
        <v/>
      </c>
      <c r="CRQ4" s="9">
        <f>BDH(CRQ$1,"PX_TO_BOOK_RATIO",DataStart,DataEnd,"Per=M","Days=A","Fill=P")</f>
        <v/>
      </c>
      <c r="CRS4" s="9">
        <f>BDH(CRS$1,"PX_TO_BOOK_RATIO",DataStart,DataEnd,"Per=M","Days=A","Fill=P")</f>
        <v/>
      </c>
      <c r="CRU4" s="9">
        <f>BDH(CRU$1,"PX_TO_BOOK_RATIO",DataStart,DataEnd,"Per=M","Days=A","Fill=P")</f>
        <v/>
      </c>
      <c r="CRW4" s="9">
        <f>BDH(CRW$1,"PX_TO_BOOK_RATIO",DataStart,DataEnd,"Per=M","Days=A","Fill=P")</f>
        <v/>
      </c>
      <c r="CRY4" s="9">
        <f>BDH(CRY$1,"PX_TO_BOOK_RATIO",DataStart,DataEnd,"Per=M","Days=A","Fill=P")</f>
        <v/>
      </c>
      <c r="CSA4" s="9">
        <f>BDH(CSA$1,"PX_TO_BOOK_RATIO",DataStart,DataEnd,"Per=M","Days=A","Fill=P")</f>
        <v/>
      </c>
      <c r="CSC4" s="9">
        <f>BDH(CSC$1,"PX_TO_BOOK_RATIO",DataStart,DataEnd,"Per=M","Days=A","Fill=P")</f>
        <v/>
      </c>
      <c r="CSE4" s="9">
        <f>BDH(CSE$1,"PX_TO_BOOK_RATIO",DataStart,DataEnd,"Per=M","Days=A","Fill=P")</f>
        <v/>
      </c>
      <c r="CSG4" s="9">
        <f>BDH(CSG$1,"PX_TO_BOOK_RATIO",DataStart,DataEnd,"Per=M","Days=A","Fill=P")</f>
        <v/>
      </c>
      <c r="CSI4" s="9">
        <f>BDH(CSI$1,"PX_TO_BOOK_RATIO",DataStart,DataEnd,"Per=M","Days=A","Fill=P")</f>
        <v/>
      </c>
      <c r="CSK4" s="9">
        <f>BDH(CSK$1,"PX_TO_BOOK_RATIO",DataStart,DataEnd,"Per=M","Days=A","Fill=P")</f>
        <v/>
      </c>
      <c r="CSM4" s="9">
        <f>BDH(CSM$1,"PX_TO_BOOK_RATIO",DataStart,DataEnd,"Per=M","Days=A","Fill=P")</f>
        <v/>
      </c>
      <c r="CSO4" s="9">
        <f>BDH(CSO$1,"PX_TO_BOOK_RATIO",DataStart,DataEnd,"Per=M","Days=A","Fill=P")</f>
        <v/>
      </c>
      <c r="CSQ4" s="9">
        <f>BDH(CSQ$1,"PX_TO_BOOK_RATIO",DataStart,DataEnd,"Per=M","Days=A","Fill=P")</f>
        <v/>
      </c>
      <c r="CSS4" s="9">
        <f>BDH(CSS$1,"PX_TO_BOOK_RATIO",DataStart,DataEnd,"Per=M","Days=A","Fill=P")</f>
        <v/>
      </c>
      <c r="CSU4" s="9">
        <f>BDH(CSU$1,"PX_TO_BOOK_RATIO",DataStart,DataEnd,"Per=M","Days=A","Fill=P")</f>
        <v/>
      </c>
      <c r="CSW4" s="9">
        <f>BDH(CSW$1,"PX_TO_BOOK_RATIO",DataStart,DataEnd,"Per=M","Days=A","Fill=P")</f>
        <v/>
      </c>
      <c r="CSY4" s="9">
        <f>BDH(CSY$1,"PX_TO_BOOK_RATIO",DataStart,DataEnd,"Per=M","Days=A","Fill=P")</f>
        <v/>
      </c>
      <c r="CTA4" s="9">
        <f>BDH(CTA$1,"PX_TO_BOOK_RATIO",DataStart,DataEnd,"Per=M","Days=A","Fill=P")</f>
        <v/>
      </c>
      <c r="CTC4" s="9">
        <f>BDH(CTC$1,"PX_TO_BOOK_RATIO",DataStart,DataEnd,"Per=M","Days=A","Fill=P")</f>
        <v/>
      </c>
      <c r="CTE4" s="9">
        <f>BDH(CTE$1,"PX_TO_BOOK_RATIO",DataStart,DataEnd,"Per=M","Days=A","Fill=P")</f>
        <v/>
      </c>
      <c r="CTG4" s="9">
        <f>BDH(CTG$1,"PX_TO_BOOK_RATIO",DataStart,DataEnd,"Per=M","Days=A","Fill=P")</f>
        <v/>
      </c>
      <c r="CTI4" s="9">
        <f>BDH(CTI$1,"PX_TO_BOOK_RATIO",DataStart,DataEnd,"Per=M","Days=A","Fill=P")</f>
        <v/>
      </c>
      <c r="CTK4" s="9">
        <f>BDH(CTK$1,"PX_TO_BOOK_RATIO",DataStart,DataEnd,"Per=M","Days=A","Fill=P")</f>
        <v/>
      </c>
      <c r="CTM4" s="9">
        <f>BDH(CTM$1,"PX_TO_BOOK_RATIO",DataStart,DataEnd,"Per=M","Days=A","Fill=P")</f>
        <v/>
      </c>
      <c r="CTO4" s="9">
        <f>BDH(CTO$1,"PX_TO_BOOK_RATIO",DataStart,DataEnd,"Per=M","Days=A","Fill=P")</f>
        <v/>
      </c>
      <c r="CTQ4" s="9">
        <f>BDH(CTQ$1,"PX_TO_BOOK_RATIO",DataStart,DataEnd,"Per=M","Days=A","Fill=P")</f>
        <v/>
      </c>
      <c r="CTS4" s="9">
        <f>BDH(CTS$1,"PX_TO_BOOK_RATIO",DataStart,DataEnd,"Per=M","Days=A","Fill=P")</f>
        <v/>
      </c>
      <c r="CTU4" s="9">
        <f>BDH(CTU$1,"PX_TO_BOOK_RATIO",DataStart,DataEnd,"Per=M","Days=A","Fill=P")</f>
        <v/>
      </c>
      <c r="CTW4" s="9">
        <f>BDH(CTW$1,"PX_TO_BOOK_RATIO",DataStart,DataEnd,"Per=M","Days=A","Fill=P")</f>
        <v/>
      </c>
      <c r="CTY4" s="9">
        <f>BDH(CTY$1,"PX_TO_BOOK_RATIO",DataStart,DataEnd,"Per=M","Days=A","Fill=P")</f>
        <v/>
      </c>
      <c r="CUA4" s="9">
        <f>BDH(CUA$1,"PX_TO_BOOK_RATIO",DataStart,DataEnd,"Per=M","Days=A","Fill=P")</f>
        <v/>
      </c>
      <c r="CUC4" s="9">
        <f>BDH(CUC$1,"PX_TO_BOOK_RATIO",DataStart,DataEnd,"Per=M","Days=A","Fill=P")</f>
        <v/>
      </c>
      <c r="CUE4" s="9">
        <f>BDH(CUE$1,"PX_TO_BOOK_RATIO",DataStart,DataEnd,"Per=M","Days=A","Fill=P")</f>
        <v/>
      </c>
      <c r="CUG4" s="9">
        <f>BDH(CUG$1,"PX_TO_BOOK_RATIO",DataStart,DataEnd,"Per=M","Days=A","Fill=P")</f>
        <v/>
      </c>
      <c r="CUI4" s="9">
        <f>BDH(CUI$1,"PX_TO_BOOK_RATIO",DataStart,DataEnd,"Per=M","Days=A","Fill=P")</f>
        <v/>
      </c>
      <c r="CUK4" s="9">
        <f>BDH(CUK$1,"PX_TO_BOOK_RATIO",DataStart,DataEnd,"Per=M","Days=A","Fill=P")</f>
        <v/>
      </c>
      <c r="CUM4" s="9">
        <f>BDH(CUM$1,"PX_TO_BOOK_RATIO",DataStart,DataEnd,"Per=M","Days=A","Fill=P")</f>
        <v/>
      </c>
      <c r="CUO4" s="9">
        <f>BDH(CUO$1,"PX_TO_BOOK_RATIO",DataStart,DataEnd,"Per=M","Days=A","Fill=P")</f>
        <v/>
      </c>
      <c r="CUQ4" s="9">
        <f>BDH(CUQ$1,"PX_TO_BOOK_RATIO",DataStart,DataEnd,"Per=M","Days=A","Fill=P")</f>
        <v/>
      </c>
      <c r="CUS4" s="9">
        <f>BDH(CUS$1,"PX_TO_BOOK_RATIO",DataStart,DataEnd,"Per=M","Days=A","Fill=P")</f>
        <v/>
      </c>
      <c r="CUU4" s="9">
        <f>BDH(CUU$1,"PX_TO_BOOK_RATIO",DataStart,DataEnd,"Per=M","Days=A","Fill=P")</f>
        <v/>
      </c>
      <c r="CUW4" s="9">
        <f>BDH(CUW$1,"PX_TO_BOOK_RATIO",DataStart,DataEnd,"Per=M","Days=A","Fill=P")</f>
        <v/>
      </c>
      <c r="CUY4" s="9">
        <f>BDH(CUY$1,"PX_TO_BOOK_RATIO",DataStart,DataEnd,"Per=M","Days=A","Fill=P")</f>
        <v/>
      </c>
      <c r="CVA4" s="9">
        <f>BDH(CVA$1,"PX_TO_BOOK_RATIO",DataStart,DataEnd,"Per=M","Days=A","Fill=P")</f>
        <v/>
      </c>
      <c r="CVC4" s="9">
        <f>BDH(CVC$1,"PX_TO_BOOK_RATIO",DataStart,DataEnd,"Per=M","Days=A","Fill=P")</f>
        <v/>
      </c>
      <c r="CVE4" s="9">
        <f>BDH(CVE$1,"PX_TO_BOOK_RATIO",DataStart,DataEnd,"Per=M","Days=A","Fill=P")</f>
        <v/>
      </c>
      <c r="CVG4" s="9">
        <f>BDH(CVG$1,"PX_TO_BOOK_RATIO",DataStart,DataEnd,"Per=M","Days=A","Fill=P")</f>
        <v/>
      </c>
      <c r="CVI4" s="9">
        <f>BDH(CVI$1,"PX_TO_BOOK_RATIO",DataStart,DataEnd,"Per=M","Days=A","Fill=P")</f>
        <v/>
      </c>
      <c r="CVK4" s="9">
        <f>BDH(CVK$1,"PX_TO_BOOK_RATIO",DataStart,DataEnd,"Per=M","Days=A","Fill=P")</f>
        <v/>
      </c>
      <c r="CVM4" s="9">
        <f>BDH(CVM$1,"PX_TO_BOOK_RATIO",DataStart,DataEnd,"Per=M","Days=A","Fill=P")</f>
        <v/>
      </c>
      <c r="CVO4" s="9">
        <f>BDH(CVO$1,"PX_TO_BOOK_RATIO",DataStart,DataEnd,"Per=M","Days=A","Fill=P")</f>
        <v/>
      </c>
      <c r="CVQ4" s="9">
        <f>BDH(CVQ$1,"PX_TO_BOOK_RATIO",DataStart,DataEnd,"Per=M","Days=A","Fill=P")</f>
        <v/>
      </c>
      <c r="CVS4" s="9">
        <f>BDH(CVS$1,"PX_TO_BOOK_RATIO",DataStart,DataEnd,"Per=M","Days=A","Fill=P")</f>
        <v/>
      </c>
      <c r="CVU4" s="9">
        <f>BDH(CVU$1,"PX_TO_BOOK_RATIO",DataStart,DataEnd,"Per=M","Days=A","Fill=P")</f>
        <v/>
      </c>
      <c r="CVW4" s="9">
        <f>BDH(CVW$1,"PX_TO_BOOK_RATIO",DataStart,DataEnd,"Per=M","Days=A","Fill=P")</f>
        <v/>
      </c>
      <c r="CVY4" s="9">
        <f>BDH(CVY$1,"PX_TO_BOOK_RATIO",DataStart,DataEnd,"Per=M","Days=A","Fill=P")</f>
        <v/>
      </c>
      <c r="CWA4" s="9">
        <f>BDH(CWA$1,"PX_TO_BOOK_RATIO",DataStart,DataEnd,"Per=M","Days=A","Fill=P")</f>
        <v/>
      </c>
      <c r="CWC4" s="9">
        <f>BDH(CWC$1,"PX_TO_BOOK_RATIO",DataStart,DataEnd,"Per=M","Days=A","Fill=P")</f>
        <v/>
      </c>
      <c r="CWE4" s="9">
        <f>BDH(CWE$1,"PX_TO_BOOK_RATIO",DataStart,DataEnd,"Per=M","Days=A","Fill=P")</f>
        <v/>
      </c>
      <c r="CWG4" s="9">
        <f>BDH(CWG$1,"PX_TO_BOOK_RATIO",DataStart,DataEnd,"Per=M","Days=A","Fill=P")</f>
        <v/>
      </c>
      <c r="CWI4" s="9">
        <f>BDH(CWI$1,"PX_TO_BOOK_RATIO",DataStart,DataEnd,"Per=M","Days=A","Fill=P")</f>
        <v/>
      </c>
      <c r="CWK4" s="9">
        <f>BDH(CWK$1,"PX_TO_BOOK_RATIO",DataStart,DataEnd,"Per=M","Days=A","Fill=P")</f>
        <v/>
      </c>
      <c r="CWM4" s="9">
        <f>BDH(CWM$1,"PX_TO_BOOK_RATIO",DataStart,DataEnd,"Per=M","Days=A","Fill=P")</f>
        <v/>
      </c>
      <c r="CWO4" s="9">
        <f>BDH(CWO$1,"PX_TO_BOOK_RATIO",DataStart,DataEnd,"Per=M","Days=A","Fill=P")</f>
        <v/>
      </c>
      <c r="CWQ4" s="9">
        <f>BDH(CWQ$1,"PX_TO_BOOK_RATIO",DataStart,DataEnd,"Per=M","Days=A","Fill=P")</f>
        <v/>
      </c>
      <c r="CWS4" s="9">
        <f>BDH(CWS$1,"PX_TO_BOOK_RATIO",DataStart,DataEnd,"Per=M","Days=A","Fill=P")</f>
        <v/>
      </c>
      <c r="CWU4" s="9">
        <f>BDH(CWU$1,"PX_TO_BOOK_RATIO",DataStart,DataEnd,"Per=M","Days=A","Fill=P")</f>
        <v/>
      </c>
      <c r="CWW4" s="9">
        <f>BDH(CWW$1,"PX_TO_BOOK_RATIO",DataStart,DataEnd,"Per=M","Days=A","Fill=P")</f>
        <v/>
      </c>
      <c r="CWY4" s="9">
        <f>BDH(CWY$1,"PX_TO_BOOK_RATIO",DataStart,DataEnd,"Per=M","Days=A","Fill=P")</f>
        <v/>
      </c>
      <c r="CXA4" s="9">
        <f>BDH(CXA$1,"PX_TO_BOOK_RATIO",DataStart,DataEnd,"Per=M","Days=A","Fill=P")</f>
        <v/>
      </c>
      <c r="CXC4" s="9">
        <f>BDH(CXC$1,"PX_TO_BOOK_RATIO",DataStart,DataEnd,"Per=M","Days=A","Fill=P")</f>
        <v/>
      </c>
      <c r="CXE4" s="9">
        <f>BDH(CXE$1,"PX_TO_BOOK_RATIO",DataStart,DataEnd,"Per=M","Days=A","Fill=P")</f>
        <v/>
      </c>
      <c r="CXG4" s="9">
        <f>BDH(CXG$1,"PX_TO_BOOK_RATIO",DataStart,DataEnd,"Per=M","Days=A","Fill=P")</f>
        <v/>
      </c>
      <c r="CXI4" s="9">
        <f>BDH(CXI$1,"PX_TO_BOOK_RATIO",DataStart,DataEnd,"Per=M","Days=A","Fill=P")</f>
        <v/>
      </c>
      <c r="CXK4" s="9">
        <f>BDH(CXK$1,"PX_TO_BOOK_RATIO",DataStart,DataEnd,"Per=M","Days=A","Fill=P")</f>
        <v/>
      </c>
      <c r="CXM4" s="9">
        <f>BDH(CXM$1,"PX_TO_BOOK_RATIO",DataStart,DataEnd,"Per=M","Days=A","Fill=P")</f>
        <v/>
      </c>
      <c r="CXO4" s="9">
        <f>BDH(CXO$1,"PX_TO_BOOK_RATIO",DataStart,DataEnd,"Per=M","Days=A","Fill=P")</f>
        <v/>
      </c>
      <c r="CXQ4" s="9">
        <f>BDH(CXQ$1,"PX_TO_BOOK_RATIO",DataStart,DataEnd,"Per=M","Days=A","Fill=P")</f>
        <v/>
      </c>
      <c r="CXS4" s="9">
        <f>BDH(CXS$1,"PX_TO_BOOK_RATIO",DataStart,DataEnd,"Per=M","Days=A","Fill=P")</f>
        <v/>
      </c>
      <c r="CXU4" s="9">
        <f>BDH(CXU$1,"PX_TO_BOOK_RATIO",DataStart,DataEnd,"Per=M","Days=A","Fill=P")</f>
        <v/>
      </c>
      <c r="CXW4" s="9">
        <f>BDH(CXW$1,"PX_TO_BOOK_RATIO",DataStart,DataEnd,"Per=M","Days=A","Fill=P")</f>
        <v/>
      </c>
      <c r="CXY4" s="9">
        <f>BDH(CXY$1,"PX_TO_BOOK_RATIO",DataStart,DataEnd,"Per=M","Days=A","Fill=P")</f>
        <v/>
      </c>
      <c r="CYA4" s="9">
        <f>BDH(CYA$1,"PX_TO_BOOK_RATIO",DataStart,DataEnd,"Per=M","Days=A","Fill=P")</f>
        <v/>
      </c>
      <c r="CYC4" s="9">
        <f>BDH(CYC$1,"PX_TO_BOOK_RATIO",DataStart,DataEnd,"Per=M","Days=A","Fill=P")</f>
        <v/>
      </c>
      <c r="CYE4" s="9">
        <f>BDH(CYE$1,"PX_TO_BOOK_RATIO",DataStart,DataEnd,"Per=M","Days=A","Fill=P")</f>
        <v/>
      </c>
      <c r="CYG4" s="9">
        <f>BDH(CYG$1,"PX_TO_BOOK_RATIO",DataStart,DataEnd,"Per=M","Days=A","Fill=P")</f>
        <v/>
      </c>
      <c r="CYI4" s="9">
        <f>BDH(CYI$1,"PX_TO_BOOK_RATIO",DataStart,DataEnd,"Per=M","Days=A","Fill=P")</f>
        <v/>
      </c>
      <c r="CYK4" s="9">
        <f>BDH(CYK$1,"PX_TO_BOOK_RATIO",DataStart,DataEnd,"Per=M","Days=A","Fill=P")</f>
        <v/>
      </c>
      <c r="CYM4" s="9">
        <f>BDH(CYM$1,"PX_TO_BOOK_RATIO",DataStart,DataEnd,"Per=M","Days=A","Fill=P")</f>
        <v/>
      </c>
      <c r="CYO4" s="9">
        <f>BDH(CYO$1,"PX_TO_BOOK_RATIO",DataStart,DataEnd,"Per=M","Days=A","Fill=P")</f>
        <v/>
      </c>
      <c r="CYQ4" s="9">
        <f>BDH(CYQ$1,"PX_TO_BOOK_RATIO",DataStart,DataEnd,"Per=M","Days=A","Fill=P")</f>
        <v/>
      </c>
      <c r="CYS4" s="9">
        <f>BDH(CYS$1,"PX_TO_BOOK_RATIO",DataStart,DataEnd,"Per=M","Days=A","Fill=P")</f>
        <v/>
      </c>
      <c r="CYU4" s="9">
        <f>BDH(CYU$1,"PX_TO_BOOK_RATIO",DataStart,DataEnd,"Per=M","Days=A","Fill=P")</f>
        <v/>
      </c>
      <c r="CYW4" s="9">
        <f>BDH(CYW$1,"PX_TO_BOOK_RATIO",DataStart,DataEnd,"Per=M","Days=A","Fill=P")</f>
        <v/>
      </c>
      <c r="CYY4" s="9">
        <f>BDH(CYY$1,"PX_TO_BOOK_RATIO",DataStart,DataEnd,"Per=M","Days=A","Fill=P")</f>
        <v/>
      </c>
      <c r="CZA4" s="9">
        <f>BDH(CZA$1,"PX_TO_BOOK_RATIO",DataStart,DataEnd,"Per=M","Days=A","Fill=P")</f>
        <v/>
      </c>
      <c r="CZC4" s="9">
        <f>BDH(CZC$1,"PX_TO_BOOK_RATIO",DataStart,DataEnd,"Per=M","Days=A","Fill=P")</f>
        <v/>
      </c>
      <c r="CZE4" s="9">
        <f>BDH(CZE$1,"PX_TO_BOOK_RATIO",DataStart,DataEnd,"Per=M","Days=A","Fill=P")</f>
        <v/>
      </c>
      <c r="CZG4" s="9">
        <f>BDH(CZG$1,"PX_TO_BOOK_RATIO",DataStart,DataEnd,"Per=M","Days=A","Fill=P")</f>
        <v/>
      </c>
      <c r="CZI4" s="9">
        <f>BDH(CZI$1,"PX_TO_BOOK_RATIO",DataStart,DataEnd,"Per=M","Days=A","Fill=P")</f>
        <v/>
      </c>
      <c r="CZK4" s="9">
        <f>BDH(CZK$1,"PX_TO_BOOK_RATIO",DataStart,DataEnd,"Per=M","Days=A","Fill=P")</f>
        <v/>
      </c>
      <c r="CZM4" s="9">
        <f>BDH(CZM$1,"PX_TO_BOOK_RATIO",DataStart,DataEnd,"Per=M","Days=A","Fill=P")</f>
        <v/>
      </c>
      <c r="CZO4" s="9">
        <f>BDH(CZO$1,"PX_TO_BOOK_RATIO",DataStart,DataEnd,"Per=M","Days=A","Fill=P")</f>
        <v/>
      </c>
      <c r="CZQ4" s="9">
        <f>BDH(CZQ$1,"PX_TO_BOOK_RATIO",DataStart,DataEnd,"Per=M","Days=A","Fill=P")</f>
        <v/>
      </c>
      <c r="CZS4" s="9">
        <f>BDH(CZS$1,"PX_TO_BOOK_RATIO",DataStart,DataEnd,"Per=M","Days=A","Fill=P")</f>
        <v/>
      </c>
      <c r="CZU4" s="9">
        <f>BDH(CZU$1,"PX_TO_BOOK_RATIO",DataStart,DataEnd,"Per=M","Days=A","Fill=P")</f>
        <v/>
      </c>
      <c r="CZW4" s="9">
        <f>BDH(CZW$1,"PX_TO_BOOK_RATIO",DataStart,DataEnd,"Per=M","Days=A","Fill=P")</f>
        <v/>
      </c>
      <c r="CZY4" s="9">
        <f>BDH(CZY$1,"PX_TO_BOOK_RATIO",DataStart,DataEnd,"Per=M","Days=A","Fill=P")</f>
        <v/>
      </c>
      <c r="DAA4" s="9">
        <f>BDH(DAA$1,"PX_TO_BOOK_RATIO",DataStart,DataEnd,"Per=M","Days=A","Fill=P")</f>
        <v/>
      </c>
      <c r="DAC4" s="9">
        <f>BDH(DAC$1,"PX_TO_BOOK_RATIO",DataStart,DataEnd,"Per=M","Days=A","Fill=P")</f>
        <v/>
      </c>
      <c r="DAE4" s="9">
        <f>BDH(DAE$1,"PX_TO_BOOK_RATIO",DataStart,DataEnd,"Per=M","Days=A","Fill=P")</f>
        <v/>
      </c>
      <c r="DAG4" s="9">
        <f>BDH(DAG$1,"PX_TO_BOOK_RATIO",DataStart,DataEnd,"Per=M","Days=A","Fill=P")</f>
        <v/>
      </c>
      <c r="DAI4" s="9">
        <f>BDH(DAI$1,"PX_TO_BOOK_RATIO",DataStart,DataEnd,"Per=M","Days=A","Fill=P")</f>
        <v/>
      </c>
      <c r="DAK4" s="9">
        <f>BDH(DAK$1,"PX_TO_BOOK_RATIO",DataStart,DataEnd,"Per=M","Days=A","Fill=P")</f>
        <v/>
      </c>
      <c r="DAM4" s="9">
        <f>BDH(DAM$1,"PX_TO_BOOK_RATIO",DataStart,DataEnd,"Per=M","Days=A","Fill=P")</f>
        <v/>
      </c>
      <c r="DAO4" s="9">
        <f>BDH(DAO$1,"PX_TO_BOOK_RATIO",DataStart,DataEnd,"Per=M","Days=A","Fill=P")</f>
        <v/>
      </c>
      <c r="DAQ4" s="9">
        <f>BDH(DAQ$1,"PX_TO_BOOK_RATIO",DataStart,DataEnd,"Per=M","Days=A","Fill=P")</f>
        <v/>
      </c>
      <c r="DAS4" s="9">
        <f>BDH(DAS$1,"PX_TO_BOOK_RATIO",DataStart,DataEnd,"Per=M","Days=A","Fill=P")</f>
        <v/>
      </c>
      <c r="DAU4" s="9">
        <f>BDH(DAU$1,"PX_TO_BOOK_RATIO",DataStart,DataEnd,"Per=M","Days=A","Fill=P")</f>
        <v/>
      </c>
      <c r="DAW4" s="9">
        <f>BDH(DAW$1,"PX_TO_BOOK_RATIO",DataStart,DataEnd,"Per=M","Days=A","Fill=P")</f>
        <v/>
      </c>
      <c r="DAY4" s="9">
        <f>BDH(DAY$1,"PX_TO_BOOK_RATIO",DataStart,DataEnd,"Per=M","Days=A","Fill=P")</f>
        <v/>
      </c>
      <c r="DBA4" s="9">
        <f>BDH(DBA$1,"PX_TO_BOOK_RATIO",DataStart,DataEnd,"Per=M","Days=A","Fill=P")</f>
        <v/>
      </c>
      <c r="DBC4" s="9">
        <f>BDH(DBC$1,"PX_TO_BOOK_RATIO",DataStart,DataEnd,"Per=M","Days=A","Fill=P")</f>
        <v/>
      </c>
      <c r="DBE4" s="9">
        <f>BDH(DBE$1,"PX_TO_BOOK_RATIO",DataStart,DataEnd,"Per=M","Days=A","Fill=P")</f>
        <v/>
      </c>
      <c r="DBG4" s="9">
        <f>BDH(DBG$1,"PX_TO_BOOK_RATIO",DataStart,DataEnd,"Per=M","Days=A","Fill=P")</f>
        <v/>
      </c>
      <c r="DBI4" s="9">
        <f>BDH(DBI$1,"PX_TO_BOOK_RATIO",DataStart,DataEnd,"Per=M","Days=A","Fill=P")</f>
        <v/>
      </c>
      <c r="DBK4" s="9">
        <f>BDH(DBK$1,"PX_TO_BOOK_RATIO",DataStart,DataEnd,"Per=M","Days=A","Fill=P")</f>
        <v/>
      </c>
      <c r="DBM4" s="9">
        <f>BDH(DBM$1,"PX_TO_BOOK_RATIO",DataStart,DataEnd,"Per=M","Days=A","Fill=P")</f>
        <v/>
      </c>
      <c r="DBO4" s="9">
        <f>BDH(DBO$1,"PX_TO_BOOK_RATIO",DataStart,DataEnd,"Per=M","Days=A","Fill=P")</f>
        <v/>
      </c>
      <c r="DBQ4" s="9">
        <f>BDH(DBQ$1,"PX_TO_BOOK_RATIO",DataStart,DataEnd,"Per=M","Days=A","Fill=P")</f>
        <v/>
      </c>
      <c r="DBS4" s="9">
        <f>BDH(DBS$1,"PX_TO_BOOK_RATIO",DataStart,DataEnd,"Per=M","Days=A","Fill=P")</f>
        <v/>
      </c>
      <c r="DBU4" s="9">
        <f>BDH(DBU$1,"PX_TO_BOOK_RATIO",DataStart,DataEnd,"Per=M","Days=A","Fill=P")</f>
        <v/>
      </c>
      <c r="DBW4" s="9">
        <f>BDH(DBW$1,"PX_TO_BOOK_RATIO",DataStart,DataEnd,"Per=M","Days=A","Fill=P")</f>
        <v/>
      </c>
      <c r="DBY4" s="9">
        <f>BDH(DBY$1,"PX_TO_BOOK_RATIO",DataStart,DataEnd,"Per=M","Days=A","Fill=P")</f>
        <v/>
      </c>
      <c r="DCA4" s="9">
        <f>BDH(DCA$1,"PX_TO_BOOK_RATIO",DataStart,DataEnd,"Per=M","Days=A","Fill=P")</f>
        <v/>
      </c>
      <c r="DCC4" s="9">
        <f>BDH(DCC$1,"PX_TO_BOOK_RATIO",DataStart,DataEnd,"Per=M","Days=A","Fill=P")</f>
        <v/>
      </c>
      <c r="DCE4" s="9">
        <f>BDH(DCE$1,"PX_TO_BOOK_RATIO",DataStart,DataEnd,"Per=M","Days=A","Fill=P")</f>
        <v/>
      </c>
      <c r="DCG4" s="9">
        <f>BDH(DCG$1,"PX_TO_BOOK_RATIO",DataStart,DataEnd,"Per=M","Days=A","Fill=P")</f>
        <v/>
      </c>
      <c r="DCI4" s="9">
        <f>BDH(DCI$1,"PX_TO_BOOK_RATIO",DataStart,DataEnd,"Per=M","Days=A","Fill=P")</f>
        <v/>
      </c>
      <c r="DCK4" s="9">
        <f>BDH(DCK$1,"PX_TO_BOOK_RATIO",DataStart,DataEnd,"Per=M","Days=A","Fill=P")</f>
        <v/>
      </c>
      <c r="DCM4" s="9">
        <f>BDH(DCM$1,"PX_TO_BOOK_RATIO",DataStart,DataEnd,"Per=M","Days=A","Fill=P")</f>
        <v/>
      </c>
      <c r="DCO4" s="9">
        <f>BDH(DCO$1,"PX_TO_BOOK_RATIO",DataStart,DataEnd,"Per=M","Days=A","Fill=P")</f>
        <v/>
      </c>
      <c r="DCQ4" s="9">
        <f>BDH(DCQ$1,"PX_TO_BOOK_RATIO",DataStart,DataEnd,"Per=M","Days=A","Fill=P")</f>
        <v/>
      </c>
      <c r="DCS4" s="9">
        <f>BDH(DCS$1,"PX_TO_BOOK_RATIO",DataStart,DataEnd,"Per=M","Days=A","Fill=P")</f>
        <v/>
      </c>
      <c r="DCU4" s="9">
        <f>BDH(DCU$1,"PX_TO_BOOK_RATIO",DataStart,DataEnd,"Per=M","Days=A","Fill=P")</f>
        <v/>
      </c>
      <c r="DCW4" s="9">
        <f>BDH(DCW$1,"PX_TO_BOOK_RATIO",DataStart,DataEnd,"Per=M","Days=A","Fill=P")</f>
        <v/>
      </c>
      <c r="DCY4" s="9">
        <f>BDH(DCY$1,"PX_TO_BOOK_RATIO",DataStart,DataEnd,"Per=M","Days=A","Fill=P")</f>
        <v/>
      </c>
      <c r="DDA4" s="9">
        <f>BDH(DDA$1,"PX_TO_BOOK_RATIO",DataStart,DataEnd,"Per=M","Days=A","Fill=P")</f>
        <v/>
      </c>
      <c r="DDC4" s="9">
        <f>BDH(DDC$1,"PX_TO_BOOK_RATIO",DataStart,DataEnd,"Per=M","Days=A","Fill=P")</f>
        <v/>
      </c>
      <c r="DDE4" s="9">
        <f>BDH(DDE$1,"PX_TO_BOOK_RATIO",DataStart,DataEnd,"Per=M","Days=A","Fill=P")</f>
        <v/>
      </c>
      <c r="DDG4" s="9">
        <f>BDH(DDG$1,"PX_TO_BOOK_RATIO",DataStart,DataEnd,"Per=M","Days=A","Fill=P")</f>
        <v/>
      </c>
      <c r="DDI4" s="9">
        <f>BDH(DDI$1,"PX_TO_BOOK_RATIO",DataStart,DataEnd,"Per=M","Days=A","Fill=P")</f>
        <v/>
      </c>
      <c r="DDK4" s="9">
        <f>BDH(DDK$1,"PX_TO_BOOK_RATIO",DataStart,DataEnd,"Per=M","Days=A","Fill=P")</f>
        <v/>
      </c>
      <c r="DDM4" s="9">
        <f>BDH(DDM$1,"PX_TO_BOOK_RATIO",DataStart,DataEnd,"Per=M","Days=A","Fill=P")</f>
        <v/>
      </c>
      <c r="DDO4" s="9">
        <f>BDH(DDO$1,"PX_TO_BOOK_RATIO",DataStart,DataEnd,"Per=M","Days=A","Fill=P")</f>
        <v/>
      </c>
      <c r="DDQ4" s="9">
        <f>BDH(DDQ$1,"PX_TO_BOOK_RATIO",DataStart,DataEnd,"Per=M","Days=A","Fill=P")</f>
        <v/>
      </c>
      <c r="DDS4" s="9">
        <f>BDH(DDS$1,"PX_TO_BOOK_RATIO",DataStart,DataEnd,"Per=M","Days=A","Fill=P")</f>
        <v/>
      </c>
      <c r="DDU4" s="9">
        <f>BDH(DDU$1,"PX_TO_BOOK_RATIO",DataStart,DataEnd,"Per=M","Days=A","Fill=P")</f>
        <v/>
      </c>
      <c r="DDW4" s="9">
        <f>BDH(DDW$1,"PX_TO_BOOK_RATIO",DataStart,DataEnd,"Per=M","Days=A","Fill=P")</f>
        <v/>
      </c>
      <c r="DDY4" s="9">
        <f>BDH(DDY$1,"PX_TO_BOOK_RATIO",DataStart,DataEnd,"Per=M","Days=A","Fill=P")</f>
        <v/>
      </c>
      <c r="DEA4" s="9">
        <f>BDH(DEA$1,"PX_TO_BOOK_RATIO",DataStart,DataEnd,"Per=M","Days=A","Fill=P")</f>
        <v/>
      </c>
      <c r="DEC4" s="9">
        <f>BDH(DEC$1,"PX_TO_BOOK_RATIO",DataStart,DataEnd,"Per=M","Days=A","Fill=P")</f>
        <v/>
      </c>
      <c r="DEE4" s="9">
        <f>BDH(DEE$1,"PX_TO_BOOK_RATIO",DataStart,DataEnd,"Per=M","Days=A","Fill=P")</f>
        <v/>
      </c>
      <c r="DEG4" s="9">
        <f>BDH(DEG$1,"PX_TO_BOOK_RATIO",DataStart,DataEnd,"Per=M","Days=A","Fill=P")</f>
        <v/>
      </c>
      <c r="DEI4" s="9">
        <f>BDH(DEI$1,"PX_TO_BOOK_RATIO",DataStart,DataEnd,"Per=M","Days=A","Fill=P")</f>
        <v/>
      </c>
      <c r="DEK4" s="9">
        <f>BDH(DEK$1,"PX_TO_BOOK_RATIO",DataStart,DataEnd,"Per=M","Days=A","Fill=P")</f>
        <v/>
      </c>
      <c r="DEM4" s="9">
        <f>BDH(DEM$1,"PX_TO_BOOK_RATIO",DataStart,DataEnd,"Per=M","Days=A","Fill=P")</f>
        <v/>
      </c>
      <c r="DEO4" s="9">
        <f>BDH(DEO$1,"PX_TO_BOOK_RATIO",DataStart,DataEnd,"Per=M","Days=A","Fill=P")</f>
        <v/>
      </c>
      <c r="DEQ4" s="9">
        <f>BDH(DEQ$1,"PX_TO_BOOK_RATIO",DataStart,DataEnd,"Per=M","Days=A","Fill=P")</f>
        <v/>
      </c>
      <c r="DES4" s="9">
        <f>BDH(DES$1,"PX_TO_BOOK_RATIO",DataStart,DataEnd,"Per=M","Days=A","Fill=P")</f>
        <v/>
      </c>
      <c r="DEU4" s="9">
        <f>BDH(DEU$1,"PX_TO_BOOK_RATIO",DataStart,DataEnd,"Per=M","Days=A","Fill=P")</f>
        <v/>
      </c>
      <c r="DEW4" s="9">
        <f>BDH(DEW$1,"PX_TO_BOOK_RATIO",DataStart,DataEnd,"Per=M","Days=A","Fill=P")</f>
        <v/>
      </c>
      <c r="DEY4" s="9">
        <f>BDH(DEY$1,"PX_TO_BOOK_RATIO",DataStart,DataEnd,"Per=M","Days=A","Fill=P")</f>
        <v/>
      </c>
      <c r="DFA4" s="9">
        <f>BDH(DFA$1,"PX_TO_BOOK_RATIO",DataStart,DataEnd,"Per=M","Days=A","Fill=P")</f>
        <v/>
      </c>
      <c r="DFC4" s="9">
        <f>BDH(DFC$1,"PX_TO_BOOK_RATIO",DataStart,DataEnd,"Per=M","Days=A","Fill=P")</f>
        <v/>
      </c>
      <c r="DFE4" s="9">
        <f>BDH(DFE$1,"PX_TO_BOOK_RATIO",DataStart,DataEnd,"Per=M","Days=A","Fill=P")</f>
        <v/>
      </c>
      <c r="DFG4" s="9">
        <f>BDH(DFG$1,"PX_TO_BOOK_RATIO",DataStart,DataEnd,"Per=M","Days=A","Fill=P")</f>
        <v/>
      </c>
      <c r="DFI4" s="9">
        <f>BDH(DFI$1,"PX_TO_BOOK_RATIO",DataStart,DataEnd,"Per=M","Days=A","Fill=P")</f>
        <v/>
      </c>
      <c r="DFK4" s="9">
        <f>BDH(DFK$1,"PX_TO_BOOK_RATIO",DataStart,DataEnd,"Per=M","Days=A","Fill=P")</f>
        <v/>
      </c>
      <c r="DFM4" s="9">
        <f>BDH(DFM$1,"PX_TO_BOOK_RATIO",DataStart,DataEnd,"Per=M","Days=A","Fill=P")</f>
        <v/>
      </c>
      <c r="DFO4" s="9">
        <f>BDH(DFO$1,"PX_TO_BOOK_RATIO",DataStart,DataEnd,"Per=M","Days=A","Fill=P")</f>
        <v/>
      </c>
      <c r="DFQ4" s="9">
        <f>BDH(DFQ$1,"PX_TO_BOOK_RATIO",DataStart,DataEnd,"Per=M","Days=A","Fill=P")</f>
        <v/>
      </c>
      <c r="DFS4" s="9">
        <f>BDH(DFS$1,"PX_TO_BOOK_RATIO",DataStart,DataEnd,"Per=M","Days=A","Fill=P")</f>
        <v/>
      </c>
      <c r="DFU4" s="9">
        <f>BDH(DFU$1,"PX_TO_BOOK_RATIO",DataStart,DataEnd,"Per=M","Days=A","Fill=P")</f>
        <v/>
      </c>
      <c r="DFW4" s="9">
        <f>BDH(DFW$1,"PX_TO_BOOK_RATIO",DataStart,DataEnd,"Per=M","Days=A","Fill=P")</f>
        <v/>
      </c>
      <c r="DFY4" s="9">
        <f>BDH(DFY$1,"PX_TO_BOOK_RATIO",DataStart,DataEnd,"Per=M","Days=A","Fill=P")</f>
        <v/>
      </c>
      <c r="DGA4" s="9">
        <f>BDH(DGA$1,"PX_TO_BOOK_RATIO",DataStart,DataEnd,"Per=M","Days=A","Fill=P")</f>
        <v/>
      </c>
      <c r="DGC4" s="9">
        <f>BDH(DGC$1,"PX_TO_BOOK_RATIO",DataStart,DataEnd,"Per=M","Days=A","Fill=P")</f>
        <v/>
      </c>
      <c r="DGE4" s="9">
        <f>BDH(DGE$1,"PX_TO_BOOK_RATIO",DataStart,DataEnd,"Per=M","Days=A","Fill=P")</f>
        <v/>
      </c>
      <c r="DGG4" s="9">
        <f>BDH(DGG$1,"PX_TO_BOOK_RATIO",DataStart,DataEnd,"Per=M","Days=A","Fill=P")</f>
        <v/>
      </c>
      <c r="DGI4" s="9">
        <f>BDH(DGI$1,"PX_TO_BOOK_RATIO",DataStart,DataEnd,"Per=M","Days=A","Fill=P")</f>
        <v/>
      </c>
      <c r="DGK4" s="9">
        <f>BDH(DGK$1,"PX_TO_BOOK_RATIO",DataStart,DataEnd,"Per=M","Days=A","Fill=P")</f>
        <v/>
      </c>
      <c r="DGM4" s="9">
        <f>BDH(DGM$1,"PX_TO_BOOK_RATIO",DataStart,DataEnd,"Per=M","Days=A","Fill=P")</f>
        <v/>
      </c>
      <c r="DGO4" s="9">
        <f>BDH(DGO$1,"PX_TO_BOOK_RATIO",DataStart,DataEnd,"Per=M","Days=A","Fill=P")</f>
        <v/>
      </c>
      <c r="DGQ4" s="9">
        <f>BDH(DGQ$1,"PX_TO_BOOK_RATIO",DataStart,DataEnd,"Per=M","Days=A","Fill=P")</f>
        <v/>
      </c>
      <c r="DGS4" s="9">
        <f>BDH(DGS$1,"PX_TO_BOOK_RATIO",DataStart,DataEnd,"Per=M","Days=A","Fill=P")</f>
        <v/>
      </c>
      <c r="DGU4" s="9">
        <f>BDH(DGU$1,"PX_TO_BOOK_RATIO",DataStart,DataEnd,"Per=M","Days=A","Fill=P")</f>
        <v/>
      </c>
      <c r="DGW4" s="9">
        <f>BDH(DGW$1,"PX_TO_BOOK_RATIO",DataStart,DataEnd,"Per=M","Days=A","Fill=P")</f>
        <v/>
      </c>
      <c r="DGY4" s="9">
        <f>BDH(DGY$1,"PX_TO_BOOK_RATIO",DataStart,DataEnd,"Per=M","Days=A","Fill=P")</f>
        <v/>
      </c>
      <c r="DHA4" s="9">
        <f>BDH(DHA$1,"PX_TO_BOOK_RATIO",DataStart,DataEnd,"Per=M","Days=A","Fill=P")</f>
        <v/>
      </c>
      <c r="DHC4" s="9">
        <f>BDH(DHC$1,"PX_TO_BOOK_RATIO",DataStart,DataEnd,"Per=M","Days=A","Fill=P")</f>
        <v/>
      </c>
      <c r="DHE4" s="9">
        <f>BDH(DHE$1,"PX_TO_BOOK_RATIO",DataStart,DataEnd,"Per=M","Days=A","Fill=P")</f>
        <v/>
      </c>
      <c r="DHG4" s="9">
        <f>BDH(DHG$1,"PX_TO_BOOK_RATIO",DataStart,DataEnd,"Per=M","Days=A","Fill=P")</f>
        <v/>
      </c>
      <c r="DHI4" s="9">
        <f>BDH(DHI$1,"PX_TO_BOOK_RATIO",DataStart,DataEnd,"Per=M","Days=A","Fill=P")</f>
        <v/>
      </c>
      <c r="DHK4" s="9">
        <f>BDH(DHK$1,"PX_TO_BOOK_RATIO",DataStart,DataEnd,"Per=M","Days=A","Fill=P")</f>
        <v/>
      </c>
      <c r="DHM4" s="9">
        <f>BDH(DHM$1,"PX_TO_BOOK_RATIO",DataStart,DataEnd,"Per=M","Days=A","Fill=P")</f>
        <v/>
      </c>
      <c r="DHO4" s="9">
        <f>BDH(DHO$1,"PX_TO_BOOK_RATIO",DataStart,DataEnd,"Per=M","Days=A","Fill=P")</f>
        <v/>
      </c>
      <c r="DHQ4" s="9">
        <f>BDH(DHQ$1,"PX_TO_BOOK_RATIO",DataStart,DataEnd,"Per=M","Days=A","Fill=P")</f>
        <v/>
      </c>
      <c r="DHS4" s="9">
        <f>BDH(DHS$1,"PX_TO_BOOK_RATIO",DataStart,DataEnd,"Per=M","Days=A","Fill=P")</f>
        <v/>
      </c>
      <c r="DHU4" s="9">
        <f>BDH(DHU$1,"PX_TO_BOOK_RATIO",DataStart,DataEnd,"Per=M","Days=A","Fill=P")</f>
        <v/>
      </c>
      <c r="DHW4" s="9">
        <f>BDH(DHW$1,"PX_TO_BOOK_RATIO",DataStart,DataEnd,"Per=M","Days=A","Fill=P")</f>
        <v/>
      </c>
      <c r="DHY4" s="9">
        <f>BDH(DHY$1,"PX_TO_BOOK_RATIO",DataStart,DataEnd,"Per=M","Days=A","Fill=P")</f>
        <v/>
      </c>
      <c r="DIA4" s="9">
        <f>BDH(DIA$1,"PX_TO_BOOK_RATIO",DataStart,DataEnd,"Per=M","Days=A","Fill=P")</f>
        <v/>
      </c>
      <c r="DIC4" s="9">
        <f>BDH(DIC$1,"PX_TO_BOOK_RATIO",DataStart,DataEnd,"Per=M","Days=A","Fill=P")</f>
        <v/>
      </c>
      <c r="DIE4" s="9">
        <f>BDH(DIE$1,"PX_TO_BOOK_RATIO",DataStart,DataEnd,"Per=M","Days=A","Fill=P")</f>
        <v/>
      </c>
      <c r="DIG4" s="9">
        <f>BDH(DIG$1,"PX_TO_BOOK_RATIO",DataStart,DataEnd,"Per=M","Days=A","Fill=P")</f>
        <v/>
      </c>
      <c r="DII4" s="9">
        <f>BDH(DII$1,"PX_TO_BOOK_RATIO",DataStart,DataEnd,"Per=M","Days=A","Fill=P")</f>
        <v/>
      </c>
      <c r="DIK4" s="9">
        <f>BDH(DIK$1,"PX_TO_BOOK_RATIO",DataStart,DataEnd,"Per=M","Days=A","Fill=P")</f>
        <v/>
      </c>
      <c r="DIM4" s="9">
        <f>BDH(DIM$1,"PX_TO_BOOK_RATIO",DataStart,DataEnd,"Per=M","Days=A","Fill=P")</f>
        <v/>
      </c>
      <c r="DIO4" s="9">
        <f>BDH(DIO$1,"PX_TO_BOOK_RATIO",DataStart,DataEnd,"Per=M","Days=A","Fill=P")</f>
        <v/>
      </c>
      <c r="DIQ4" s="9">
        <f>BDH(DIQ$1,"PX_TO_BOOK_RATIO",DataStart,DataEnd,"Per=M","Days=A","Fill=P")</f>
        <v/>
      </c>
      <c r="DIS4" s="9">
        <f>BDH(DIS$1,"PX_TO_BOOK_RATIO",DataStart,DataEnd,"Per=M","Days=A","Fill=P")</f>
        <v/>
      </c>
      <c r="DIU4" s="9">
        <f>BDH(DIU$1,"PX_TO_BOOK_RATIO",DataStart,DataEnd,"Per=M","Days=A","Fill=P")</f>
        <v/>
      </c>
      <c r="DIW4" s="9">
        <f>BDH(DIW$1,"PX_TO_BOOK_RATIO",DataStart,DataEnd,"Per=M","Days=A","Fill=P")</f>
        <v/>
      </c>
      <c r="DIY4" s="9">
        <f>BDH(DIY$1,"PX_TO_BOOK_RATIO",DataStart,DataEnd,"Per=M","Days=A","Fill=P")</f>
        <v/>
      </c>
      <c r="DJA4" s="9">
        <f>BDH(DJA$1,"PX_TO_BOOK_RATIO",DataStart,DataEnd,"Per=M","Days=A","Fill=P")</f>
        <v/>
      </c>
      <c r="DJC4" s="9">
        <f>BDH(DJC$1,"PX_TO_BOOK_RATIO",DataStart,DataEnd,"Per=M","Days=A","Fill=P")</f>
        <v/>
      </c>
      <c r="DJE4" s="9">
        <f>BDH(DJE$1,"PX_TO_BOOK_RATIO",DataStart,DataEnd,"Per=M","Days=A","Fill=P")</f>
        <v/>
      </c>
      <c r="DJG4" s="9">
        <f>BDH(DJG$1,"PX_TO_BOOK_RATIO",DataStart,DataEnd,"Per=M","Days=A","Fill=P")</f>
        <v/>
      </c>
      <c r="DJI4" s="9">
        <f>BDH(DJI$1,"PX_TO_BOOK_RATIO",DataStart,DataEnd,"Per=M","Days=A","Fill=P")</f>
        <v/>
      </c>
      <c r="DJK4" s="9">
        <f>BDH(DJK$1,"PX_TO_BOOK_RATIO",DataStart,DataEnd,"Per=M","Days=A","Fill=P")</f>
        <v/>
      </c>
      <c r="DJM4" s="9">
        <f>BDH(DJM$1,"PX_TO_BOOK_RATIO",DataStart,DataEnd,"Per=M","Days=A","Fill=P")</f>
        <v/>
      </c>
      <c r="DJO4" s="9">
        <f>BDH(DJO$1,"PX_TO_BOOK_RATIO",DataStart,DataEnd,"Per=M","Days=A","Fill=P")</f>
        <v/>
      </c>
      <c r="DJQ4" s="9">
        <f>BDH(DJQ$1,"PX_TO_BOOK_RATIO",DataStart,DataEnd,"Per=M","Days=A","Fill=P")</f>
        <v/>
      </c>
      <c r="DJS4" s="9">
        <f>BDH(DJS$1,"PX_TO_BOOK_RATIO",DataStart,DataEnd,"Per=M","Days=A","Fill=P")</f>
        <v/>
      </c>
      <c r="DJU4" s="9">
        <f>BDH(DJU$1,"PX_TO_BOOK_RATIO",DataStart,DataEnd,"Per=M","Days=A","Fill=P")</f>
        <v/>
      </c>
      <c r="DJW4" s="9">
        <f>BDH(DJW$1,"PX_TO_BOOK_RATIO",DataStart,DataEnd,"Per=M","Days=A","Fill=P")</f>
        <v/>
      </c>
      <c r="DJY4" s="9">
        <f>BDH(DJY$1,"PX_TO_BOOK_RATIO",DataStart,DataEnd,"Per=M","Days=A","Fill=P")</f>
        <v/>
      </c>
      <c r="DKA4" s="9">
        <f>BDH(DKA$1,"PX_TO_BOOK_RATIO",DataStart,DataEnd,"Per=M","Days=A","Fill=P")</f>
        <v/>
      </c>
      <c r="DKC4" s="9">
        <f>BDH(DKC$1,"PX_TO_BOOK_RATIO",DataStart,DataEnd,"Per=M","Days=A","Fill=P")</f>
        <v/>
      </c>
      <c r="DKE4" s="9">
        <f>BDH(DKE$1,"PX_TO_BOOK_RATIO",DataStart,DataEnd,"Per=M","Days=A","Fill=P")</f>
        <v/>
      </c>
      <c r="DKG4" s="9">
        <f>BDH(DKG$1,"PX_TO_BOOK_RATIO",DataStart,DataEnd,"Per=M","Days=A","Fill=P")</f>
        <v/>
      </c>
      <c r="DKI4" s="9">
        <f>BDH(DKI$1,"PX_TO_BOOK_RATIO",DataStart,DataEnd,"Per=M","Days=A","Fill=P")</f>
        <v/>
      </c>
      <c r="DKK4" s="9">
        <f>BDH(DKK$1,"PX_TO_BOOK_RATIO",DataStart,DataEnd,"Per=M","Days=A","Fill=P")</f>
        <v/>
      </c>
      <c r="DKM4" s="9">
        <f>BDH(DKM$1,"PX_TO_BOOK_RATIO",DataStart,DataEnd,"Per=M","Days=A","Fill=P")</f>
        <v/>
      </c>
      <c r="DKO4" s="9">
        <f>BDH(DKO$1,"PX_TO_BOOK_RATIO",DataStart,DataEnd,"Per=M","Days=A","Fill=P")</f>
        <v/>
      </c>
      <c r="DKQ4" s="9">
        <f>BDH(DKQ$1,"PX_TO_BOOK_RATIO",DataStart,DataEnd,"Per=M","Days=A","Fill=P")</f>
        <v/>
      </c>
      <c r="DKS4" s="9">
        <f>BDH(DKS$1,"PX_TO_BOOK_RATIO",DataStart,DataEnd,"Per=M","Days=A","Fill=P")</f>
        <v/>
      </c>
      <c r="DKU4" s="9">
        <f>BDH(DKU$1,"PX_TO_BOOK_RATIO",DataStart,DataEnd,"Per=M","Days=A","Fill=P")</f>
        <v/>
      </c>
      <c r="DKW4" s="9">
        <f>BDH(DKW$1,"PX_TO_BOOK_RATIO",DataStart,DataEnd,"Per=M","Days=A","Fill=P")</f>
        <v/>
      </c>
      <c r="DKY4" s="9">
        <f>BDH(DKY$1,"PX_TO_BOOK_RATIO",DataStart,DataEnd,"Per=M","Days=A","Fill=P")</f>
        <v/>
      </c>
      <c r="DLA4" s="9">
        <f>BDH(DLA$1,"PX_TO_BOOK_RATIO",DataStart,DataEnd,"Per=M","Days=A","Fill=P")</f>
        <v/>
      </c>
      <c r="DLC4" s="9">
        <f>BDH(DLC$1,"PX_TO_BOOK_RATIO",DataStart,DataEnd,"Per=M","Days=A","Fill=P")</f>
        <v/>
      </c>
      <c r="DLE4" s="9">
        <f>BDH(DLE$1,"PX_TO_BOOK_RATIO",DataStart,DataEnd,"Per=M","Days=A","Fill=P")</f>
        <v/>
      </c>
      <c r="DLG4" s="9">
        <f>BDH(DLG$1,"PX_TO_BOOK_RATIO",DataStart,DataEnd,"Per=M","Days=A","Fill=P")</f>
        <v/>
      </c>
      <c r="DLI4" s="9">
        <f>BDH(DLI$1,"PX_TO_BOOK_RATIO",DataStart,DataEnd,"Per=M","Days=A","Fill=P")</f>
        <v/>
      </c>
      <c r="DLK4" s="9">
        <f>BDH(DLK$1,"PX_TO_BOOK_RATIO",DataStart,DataEnd,"Per=M","Days=A","Fill=P")</f>
        <v/>
      </c>
      <c r="DLM4" s="9">
        <f>BDH(DLM$1,"PX_TO_BOOK_RATIO",DataStart,DataEnd,"Per=M","Days=A","Fill=P")</f>
        <v/>
      </c>
      <c r="DLO4" s="9">
        <f>BDH(DLO$1,"PX_TO_BOOK_RATIO",DataStart,DataEnd,"Per=M","Days=A","Fill=P")</f>
        <v/>
      </c>
      <c r="DLQ4" s="9">
        <f>BDH(DLQ$1,"PX_TO_BOOK_RATIO",DataStart,DataEnd,"Per=M","Days=A","Fill=P")</f>
        <v/>
      </c>
      <c r="DLS4" s="9">
        <f>BDH(DLS$1,"PX_TO_BOOK_RATIO",DataStart,DataEnd,"Per=M","Days=A","Fill=P")</f>
        <v/>
      </c>
      <c r="DLU4" s="9">
        <f>BDH(DLU$1,"PX_TO_BOOK_RATIO",DataStart,DataEnd,"Per=M","Days=A","Fill=P")</f>
        <v/>
      </c>
      <c r="DLW4" s="9">
        <f>BDH(DLW$1,"PX_TO_BOOK_RATIO",DataStart,DataEnd,"Per=M","Days=A","Fill=P")</f>
        <v/>
      </c>
      <c r="DLY4" s="9">
        <f>BDH(DLY$1,"PX_TO_BOOK_RATIO",DataStart,DataEnd,"Per=M","Days=A","Fill=P")</f>
        <v/>
      </c>
      <c r="DMA4" s="9">
        <f>BDH(DMA$1,"PX_TO_BOOK_RATIO",DataStart,DataEnd,"Per=M","Days=A","Fill=P")</f>
        <v/>
      </c>
      <c r="DMC4" s="9">
        <f>BDH(DMC$1,"PX_TO_BOOK_RATIO",DataStart,DataEnd,"Per=M","Days=A","Fill=P")</f>
        <v/>
      </c>
      <c r="DME4" s="9">
        <f>BDH(DME$1,"PX_TO_BOOK_RATIO",DataStart,DataEnd,"Per=M","Days=A","Fill=P")</f>
        <v/>
      </c>
      <c r="DMG4" s="9">
        <f>BDH(DMG$1,"PX_TO_BOOK_RATIO",DataStart,DataEnd,"Per=M","Days=A","Fill=P")</f>
        <v/>
      </c>
      <c r="DMI4" s="9">
        <f>BDH(DMI$1,"PX_TO_BOOK_RATIO",DataStart,DataEnd,"Per=M","Days=A","Fill=P")</f>
        <v/>
      </c>
      <c r="DMK4" s="9">
        <f>BDH(DMK$1,"PX_TO_BOOK_RATIO",DataStart,DataEnd,"Per=M","Days=A","Fill=P")</f>
        <v/>
      </c>
      <c r="DMM4" s="9">
        <f>BDH(DMM$1,"PX_TO_BOOK_RATIO",DataStart,DataEnd,"Per=M","Days=A","Fill=P")</f>
        <v/>
      </c>
      <c r="DMO4" s="9">
        <f>BDH(DMO$1,"PX_TO_BOOK_RATIO",DataStart,DataEnd,"Per=M","Days=A","Fill=P")</f>
        <v/>
      </c>
      <c r="DMQ4" s="9">
        <f>BDH(DMQ$1,"PX_TO_BOOK_RATIO",DataStart,DataEnd,"Per=M","Days=A","Fill=P")</f>
        <v/>
      </c>
      <c r="DMS4" s="9">
        <f>BDH(DMS$1,"PX_TO_BOOK_RATIO",DataStart,DataEnd,"Per=M","Days=A","Fill=P")</f>
        <v/>
      </c>
      <c r="DMU4" s="9">
        <f>BDH(DMU$1,"PX_TO_BOOK_RATIO",DataStart,DataEnd,"Per=M","Days=A","Fill=P")</f>
        <v/>
      </c>
      <c r="DMW4" s="9">
        <f>BDH(DMW$1,"PX_TO_BOOK_RATIO",DataStart,DataEnd,"Per=M","Days=A","Fill=P")</f>
        <v/>
      </c>
      <c r="DMY4" s="9">
        <f>BDH(DMY$1,"PX_TO_BOOK_RATIO",DataStart,DataEnd,"Per=M","Days=A","Fill=P")</f>
        <v/>
      </c>
      <c r="DNA4" s="9">
        <f>BDH(DNA$1,"PX_TO_BOOK_RATIO",DataStart,DataEnd,"Per=M","Days=A","Fill=P")</f>
        <v/>
      </c>
      <c r="DNC4" s="9">
        <f>BDH(DNC$1,"PX_TO_BOOK_RATIO",DataStart,DataEnd,"Per=M","Days=A","Fill=P")</f>
        <v/>
      </c>
      <c r="DNE4" s="9">
        <f>BDH(DNE$1,"PX_TO_BOOK_RATIO",DataStart,DataEnd,"Per=M","Days=A","Fill=P")</f>
        <v/>
      </c>
      <c r="DNG4" s="9">
        <f>BDH(DNG$1,"PX_TO_BOOK_RATIO",DataStart,DataEnd,"Per=M","Days=A","Fill=P")</f>
        <v/>
      </c>
      <c r="DNI4" s="9">
        <f>BDH(DNI$1,"PX_TO_BOOK_RATIO",DataStart,DataEnd,"Per=M","Days=A","Fill=P")</f>
        <v/>
      </c>
      <c r="DNK4" s="9">
        <f>BDH(DNK$1,"PX_TO_BOOK_RATIO",DataStart,DataEnd,"Per=M","Days=A","Fill=P")</f>
        <v/>
      </c>
      <c r="DNM4" s="9">
        <f>BDH(DNM$1,"PX_TO_BOOK_RATIO",DataStart,DataEnd,"Per=M","Days=A","Fill=P")</f>
        <v/>
      </c>
      <c r="DNO4" s="9">
        <f>BDH(DNO$1,"PX_TO_BOOK_RATIO",DataStart,DataEnd,"Per=M","Days=A","Fill=P")</f>
        <v/>
      </c>
      <c r="DNQ4" s="9">
        <f>BDH(DNQ$1,"PX_TO_BOOK_RATIO",DataStart,DataEnd,"Per=M","Days=A","Fill=P")</f>
        <v/>
      </c>
      <c r="DNS4" s="9">
        <f>BDH(DNS$1,"PX_TO_BOOK_RATIO",DataStart,DataEnd,"Per=M","Days=A","Fill=P")</f>
        <v/>
      </c>
      <c r="DNU4" s="9">
        <f>BDH(DNU$1,"PX_TO_BOOK_RATIO",DataStart,DataEnd,"Per=M","Days=A","Fill=P")</f>
        <v/>
      </c>
      <c r="DNW4" s="9">
        <f>BDH(DNW$1,"PX_TO_BOOK_RATIO",DataStart,DataEnd,"Per=M","Days=A","Fill=P")</f>
        <v/>
      </c>
      <c r="DNY4" s="9">
        <f>BDH(DNY$1,"PX_TO_BOOK_RATIO",DataStart,DataEnd,"Per=M","Days=A","Fill=P")</f>
        <v/>
      </c>
      <c r="DOA4" s="9">
        <f>BDH(DOA$1,"PX_TO_BOOK_RATIO",DataStart,DataEnd,"Per=M","Days=A","Fill=P")</f>
        <v/>
      </c>
      <c r="DOC4" s="9">
        <f>BDH(DOC$1,"PX_TO_BOOK_RATIO",DataStart,DataEnd,"Per=M","Days=A","Fill=P")</f>
        <v/>
      </c>
      <c r="DOE4" s="9">
        <f>BDH(DOE$1,"PX_TO_BOOK_RATIO",DataStart,DataEnd,"Per=M","Days=A","Fill=P")</f>
        <v/>
      </c>
      <c r="DOG4" s="9">
        <f>BDH(DOG$1,"PX_TO_BOOK_RATIO",DataStart,DataEnd,"Per=M","Days=A","Fill=P")</f>
        <v/>
      </c>
      <c r="DOI4" s="9">
        <f>BDH(DOI$1,"PX_TO_BOOK_RATIO",DataStart,DataEnd,"Per=M","Days=A","Fill=P")</f>
        <v/>
      </c>
      <c r="DOK4" s="9">
        <f>BDH(DOK$1,"PX_TO_BOOK_RATIO",DataStart,DataEnd,"Per=M","Days=A","Fill=P")</f>
        <v/>
      </c>
      <c r="DOM4" s="9">
        <f>BDH(DOM$1,"PX_TO_BOOK_RATIO",DataStart,DataEnd,"Per=M","Days=A","Fill=P")</f>
        <v/>
      </c>
      <c r="DOO4" s="9">
        <f>BDH(DOO$1,"PX_TO_BOOK_RATIO",DataStart,DataEnd,"Per=M","Days=A","Fill=P")</f>
        <v/>
      </c>
      <c r="DOQ4" s="9">
        <f>BDH(DOQ$1,"PX_TO_BOOK_RATIO",DataStart,DataEnd,"Per=M","Days=A","Fill=P")</f>
        <v/>
      </c>
      <c r="DOS4" s="9">
        <f>BDH(DOS$1,"PX_TO_BOOK_RATIO",DataStart,DataEnd,"Per=M","Days=A","Fill=P")</f>
        <v/>
      </c>
      <c r="DOU4" s="9">
        <f>BDH(DOU$1,"PX_TO_BOOK_RATIO",DataStart,DataEnd,"Per=M","Days=A","Fill=P")</f>
        <v/>
      </c>
      <c r="DOW4" s="9">
        <f>BDH(DOW$1,"PX_TO_BOOK_RATIO",DataStart,DataEnd,"Per=M","Days=A","Fill=P")</f>
        <v/>
      </c>
      <c r="DOY4" s="9">
        <f>BDH(DOY$1,"PX_TO_BOOK_RATIO",DataStart,DataEnd,"Per=M","Days=A","Fill=P")</f>
        <v/>
      </c>
      <c r="DPA4" s="9">
        <f>BDH(DPA$1,"PX_TO_BOOK_RATIO",DataStart,DataEnd,"Per=M","Days=A","Fill=P")</f>
        <v/>
      </c>
      <c r="DPC4" s="9">
        <f>BDH(DPC$1,"PX_TO_BOOK_RATIO",DataStart,DataEnd,"Per=M","Days=A","Fill=P")</f>
        <v/>
      </c>
      <c r="DPE4" s="9">
        <f>BDH(DPE$1,"PX_TO_BOOK_RATIO",DataStart,DataEnd,"Per=M","Days=A","Fill=P")</f>
        <v/>
      </c>
      <c r="DPG4" s="9">
        <f>BDH(DPG$1,"PX_TO_BOOK_RATIO",DataStart,DataEnd,"Per=M","Days=A","Fill=P")</f>
        <v/>
      </c>
      <c r="DPI4" s="9">
        <f>BDH(DPI$1,"PX_TO_BOOK_RATIO",DataStart,DataEnd,"Per=M","Days=A","Fill=P")</f>
        <v/>
      </c>
      <c r="DPK4" s="9">
        <f>BDH(DPK$1,"PX_TO_BOOK_RATIO",DataStart,DataEnd,"Per=M","Days=A","Fill=P")</f>
        <v/>
      </c>
      <c r="DPM4" s="9">
        <f>BDH(DPM$1,"PX_TO_BOOK_RATIO",DataStart,DataEnd,"Per=M","Days=A","Fill=P")</f>
        <v/>
      </c>
      <c r="DPO4" s="9">
        <f>BDH(DPO$1,"PX_TO_BOOK_RATIO",DataStart,DataEnd,"Per=M","Days=A","Fill=P")</f>
        <v/>
      </c>
      <c r="DPQ4" s="9">
        <f>BDH(DPQ$1,"PX_TO_BOOK_RATIO",DataStart,DataEnd,"Per=M","Days=A","Fill=P")</f>
        <v/>
      </c>
      <c r="DPS4" s="9">
        <f>BDH(DPS$1,"PX_TO_BOOK_RATIO",DataStart,DataEnd,"Per=M","Days=A","Fill=P")</f>
        <v/>
      </c>
      <c r="DPU4" s="9">
        <f>BDH(DPU$1,"PX_TO_BOOK_RATIO",DataStart,DataEnd,"Per=M","Days=A","Fill=P")</f>
        <v/>
      </c>
      <c r="DPW4" s="9">
        <f>BDH(DPW$1,"PX_TO_BOOK_RATIO",DataStart,DataEnd,"Per=M","Days=A","Fill=P")</f>
        <v/>
      </c>
      <c r="DPY4" s="9">
        <f>BDH(DPY$1,"PX_TO_BOOK_RATIO",DataStart,DataEnd,"Per=M","Days=A","Fill=P")</f>
        <v/>
      </c>
      <c r="DQA4" s="9">
        <f>BDH(DQA$1,"PX_TO_BOOK_RATIO",DataStart,DataEnd,"Per=M","Days=A","Fill=P")</f>
        <v/>
      </c>
      <c r="DQC4" s="9">
        <f>BDH(DQC$1,"PX_TO_BOOK_RATIO",DataStart,DataEnd,"Per=M","Days=A","Fill=P")</f>
        <v/>
      </c>
      <c r="DQE4" s="9">
        <f>BDH(DQE$1,"PX_TO_BOOK_RATIO",DataStart,DataEnd,"Per=M","Days=A","Fill=P")</f>
        <v/>
      </c>
      <c r="DQG4" s="9">
        <f>BDH(DQG$1,"PX_TO_BOOK_RATIO",DataStart,DataEnd,"Per=M","Days=A","Fill=P")</f>
        <v/>
      </c>
      <c r="DQI4" s="9">
        <f>BDH(DQI$1,"PX_TO_BOOK_RATIO",DataStart,DataEnd,"Per=M","Days=A","Fill=P")</f>
        <v/>
      </c>
      <c r="DQK4" s="9">
        <f>BDH(DQK$1,"PX_TO_BOOK_RATIO",DataStart,DataEnd,"Per=M","Days=A","Fill=P")</f>
        <v/>
      </c>
      <c r="DQM4" s="9">
        <f>BDH(DQM$1,"PX_TO_BOOK_RATIO",DataStart,DataEnd,"Per=M","Days=A","Fill=P")</f>
        <v/>
      </c>
      <c r="DQO4" s="9">
        <f>BDH(DQO$1,"PX_TO_BOOK_RATIO",DataStart,DataEnd,"Per=M","Days=A","Fill=P")</f>
        <v/>
      </c>
      <c r="DQQ4" s="9">
        <f>BDH(DQQ$1,"PX_TO_BOOK_RATIO",DataStart,DataEnd,"Per=M","Days=A","Fill=P")</f>
        <v/>
      </c>
      <c r="DQS4" s="9">
        <f>BDH(DQS$1,"PX_TO_BOOK_RATIO",DataStart,DataEnd,"Per=M","Days=A","Fill=P")</f>
        <v/>
      </c>
      <c r="DQU4" s="9">
        <f>BDH(DQU$1,"PX_TO_BOOK_RATIO",DataStart,DataEnd,"Per=M","Days=A","Fill=P")</f>
        <v/>
      </c>
      <c r="DQW4" s="9">
        <f>BDH(DQW$1,"PX_TO_BOOK_RATIO",DataStart,DataEnd,"Per=M","Days=A","Fill=P")</f>
        <v/>
      </c>
      <c r="DQY4" s="9">
        <f>BDH(DQY$1,"PX_TO_BOOK_RATIO",DataStart,DataEnd,"Per=M","Days=A","Fill=P")</f>
        <v/>
      </c>
      <c r="DRA4" s="9">
        <f>BDH(DRA$1,"PX_TO_BOOK_RATIO",DataStart,DataEnd,"Per=M","Days=A","Fill=P")</f>
        <v/>
      </c>
      <c r="DRC4" s="9">
        <f>BDH(DRC$1,"PX_TO_BOOK_RATIO",DataStart,DataEnd,"Per=M","Days=A","Fill=P")</f>
        <v/>
      </c>
      <c r="DRE4" s="9">
        <f>BDH(DRE$1,"PX_TO_BOOK_RATIO",DataStart,DataEnd,"Per=M","Days=A","Fill=P")</f>
        <v/>
      </c>
      <c r="DRG4" s="9">
        <f>BDH(DRG$1,"PX_TO_BOOK_RATIO",DataStart,DataEnd,"Per=M","Days=A","Fill=P")</f>
        <v/>
      </c>
      <c r="DRI4" s="9">
        <f>BDH(DRI$1,"PX_TO_BOOK_RATIO",DataStart,DataEnd,"Per=M","Days=A","Fill=P")</f>
        <v/>
      </c>
      <c r="DRK4" s="9">
        <f>BDH(DRK$1,"PX_TO_BOOK_RATIO",DataStart,DataEnd,"Per=M","Days=A","Fill=P")</f>
        <v/>
      </c>
      <c r="DRM4" s="9">
        <f>BDH(DRM$1,"PX_TO_BOOK_RATIO",DataStart,DataEnd,"Per=M","Days=A","Fill=P")</f>
        <v/>
      </c>
      <c r="DRO4" s="9">
        <f>BDH(DRO$1,"PX_TO_BOOK_RATIO",DataStart,DataEnd,"Per=M","Days=A","Fill=P")</f>
        <v/>
      </c>
      <c r="DRQ4" s="9">
        <f>BDH(DRQ$1,"PX_TO_BOOK_RATIO",DataStart,DataEnd,"Per=M","Days=A","Fill=P")</f>
        <v/>
      </c>
      <c r="DRS4" s="9">
        <f>BDH(DRS$1,"PX_TO_BOOK_RATIO",DataStart,DataEnd,"Per=M","Days=A","Fill=P")</f>
        <v/>
      </c>
      <c r="DRU4" s="9">
        <f>BDH(DRU$1,"PX_TO_BOOK_RATIO",DataStart,DataEnd,"Per=M","Days=A","Fill=P")</f>
        <v/>
      </c>
      <c r="DRW4" s="9">
        <f>BDH(DRW$1,"PX_TO_BOOK_RATIO",DataStart,DataEnd,"Per=M","Days=A","Fill=P")</f>
        <v/>
      </c>
      <c r="DRY4" s="9">
        <f>BDH(DRY$1,"PX_TO_BOOK_RATIO",DataStart,DataEnd,"Per=M","Days=A","Fill=P")</f>
        <v/>
      </c>
      <c r="DSA4" s="9">
        <f>BDH(DSA$1,"PX_TO_BOOK_RATIO",DataStart,DataEnd,"Per=M","Days=A","Fill=P")</f>
        <v/>
      </c>
      <c r="DSC4" s="9">
        <f>BDH(DSC$1,"PX_TO_BOOK_RATIO",DataStart,DataEnd,"Per=M","Days=A","Fill=P")</f>
        <v/>
      </c>
      <c r="DSE4" s="9">
        <f>BDH(DSE$1,"PX_TO_BOOK_RATIO",DataStart,DataEnd,"Per=M","Days=A","Fill=P")</f>
        <v/>
      </c>
      <c r="DSG4" s="9">
        <f>BDH(DSG$1,"PX_TO_BOOK_RATIO",DataStart,DataEnd,"Per=M","Days=A","Fill=P")</f>
        <v/>
      </c>
      <c r="DSI4" s="9">
        <f>BDH(DSI$1,"PX_TO_BOOK_RATIO",DataStart,DataEnd,"Per=M","Days=A","Fill=P")</f>
        <v/>
      </c>
      <c r="DSK4" s="9">
        <f>BDH(DSK$1,"PX_TO_BOOK_RATIO",DataStart,DataEnd,"Per=M","Days=A","Fill=P")</f>
        <v/>
      </c>
      <c r="DSM4" s="9">
        <f>BDH(DSM$1,"PX_TO_BOOK_RATIO",DataStart,DataEnd,"Per=M","Days=A","Fill=P")</f>
        <v/>
      </c>
      <c r="DSO4" s="9">
        <f>BDH(DSO$1,"PX_TO_BOOK_RATIO",DataStart,DataEnd,"Per=M","Days=A","Fill=P")</f>
        <v/>
      </c>
      <c r="DSQ4" s="9">
        <f>BDH(DSQ$1,"PX_TO_BOOK_RATIO",DataStart,DataEnd,"Per=M","Days=A","Fill=P")</f>
        <v/>
      </c>
      <c r="DSS4" s="9">
        <f>BDH(DSS$1,"PX_TO_BOOK_RATIO",DataStart,DataEnd,"Per=M","Days=A","Fill=P")</f>
        <v/>
      </c>
      <c r="DSU4" s="9">
        <f>BDH(DSU$1,"PX_TO_BOOK_RATIO",DataStart,DataEnd,"Per=M","Days=A","Fill=P")</f>
        <v/>
      </c>
      <c r="DSW4" s="9">
        <f>BDH(DSW$1,"PX_TO_BOOK_RATIO",DataStart,DataEnd,"Per=M","Days=A","Fill=P")</f>
        <v/>
      </c>
      <c r="DSY4" s="9">
        <f>BDH(DSY$1,"PX_TO_BOOK_RATIO",DataStart,DataEnd,"Per=M","Days=A","Fill=P")</f>
        <v/>
      </c>
      <c r="DTA4" s="9">
        <f>BDH(DTA$1,"PX_TO_BOOK_RATIO",DataStart,DataEnd,"Per=M","Days=A","Fill=P")</f>
        <v/>
      </c>
      <c r="DTC4" s="9">
        <f>BDH(DTC$1,"PX_TO_BOOK_RATIO",DataStart,DataEnd,"Per=M","Days=A","Fill=P")</f>
        <v/>
      </c>
      <c r="DTE4" s="9">
        <f>BDH(DTE$1,"PX_TO_BOOK_RATIO",DataStart,DataEnd,"Per=M","Days=A","Fill=P")</f>
        <v/>
      </c>
      <c r="DTG4" s="9">
        <f>BDH(DTG$1,"PX_TO_BOOK_RATIO",DataStart,DataEnd,"Per=M","Days=A","Fill=P")</f>
        <v/>
      </c>
      <c r="DTI4" s="9">
        <f>BDH(DTI$1,"PX_TO_BOOK_RATIO",DataStart,DataEnd,"Per=M","Days=A","Fill=P")</f>
        <v/>
      </c>
      <c r="DTK4" s="9">
        <f>BDH(DTK$1,"PX_TO_BOOK_RATIO",DataStart,DataEnd,"Per=M","Days=A","Fill=P")</f>
        <v/>
      </c>
      <c r="DTM4" s="9">
        <f>BDH(DTM$1,"PX_TO_BOOK_RATIO",DataStart,DataEnd,"Per=M","Days=A","Fill=P")</f>
        <v/>
      </c>
      <c r="DTO4" s="9">
        <f>BDH(DTO$1,"PX_TO_BOOK_RATIO",DataStart,DataEnd,"Per=M","Days=A","Fill=P")</f>
        <v/>
      </c>
      <c r="DTQ4" s="9">
        <f>BDH(DTQ$1,"PX_TO_BOOK_RATIO",DataStart,DataEnd,"Per=M","Days=A","Fill=P")</f>
        <v/>
      </c>
      <c r="DTS4" s="9">
        <f>BDH(DTS$1,"PX_TO_BOOK_RATIO",DataStart,DataEnd,"Per=M","Days=A","Fill=P")</f>
        <v/>
      </c>
      <c r="DTU4" s="9">
        <f>BDH(DTU$1,"PX_TO_BOOK_RATIO",DataStart,DataEnd,"Per=M","Days=A","Fill=P")</f>
        <v/>
      </c>
      <c r="DTW4" s="9">
        <f>BDH(DTW$1,"PX_TO_BOOK_RATIO",DataStart,DataEnd,"Per=M","Days=A","Fill=P")</f>
        <v/>
      </c>
      <c r="DTY4" s="9">
        <f>BDH(DTY$1,"PX_TO_BOOK_RATIO",DataStart,DataEnd,"Per=M","Days=A","Fill=P")</f>
        <v/>
      </c>
      <c r="DUA4" s="9">
        <f>BDH(DUA$1,"PX_TO_BOOK_RATIO",DataStart,DataEnd,"Per=M","Days=A","Fill=P")</f>
        <v/>
      </c>
      <c r="DUC4" s="9">
        <f>BDH(DUC$1,"PX_TO_BOOK_RATIO",DataStart,DataEnd,"Per=M","Days=A","Fill=P")</f>
        <v/>
      </c>
      <c r="DUE4" s="9">
        <f>BDH(DUE$1,"PX_TO_BOOK_RATIO",DataStart,DataEnd,"Per=M","Days=A","Fill=P")</f>
        <v/>
      </c>
      <c r="DUG4" s="9">
        <f>BDH(DUG$1,"PX_TO_BOOK_RATIO",DataStart,DataEnd,"Per=M","Days=A","Fill=P")</f>
        <v/>
      </c>
      <c r="DUI4" s="9">
        <f>BDH(DUI$1,"PX_TO_BOOK_RATIO",DataStart,DataEnd,"Per=M","Days=A","Fill=P")</f>
        <v/>
      </c>
      <c r="DUK4" s="9">
        <f>BDH(DUK$1,"PX_TO_BOOK_RATIO",DataStart,DataEnd,"Per=M","Days=A","Fill=P")</f>
        <v/>
      </c>
      <c r="DUM4" s="9">
        <f>BDH(DUM$1,"PX_TO_BOOK_RATIO",DataStart,DataEnd,"Per=M","Days=A","Fill=P")</f>
        <v/>
      </c>
      <c r="DUO4" s="9">
        <f>BDH(DUO$1,"PX_TO_BOOK_RATIO",DataStart,DataEnd,"Per=M","Days=A","Fill=P")</f>
        <v/>
      </c>
      <c r="DUQ4" s="9">
        <f>BDH(DUQ$1,"PX_TO_BOOK_RATIO",DataStart,DataEnd,"Per=M","Days=A","Fill=P")</f>
        <v/>
      </c>
      <c r="DUS4" s="9">
        <f>BDH(DUS$1,"PX_TO_BOOK_RATIO",DataStart,DataEnd,"Per=M","Days=A","Fill=P")</f>
        <v/>
      </c>
      <c r="DUU4" s="9">
        <f>BDH(DUU$1,"PX_TO_BOOK_RATIO",DataStart,DataEnd,"Per=M","Days=A","Fill=P")</f>
        <v/>
      </c>
      <c r="DUW4" s="9">
        <f>BDH(DUW$1,"PX_TO_BOOK_RATIO",DataStart,DataEnd,"Per=M","Days=A","Fill=P")</f>
        <v/>
      </c>
      <c r="DUY4" s="9">
        <f>BDH(DUY$1,"PX_TO_BOOK_RATIO",DataStart,DataEnd,"Per=M","Days=A","Fill=P")</f>
        <v/>
      </c>
      <c r="DVA4" s="9">
        <f>BDH(DVA$1,"PX_TO_BOOK_RATIO",DataStart,DataEnd,"Per=M","Days=A","Fill=P")</f>
        <v/>
      </c>
      <c r="DVC4" s="9">
        <f>BDH(DVC$1,"PX_TO_BOOK_RATIO",DataStart,DataEnd,"Per=M","Days=A","Fill=P")</f>
        <v/>
      </c>
      <c r="DVE4" s="9">
        <f>BDH(DVE$1,"PX_TO_BOOK_RATIO",DataStart,DataEnd,"Per=M","Days=A","Fill=P")</f>
        <v/>
      </c>
      <c r="DVG4" s="9">
        <f>BDH(DVG$1,"PX_TO_BOOK_RATIO",DataStart,DataEnd,"Per=M","Days=A","Fill=P")</f>
        <v/>
      </c>
      <c r="DVI4" s="9">
        <f>BDH(DVI$1,"PX_TO_BOOK_RATIO",DataStart,DataEnd,"Per=M","Days=A","Fill=P")</f>
        <v/>
      </c>
      <c r="DVK4" s="9">
        <f>BDH(DVK$1,"PX_TO_BOOK_RATIO",DataStart,DataEnd,"Per=M","Days=A","Fill=P")</f>
        <v/>
      </c>
      <c r="DVM4" s="9">
        <f>BDH(DVM$1,"PX_TO_BOOK_RATIO",DataStart,DataEnd,"Per=M","Days=A","Fill=P")</f>
        <v/>
      </c>
      <c r="DVO4" s="9">
        <f>BDH(DVO$1,"PX_TO_BOOK_RATIO",DataStart,DataEnd,"Per=M","Days=A","Fill=P")</f>
        <v/>
      </c>
      <c r="DVQ4" s="9">
        <f>BDH(DVQ$1,"PX_TO_BOOK_RATIO",DataStart,DataEnd,"Per=M","Days=A","Fill=P")</f>
        <v/>
      </c>
      <c r="DVS4" s="9">
        <f>BDH(DVS$1,"PX_TO_BOOK_RATIO",DataStart,DataEnd,"Per=M","Days=A","Fill=P")</f>
        <v/>
      </c>
      <c r="DVU4" s="9">
        <f>BDH(DVU$1,"PX_TO_BOOK_RATIO",DataStart,DataEnd,"Per=M","Days=A","Fill=P")</f>
        <v/>
      </c>
      <c r="DVW4" s="9">
        <f>BDH(DVW$1,"PX_TO_BOOK_RATIO",DataStart,DataEnd,"Per=M","Days=A","Fill=P")</f>
        <v/>
      </c>
      <c r="DVY4" s="9">
        <f>BDH(DVY$1,"PX_TO_BOOK_RATIO",DataStart,DataEnd,"Per=M","Days=A","Fill=P")</f>
        <v/>
      </c>
      <c r="DWA4" s="9">
        <f>BDH(DWA$1,"PX_TO_BOOK_RATIO",DataStart,DataEnd,"Per=M","Days=A","Fill=P")</f>
        <v/>
      </c>
      <c r="DWC4" s="9">
        <f>BDH(DWC$1,"PX_TO_BOOK_RATIO",DataStart,DataEnd,"Per=M","Days=A","Fill=P")</f>
        <v/>
      </c>
      <c r="DWE4" s="9">
        <f>BDH(DWE$1,"PX_TO_BOOK_RATIO",DataStart,DataEnd,"Per=M","Days=A","Fill=P")</f>
        <v/>
      </c>
      <c r="DWG4" s="9">
        <f>BDH(DWG$1,"PX_TO_BOOK_RATIO",DataStart,DataEnd,"Per=M","Days=A","Fill=P")</f>
        <v/>
      </c>
      <c r="DWI4" s="9">
        <f>BDH(DWI$1,"PX_TO_BOOK_RATIO",DataStart,DataEnd,"Per=M","Days=A","Fill=P")</f>
        <v/>
      </c>
      <c r="DWK4" s="9">
        <f>BDH(DWK$1,"PX_TO_BOOK_RATIO",DataStart,DataEnd,"Per=M","Days=A","Fill=P")</f>
        <v/>
      </c>
      <c r="DWM4" s="9">
        <f>BDH(DWM$1,"PX_TO_BOOK_RATIO",DataStart,DataEnd,"Per=M","Days=A","Fill=P")</f>
        <v/>
      </c>
      <c r="DWO4" s="9">
        <f>BDH(DWO$1,"PX_TO_BOOK_RATIO",DataStart,DataEnd,"Per=M","Days=A","Fill=P")</f>
        <v/>
      </c>
      <c r="DWQ4" s="9">
        <f>BDH(DWQ$1,"PX_TO_BOOK_RATIO",DataStart,DataEnd,"Per=M","Days=A","Fill=P")</f>
        <v/>
      </c>
      <c r="DWS4" s="9">
        <f>BDH(DWS$1,"PX_TO_BOOK_RATIO",DataStart,DataEnd,"Per=M","Days=A","Fill=P")</f>
        <v/>
      </c>
      <c r="DWU4" s="9">
        <f>BDH(DWU$1,"PX_TO_BOOK_RATIO",DataStart,DataEnd,"Per=M","Days=A","Fill=P")</f>
        <v/>
      </c>
      <c r="DWW4" s="9">
        <f>BDH(DWW$1,"PX_TO_BOOK_RATIO",DataStart,DataEnd,"Per=M","Days=A","Fill=P")</f>
        <v/>
      </c>
      <c r="DWY4" s="9">
        <f>BDH(DWY$1,"PX_TO_BOOK_RATIO",DataStart,DataEnd,"Per=M","Days=A","Fill=P")</f>
        <v/>
      </c>
      <c r="DXA4" s="9">
        <f>BDH(DXA$1,"PX_TO_BOOK_RATIO",DataStart,DataEnd,"Per=M","Days=A","Fill=P")</f>
        <v/>
      </c>
      <c r="DXC4" s="9">
        <f>BDH(DXC$1,"PX_TO_BOOK_RATIO",DataStart,DataEnd,"Per=M","Days=A","Fill=P")</f>
        <v/>
      </c>
      <c r="DXE4" s="9">
        <f>BDH(DXE$1,"PX_TO_BOOK_RATIO",DataStart,DataEnd,"Per=M","Days=A","Fill=P")</f>
        <v/>
      </c>
      <c r="DXG4" s="9">
        <f>BDH(DXG$1,"PX_TO_BOOK_RATIO",DataStart,DataEnd,"Per=M","Days=A","Fill=P")</f>
        <v/>
      </c>
      <c r="DXI4" s="9">
        <f>BDH(DXI$1,"PX_TO_BOOK_RATIO",DataStart,DataEnd,"Per=M","Days=A","Fill=P")</f>
        <v/>
      </c>
      <c r="DXK4" s="9">
        <f>BDH(DXK$1,"PX_TO_BOOK_RATIO",DataStart,DataEnd,"Per=M","Days=A","Fill=P")</f>
        <v/>
      </c>
      <c r="DXM4" s="9">
        <f>BDH(DXM$1,"PX_TO_BOOK_RATIO",DataStart,DataEnd,"Per=M","Days=A","Fill=P")</f>
        <v/>
      </c>
      <c r="DXO4" s="9">
        <f>BDH(DXO$1,"PX_TO_BOOK_RATIO",DataStart,DataEnd,"Per=M","Days=A","Fill=P")</f>
        <v/>
      </c>
      <c r="DXQ4" s="9">
        <f>BDH(DXQ$1,"PX_TO_BOOK_RATIO",DataStart,DataEnd,"Per=M","Days=A","Fill=P")</f>
        <v/>
      </c>
      <c r="DXS4" s="9">
        <f>BDH(DXS$1,"PX_TO_BOOK_RATIO",DataStart,DataEnd,"Per=M","Days=A","Fill=P")</f>
        <v/>
      </c>
      <c r="DXU4" s="9">
        <f>BDH(DXU$1,"PX_TO_BOOK_RATIO",DataStart,DataEnd,"Per=M","Days=A","Fill=P")</f>
        <v/>
      </c>
      <c r="DXW4" s="9">
        <f>BDH(DXW$1,"PX_TO_BOOK_RATIO",DataStart,DataEnd,"Per=M","Days=A","Fill=P")</f>
        <v/>
      </c>
      <c r="DXY4" s="9">
        <f>BDH(DXY$1,"PX_TO_BOOK_RATIO",DataStart,DataEnd,"Per=M","Days=A","Fill=P")</f>
        <v/>
      </c>
      <c r="DYA4" s="9">
        <f>BDH(DYA$1,"PX_TO_BOOK_RATIO",DataStart,DataEnd,"Per=M","Days=A","Fill=P")</f>
        <v/>
      </c>
      <c r="DYC4" s="9">
        <f>BDH(DYC$1,"PX_TO_BOOK_RATIO",DataStart,DataEnd,"Per=M","Days=A","Fill=P")</f>
        <v/>
      </c>
      <c r="DYE4" s="9">
        <f>BDH(DYE$1,"PX_TO_BOOK_RATIO",DataStart,DataEnd,"Per=M","Days=A","Fill=P")</f>
        <v/>
      </c>
      <c r="DYG4" s="9">
        <f>BDH(DYG$1,"PX_TO_BOOK_RATIO",DataStart,DataEnd,"Per=M","Days=A","Fill=P")</f>
        <v/>
      </c>
      <c r="DYI4" s="9">
        <f>BDH(DYI$1,"PX_TO_BOOK_RATIO",DataStart,DataEnd,"Per=M","Days=A","Fill=P")</f>
        <v/>
      </c>
      <c r="DYK4" s="9">
        <f>BDH(DYK$1,"PX_TO_BOOK_RATIO",DataStart,DataEnd,"Per=M","Days=A","Fill=P")</f>
        <v/>
      </c>
      <c r="DYM4" s="9">
        <f>BDH(DYM$1,"PX_TO_BOOK_RATIO",DataStart,DataEnd,"Per=M","Days=A","Fill=P")</f>
        <v/>
      </c>
      <c r="DYO4" s="9">
        <f>BDH(DYO$1,"PX_TO_BOOK_RATIO",DataStart,DataEnd,"Per=M","Days=A","Fill=P")</f>
        <v/>
      </c>
      <c r="DYQ4" s="9">
        <f>BDH(DYQ$1,"PX_TO_BOOK_RATIO",DataStart,DataEnd,"Per=M","Days=A","Fill=P")</f>
        <v/>
      </c>
      <c r="DYS4" s="9">
        <f>BDH(DYS$1,"PX_TO_BOOK_RATIO",DataStart,DataEnd,"Per=M","Days=A","Fill=P")</f>
        <v/>
      </c>
      <c r="DYU4" s="9">
        <f>BDH(DYU$1,"PX_TO_BOOK_RATIO",DataStart,DataEnd,"Per=M","Days=A","Fill=P")</f>
        <v/>
      </c>
      <c r="DYW4" s="9">
        <f>BDH(DYW$1,"PX_TO_BOOK_RATIO",DataStart,DataEnd,"Per=M","Days=A","Fill=P")</f>
        <v/>
      </c>
      <c r="DYY4" s="9">
        <f>BDH(DYY$1,"PX_TO_BOOK_RATIO",DataStart,DataEnd,"Per=M","Days=A","Fill=P")</f>
        <v/>
      </c>
      <c r="DZA4" s="9">
        <f>BDH(DZA$1,"PX_TO_BOOK_RATIO",DataStart,DataEnd,"Per=M","Days=A","Fill=P")</f>
        <v/>
      </c>
      <c r="DZC4" s="9">
        <f>BDH(DZC$1,"PX_TO_BOOK_RATIO",DataStart,DataEnd,"Per=M","Days=A","Fill=P")</f>
        <v/>
      </c>
      <c r="DZE4" s="9">
        <f>BDH(DZE$1,"PX_TO_BOOK_RATIO",DataStart,DataEnd,"Per=M","Days=A","Fill=P")</f>
        <v/>
      </c>
      <c r="DZG4" s="9">
        <f>BDH(DZG$1,"PX_TO_BOOK_RATIO",DataStart,DataEnd,"Per=M","Days=A","Fill=P")</f>
        <v/>
      </c>
      <c r="DZI4" s="9">
        <f>BDH(DZI$1,"PX_TO_BOOK_RATIO",DataStart,DataEnd,"Per=M","Days=A","Fill=P")</f>
        <v/>
      </c>
      <c r="DZK4" s="9">
        <f>BDH(DZK$1,"PX_TO_BOOK_RATIO",DataStart,DataEnd,"Per=M","Days=A","Fill=P")</f>
        <v/>
      </c>
      <c r="DZM4" s="9">
        <f>BDH(DZM$1,"PX_TO_BOOK_RATIO",DataStart,DataEnd,"Per=M","Days=A","Fill=P")</f>
        <v/>
      </c>
      <c r="DZO4" s="9">
        <f>BDH(DZO$1,"PX_TO_BOOK_RATIO",DataStart,DataEnd,"Per=M","Days=A","Fill=P")</f>
        <v/>
      </c>
      <c r="DZQ4" s="9">
        <f>BDH(DZQ$1,"PX_TO_BOOK_RATIO",DataStart,DataEnd,"Per=M","Days=A","Fill=P")</f>
        <v/>
      </c>
      <c r="DZS4" s="9">
        <f>BDH(DZS$1,"PX_TO_BOOK_RATIO",DataStart,DataEnd,"Per=M","Days=A","Fill=P")</f>
        <v/>
      </c>
      <c r="DZU4" s="9">
        <f>BDH(DZU$1,"PX_TO_BOOK_RATIO",DataStart,DataEnd,"Per=M","Days=A","Fill=P")</f>
        <v/>
      </c>
      <c r="DZW4" s="9">
        <f>BDH(DZW$1,"PX_TO_BOOK_RATIO",DataStart,DataEnd,"Per=M","Days=A","Fill=P")</f>
        <v/>
      </c>
      <c r="DZY4" s="9">
        <f>BDH(DZY$1,"PX_TO_BOOK_RATIO",DataStart,DataEnd,"Per=M","Days=A","Fill=P")</f>
        <v/>
      </c>
      <c r="EAA4" s="9">
        <f>BDH(EAA$1,"PX_TO_BOOK_RATIO",DataStart,DataEnd,"Per=M","Days=A","Fill=P")</f>
        <v/>
      </c>
      <c r="EAC4" s="9">
        <f>BDH(EAC$1,"PX_TO_BOOK_RATIO",DataStart,DataEnd,"Per=M","Days=A","Fill=P")</f>
        <v/>
      </c>
      <c r="EAE4" s="9">
        <f>BDH(EAE$1,"PX_TO_BOOK_RATIO",DataStart,DataEnd,"Per=M","Days=A","Fill=P")</f>
        <v/>
      </c>
      <c r="EAG4" s="9">
        <f>BDH(EAG$1,"PX_TO_BOOK_RATIO",DataStart,DataEnd,"Per=M","Days=A","Fill=P")</f>
        <v/>
      </c>
      <c r="EAI4" s="9">
        <f>BDH(EAI$1,"PX_TO_BOOK_RATIO",DataStart,DataEnd,"Per=M","Days=A","Fill=P")</f>
        <v/>
      </c>
      <c r="EAK4" s="9">
        <f>BDH(EAK$1,"PX_TO_BOOK_RATIO",DataStart,DataEnd,"Per=M","Days=A","Fill=P")</f>
        <v/>
      </c>
      <c r="EAM4" s="9">
        <f>BDH(EAM$1,"PX_TO_BOOK_RATIO",DataStart,DataEnd,"Per=M","Days=A","Fill=P")</f>
        <v/>
      </c>
      <c r="EAO4" s="9">
        <f>BDH(EAO$1,"PX_TO_BOOK_RATIO",DataStart,DataEnd,"Per=M","Days=A","Fill=P")</f>
        <v/>
      </c>
      <c r="EAQ4" s="9">
        <f>BDH(EAQ$1,"PX_TO_BOOK_RATIO",DataStart,DataEnd,"Per=M","Days=A","Fill=P")</f>
        <v/>
      </c>
      <c r="EAS4" s="9">
        <f>BDH(EAS$1,"PX_TO_BOOK_RATIO",DataStart,DataEnd,"Per=M","Days=A","Fill=P")</f>
        <v/>
      </c>
      <c r="EAU4" s="9">
        <f>BDH(EAU$1,"PX_TO_BOOK_RATIO",DataStart,DataEnd,"Per=M","Days=A","Fill=P")</f>
        <v/>
      </c>
      <c r="EAW4" s="9">
        <f>BDH(EAW$1,"PX_TO_BOOK_RATIO",DataStart,DataEnd,"Per=M","Days=A","Fill=P")</f>
        <v/>
      </c>
      <c r="EAY4" s="9">
        <f>BDH(EAY$1,"PX_TO_BOOK_RATIO",DataStart,DataEnd,"Per=M","Days=A","Fill=P")</f>
        <v/>
      </c>
      <c r="EBA4" s="9">
        <f>BDH(EBA$1,"PX_TO_BOOK_RATIO",DataStart,DataEnd,"Per=M","Days=A","Fill=P")</f>
        <v/>
      </c>
      <c r="EBC4" s="9">
        <f>BDH(EBC$1,"PX_TO_BOOK_RATIO",DataStart,DataEnd,"Per=M","Days=A","Fill=P")</f>
        <v/>
      </c>
      <c r="EBE4" s="9">
        <f>BDH(EBE$1,"PX_TO_BOOK_RATIO",DataStart,DataEnd,"Per=M","Days=A","Fill=P")</f>
        <v/>
      </c>
      <c r="EBG4" s="9">
        <f>BDH(EBG$1,"PX_TO_BOOK_RATIO",DataStart,DataEnd,"Per=M","Days=A","Fill=P")</f>
        <v/>
      </c>
      <c r="EBI4" s="9">
        <f>BDH(EBI$1,"PX_TO_BOOK_RATIO",DataStart,DataEnd,"Per=M","Days=A","Fill=P")</f>
        <v/>
      </c>
      <c r="EBK4" s="9">
        <f>BDH(EBK$1,"PX_TO_BOOK_RATIO",DataStart,DataEnd,"Per=M","Days=A","Fill=P")</f>
        <v/>
      </c>
      <c r="EBM4" s="9">
        <f>BDH(EBM$1,"PX_TO_BOOK_RATIO",DataStart,DataEnd,"Per=M","Days=A","Fill=P")</f>
        <v/>
      </c>
      <c r="EBO4" s="9">
        <f>BDH(EBO$1,"PX_TO_BOOK_RATIO",DataStart,DataEnd,"Per=M","Days=A","Fill=P")</f>
        <v/>
      </c>
      <c r="EBQ4" s="9">
        <f>BDH(EBQ$1,"PX_TO_BOOK_RATIO",DataStart,DataEnd,"Per=M","Days=A","Fill=P")</f>
        <v/>
      </c>
      <c r="EBS4" s="9">
        <f>BDH(EBS$1,"PX_TO_BOOK_RATIO",DataStart,DataEnd,"Per=M","Days=A","Fill=P")</f>
        <v/>
      </c>
      <c r="EBU4" s="9">
        <f>BDH(EBU$1,"PX_TO_BOOK_RATIO",DataStart,DataEnd,"Per=M","Days=A","Fill=P")</f>
        <v/>
      </c>
      <c r="EBW4" s="9">
        <f>BDH(EBW$1,"PX_TO_BOOK_RATIO",DataStart,DataEnd,"Per=M","Days=A","Fill=P")</f>
        <v/>
      </c>
      <c r="EBY4" s="9">
        <f>BDH(EBY$1,"PX_TO_BOOK_RATIO",DataStart,DataEnd,"Per=M","Days=A","Fill=P")</f>
        <v/>
      </c>
      <c r="ECA4" s="9">
        <f>BDH(ECA$1,"PX_TO_BOOK_RATIO",DataStart,DataEnd,"Per=M","Days=A","Fill=P")</f>
        <v/>
      </c>
      <c r="ECC4" s="9">
        <f>BDH(ECC$1,"PX_TO_BOOK_RATIO",DataStart,DataEnd,"Per=M","Days=A","Fill=P")</f>
        <v/>
      </c>
      <c r="ECE4" s="9">
        <f>BDH(ECE$1,"PX_TO_BOOK_RATIO",DataStart,DataEnd,"Per=M","Days=A","Fill=P")</f>
        <v/>
      </c>
      <c r="ECG4" s="9">
        <f>BDH(ECG$1,"PX_TO_BOOK_RATIO",DataStart,DataEnd,"Per=M","Days=A","Fill=P")</f>
        <v/>
      </c>
      <c r="ECI4" s="9">
        <f>BDH(ECI$1,"PX_TO_BOOK_RATIO",DataStart,DataEnd,"Per=M","Days=A","Fill=P")</f>
        <v/>
      </c>
      <c r="ECK4" s="9">
        <f>BDH(ECK$1,"PX_TO_BOOK_RATIO",DataStart,DataEnd,"Per=M","Days=A","Fill=P")</f>
        <v/>
      </c>
      <c r="ECM4" s="9">
        <f>BDH(ECM$1,"PX_TO_BOOK_RATIO",DataStart,DataEnd,"Per=M","Days=A","Fill=P")</f>
        <v/>
      </c>
      <c r="ECO4" s="9">
        <f>BDH(ECO$1,"PX_TO_BOOK_RATIO",DataStart,DataEnd,"Per=M","Days=A","Fill=P")</f>
        <v/>
      </c>
      <c r="ECQ4" s="9">
        <f>BDH(ECQ$1,"PX_TO_BOOK_RATIO",DataStart,DataEnd,"Per=M","Days=A","Fill=P")</f>
        <v/>
      </c>
      <c r="ECS4" s="9">
        <f>BDH(ECS$1,"PX_TO_BOOK_RATIO",DataStart,DataEnd,"Per=M","Days=A","Fill=P")</f>
        <v/>
      </c>
      <c r="ECU4" s="9">
        <f>BDH(ECU$1,"PX_TO_BOOK_RATIO",DataStart,DataEnd,"Per=M","Days=A","Fill=P")</f>
        <v/>
      </c>
      <c r="ECW4" s="9">
        <f>BDH(ECW$1,"PX_TO_BOOK_RATIO",DataStart,DataEnd,"Per=M","Days=A","Fill=P")</f>
        <v/>
      </c>
      <c r="ECY4" s="9">
        <f>BDH(ECY$1,"PX_TO_BOOK_RATIO",DataStart,DataEnd,"Per=M","Days=A","Fill=P")</f>
        <v/>
      </c>
      <c r="EDA4" s="9">
        <f>BDH(EDA$1,"PX_TO_BOOK_RATIO",DataStart,DataEnd,"Per=M","Days=A","Fill=P")</f>
        <v/>
      </c>
      <c r="EDC4" s="9">
        <f>BDH(EDC$1,"PX_TO_BOOK_RATIO",DataStart,DataEnd,"Per=M","Days=A","Fill=P")</f>
        <v/>
      </c>
      <c r="EDE4" s="9">
        <f>BDH(EDE$1,"PX_TO_BOOK_RATIO",DataStart,DataEnd,"Per=M","Days=A","Fill=P")</f>
        <v/>
      </c>
      <c r="EDG4" s="9">
        <f>BDH(EDG$1,"PX_TO_BOOK_RATIO",DataStart,DataEnd,"Per=M","Days=A","Fill=P")</f>
        <v/>
      </c>
      <c r="EDI4" s="9">
        <f>BDH(EDI$1,"PX_TO_BOOK_RATIO",DataStart,DataEnd,"Per=M","Days=A","Fill=P")</f>
        <v/>
      </c>
      <c r="EDK4" s="9">
        <f>BDH(EDK$1,"PX_TO_BOOK_RATIO",DataStart,DataEnd,"Per=M","Days=A","Fill=P")</f>
        <v/>
      </c>
      <c r="EDM4" s="9">
        <f>BDH(EDM$1,"PX_TO_BOOK_RATIO",DataStart,DataEnd,"Per=M","Days=A","Fill=P")</f>
        <v/>
      </c>
      <c r="EDO4" s="9">
        <f>BDH(EDO$1,"PX_TO_BOOK_RATIO",DataStart,DataEnd,"Per=M","Days=A","Fill=P")</f>
        <v/>
      </c>
      <c r="EDQ4" s="9">
        <f>BDH(EDQ$1,"PX_TO_BOOK_RATIO",DataStart,DataEnd,"Per=M","Days=A","Fill=P")</f>
        <v/>
      </c>
      <c r="EDS4" s="9">
        <f>BDH(EDS$1,"PX_TO_BOOK_RATIO",DataStart,DataEnd,"Per=M","Days=A","Fill=P")</f>
        <v/>
      </c>
      <c r="EDU4" s="9">
        <f>BDH(EDU$1,"PX_TO_BOOK_RATIO",DataStart,DataEnd,"Per=M","Days=A","Fill=P")</f>
        <v/>
      </c>
      <c r="EDW4" s="9">
        <f>BDH(EDW$1,"PX_TO_BOOK_RATIO",DataStart,DataEnd,"Per=M","Days=A","Fill=P")</f>
        <v/>
      </c>
      <c r="EDY4" s="9">
        <f>BDH(EDY$1,"PX_TO_BOOK_RATIO",DataStart,DataEnd,"Per=M","Days=A","Fill=P")</f>
        <v/>
      </c>
      <c r="EEA4" s="9">
        <f>BDH(EEA$1,"PX_TO_BOOK_RATIO",DataStart,DataEnd,"Per=M","Days=A","Fill=P")</f>
        <v/>
      </c>
      <c r="EEC4" s="9">
        <f>BDH(EEC$1,"PX_TO_BOOK_RATIO",DataStart,DataEnd,"Per=M","Days=A","Fill=P")</f>
        <v/>
      </c>
      <c r="EEE4" s="9">
        <f>BDH(EEE$1,"PX_TO_BOOK_RATIO",DataStart,DataEnd,"Per=M","Days=A","Fill=P")</f>
        <v/>
      </c>
      <c r="EEG4" s="9">
        <f>BDH(EEG$1,"PX_TO_BOOK_RATIO",DataStart,DataEnd,"Per=M","Days=A","Fill=P")</f>
        <v/>
      </c>
      <c r="EEI4" s="9">
        <f>BDH(EEI$1,"PX_TO_BOOK_RATIO",DataStart,DataEnd,"Per=M","Days=A","Fill=P")</f>
        <v/>
      </c>
      <c r="EEK4" s="9">
        <f>BDH(EEK$1,"PX_TO_BOOK_RATIO",DataStart,DataEnd,"Per=M","Days=A","Fill=P")</f>
        <v/>
      </c>
      <c r="EEM4" s="9">
        <f>BDH(EEM$1,"PX_TO_BOOK_RATIO",DataStart,DataEnd,"Per=M","Days=A","Fill=P")</f>
        <v/>
      </c>
      <c r="EEO4" s="9">
        <f>BDH(EEO$1,"PX_TO_BOOK_RATIO",DataStart,DataEnd,"Per=M","Days=A","Fill=P")</f>
        <v/>
      </c>
      <c r="EEQ4" s="9">
        <f>BDH(EEQ$1,"PX_TO_BOOK_RATIO",DataStart,DataEnd,"Per=M","Days=A","Fill=P")</f>
        <v/>
      </c>
      <c r="EES4" s="9">
        <f>BDH(EES$1,"PX_TO_BOOK_RATIO",DataStart,DataEnd,"Per=M","Days=A","Fill=P")</f>
        <v/>
      </c>
      <c r="EEU4" s="9">
        <f>BDH(EEU$1,"PX_TO_BOOK_RATIO",DataStart,DataEnd,"Per=M","Days=A","Fill=P")</f>
        <v/>
      </c>
      <c r="EEW4" s="9">
        <f>BDH(EEW$1,"PX_TO_BOOK_RATIO",DataStart,DataEnd,"Per=M","Days=A","Fill=P")</f>
        <v/>
      </c>
      <c r="EEY4" s="9">
        <f>BDH(EEY$1,"PX_TO_BOOK_RATIO",DataStart,DataEnd,"Per=M","Days=A","Fill=P")</f>
        <v/>
      </c>
      <c r="EFA4" s="9">
        <f>BDH(EFA$1,"PX_TO_BOOK_RATIO",DataStart,DataEnd,"Per=M","Days=A","Fill=P")</f>
        <v/>
      </c>
      <c r="EFC4" s="9">
        <f>BDH(EFC$1,"PX_TO_BOOK_RATIO",DataStart,DataEnd,"Per=M","Days=A","Fill=P")</f>
        <v/>
      </c>
      <c r="EFE4" s="9">
        <f>BDH(EFE$1,"PX_TO_BOOK_RATIO",DataStart,DataEnd,"Per=M","Days=A","Fill=P")</f>
        <v/>
      </c>
      <c r="EFG4" s="9">
        <f>BDH(EFG$1,"PX_TO_BOOK_RATIO",DataStart,DataEnd,"Per=M","Days=A","Fill=P")</f>
        <v/>
      </c>
      <c r="EFI4" s="9">
        <f>BDH(EFI$1,"PX_TO_BOOK_RATIO",DataStart,DataEnd,"Per=M","Days=A","Fill=P")</f>
        <v/>
      </c>
      <c r="EFK4" s="9">
        <f>BDH(EFK$1,"PX_TO_BOOK_RATIO",DataStart,DataEnd,"Per=M","Days=A","Fill=P")</f>
        <v/>
      </c>
      <c r="EFM4" s="9">
        <f>BDH(EFM$1,"PX_TO_BOOK_RATIO",DataStart,DataEnd,"Per=M","Days=A","Fill=P")</f>
        <v/>
      </c>
      <c r="EFO4" s="9">
        <f>BDH(EFO$1,"PX_TO_BOOK_RATIO",DataStart,DataEnd,"Per=M","Days=A","Fill=P")</f>
        <v/>
      </c>
      <c r="EFQ4" s="9">
        <f>BDH(EFQ$1,"PX_TO_BOOK_RATIO",DataStart,DataEnd,"Per=M","Days=A","Fill=P")</f>
        <v/>
      </c>
      <c r="EFS4" s="9">
        <f>BDH(EFS$1,"PX_TO_BOOK_RATIO",DataStart,DataEnd,"Per=M","Days=A","Fill=P")</f>
        <v/>
      </c>
      <c r="EFU4" s="9">
        <f>BDH(EFU$1,"PX_TO_BOOK_RATIO",DataStart,DataEnd,"Per=M","Days=A","Fill=P")</f>
        <v/>
      </c>
      <c r="EFW4" s="9">
        <f>BDH(EFW$1,"PX_TO_BOOK_RATIO",DataStart,DataEnd,"Per=M","Days=A","Fill=P")</f>
        <v/>
      </c>
      <c r="EFY4" s="9">
        <f>BDH(EFY$1,"PX_TO_BOOK_RATIO",DataStart,DataEnd,"Per=M","Days=A","Fill=P")</f>
        <v/>
      </c>
      <c r="EGA4" s="9">
        <f>BDH(EGA$1,"PX_TO_BOOK_RATIO",DataStart,DataEnd,"Per=M","Days=A","Fill=P")</f>
        <v/>
      </c>
      <c r="EGC4" s="9">
        <f>BDH(EGC$1,"PX_TO_BOOK_RATIO",DataStart,DataEnd,"Per=M","Days=A","Fill=P")</f>
        <v/>
      </c>
      <c r="EGE4" s="9">
        <f>BDH(EGE$1,"PX_TO_BOOK_RATIO",DataStart,DataEnd,"Per=M","Days=A","Fill=P")</f>
        <v/>
      </c>
      <c r="EGG4" s="9">
        <f>BDH(EGG$1,"PX_TO_BOOK_RATIO",DataStart,DataEnd,"Per=M","Days=A","Fill=P")</f>
        <v/>
      </c>
      <c r="EGI4" s="9">
        <f>BDH(EGI$1,"PX_TO_BOOK_RATIO",DataStart,DataEnd,"Per=M","Days=A","Fill=P")</f>
        <v/>
      </c>
      <c r="EGK4" s="9">
        <f>BDH(EGK$1,"PX_TO_BOOK_RATIO",DataStart,DataEnd,"Per=M","Days=A","Fill=P")</f>
        <v/>
      </c>
      <c r="EGM4" s="9">
        <f>BDH(EGM$1,"PX_TO_BOOK_RATIO",DataStart,DataEnd,"Per=M","Days=A","Fill=P")</f>
        <v/>
      </c>
      <c r="EGO4" s="9">
        <f>BDH(EGO$1,"PX_TO_BOOK_RATIO",DataStart,DataEnd,"Per=M","Days=A","Fill=P")</f>
        <v/>
      </c>
      <c r="EGQ4" s="9">
        <f>BDH(EGQ$1,"PX_TO_BOOK_RATIO",DataStart,DataEnd,"Per=M","Days=A","Fill=P")</f>
        <v/>
      </c>
      <c r="EGS4" s="9">
        <f>BDH(EGS$1,"PX_TO_BOOK_RATIO",DataStart,DataEnd,"Per=M","Days=A","Fill=P")</f>
        <v/>
      </c>
      <c r="EGU4" s="9">
        <f>BDH(EGU$1,"PX_TO_BOOK_RATIO",DataStart,DataEnd,"Per=M","Days=A","Fill=P")</f>
        <v/>
      </c>
      <c r="EGW4" s="9">
        <f>BDH(EGW$1,"PX_TO_BOOK_RATIO",DataStart,DataEnd,"Per=M","Days=A","Fill=P")</f>
        <v/>
      </c>
      <c r="EGY4" s="9">
        <f>BDH(EGY$1,"PX_TO_BOOK_RATIO",DataStart,DataEnd,"Per=M","Days=A","Fill=P")</f>
        <v/>
      </c>
      <c r="EHA4" s="9">
        <f>BDH(EHA$1,"PX_TO_BOOK_RATIO",DataStart,DataEnd,"Per=M","Days=A","Fill=P")</f>
        <v/>
      </c>
      <c r="EHC4" s="9">
        <f>BDH(EHC$1,"PX_TO_BOOK_RATIO",DataStart,DataEnd,"Per=M","Days=A","Fill=P")</f>
        <v/>
      </c>
      <c r="EHE4" s="9">
        <f>BDH(EHE$1,"PX_TO_BOOK_RATIO",DataStart,DataEnd,"Per=M","Days=A","Fill=P")</f>
        <v/>
      </c>
      <c r="EHG4" s="9">
        <f>BDH(EHG$1,"PX_TO_BOOK_RATIO",DataStart,DataEnd,"Per=M","Days=A","Fill=P")</f>
        <v/>
      </c>
      <c r="EHI4" s="9">
        <f>BDH(EHI$1,"PX_TO_BOOK_RATIO",DataStart,DataEnd,"Per=M","Days=A","Fill=P")</f>
        <v/>
      </c>
      <c r="EHK4" s="9">
        <f>BDH(EHK$1,"PX_TO_BOOK_RATIO",DataStart,DataEnd,"Per=M","Days=A","Fill=P")</f>
        <v/>
      </c>
      <c r="EHM4" s="9">
        <f>BDH(EHM$1,"PX_TO_BOOK_RATIO",DataStart,DataEnd,"Per=M","Days=A","Fill=P")</f>
        <v/>
      </c>
      <c r="EHO4" s="9">
        <f>BDH(EHO$1,"PX_TO_BOOK_RATIO",DataStart,DataEnd,"Per=M","Days=A","Fill=P")</f>
        <v/>
      </c>
      <c r="EHQ4" s="9">
        <f>BDH(EHQ$1,"PX_TO_BOOK_RATIO",DataStart,DataEnd,"Per=M","Days=A","Fill=P")</f>
        <v/>
      </c>
      <c r="EHS4" s="9">
        <f>BDH(EHS$1,"PX_TO_BOOK_RATIO",DataStart,DataEnd,"Per=M","Days=A","Fill=P")</f>
        <v/>
      </c>
      <c r="EHU4" s="9">
        <f>BDH(EHU$1,"PX_TO_BOOK_RATIO",DataStart,DataEnd,"Per=M","Days=A","Fill=P")</f>
        <v/>
      </c>
      <c r="EHW4" s="9">
        <f>BDH(EHW$1,"PX_TO_BOOK_RATIO",DataStart,DataEnd,"Per=M","Days=A","Fill=P")</f>
        <v/>
      </c>
      <c r="EHY4" s="9">
        <f>BDH(EHY$1,"PX_TO_BOOK_RATIO",DataStart,DataEnd,"Per=M","Days=A","Fill=P")</f>
        <v/>
      </c>
      <c r="EIA4" s="9">
        <f>BDH(EIA$1,"PX_TO_BOOK_RATIO",DataStart,DataEnd,"Per=M","Days=A","Fill=P")</f>
        <v/>
      </c>
      <c r="EIC4" s="9">
        <f>BDH(EIC$1,"PX_TO_BOOK_RATIO",DataStart,DataEnd,"Per=M","Days=A","Fill=P")</f>
        <v/>
      </c>
      <c r="EIE4" s="9">
        <f>BDH(EIE$1,"PX_TO_BOOK_RATIO",DataStart,DataEnd,"Per=M","Days=A","Fill=P")</f>
        <v/>
      </c>
      <c r="EIG4" s="9">
        <f>BDH(EIG$1,"PX_TO_BOOK_RATIO",DataStart,DataEnd,"Per=M","Days=A","Fill=P")</f>
        <v/>
      </c>
      <c r="EII4" s="9">
        <f>BDH(EII$1,"PX_TO_BOOK_RATIO",DataStart,DataEnd,"Per=M","Days=A","Fill=P")</f>
        <v/>
      </c>
      <c r="EIK4" s="9">
        <f>BDH(EIK$1,"PX_TO_BOOK_RATIO",DataStart,DataEnd,"Per=M","Days=A","Fill=P")</f>
        <v/>
      </c>
      <c r="EIM4" s="9">
        <f>BDH(EIM$1,"PX_TO_BOOK_RATIO",DataStart,DataEnd,"Per=M","Days=A","Fill=P")</f>
        <v/>
      </c>
      <c r="EIO4" s="9">
        <f>BDH(EIO$1,"PX_TO_BOOK_RATIO",DataStart,DataEnd,"Per=M","Days=A","Fill=P")</f>
        <v/>
      </c>
      <c r="EIQ4" s="9">
        <f>BDH(EIQ$1,"PX_TO_BOOK_RATIO",DataStart,DataEnd,"Per=M","Days=A","Fill=P")</f>
        <v/>
      </c>
      <c r="EIS4" s="9">
        <f>BDH(EIS$1,"PX_TO_BOOK_RATIO",DataStart,DataEnd,"Per=M","Days=A","Fill=P")</f>
        <v/>
      </c>
      <c r="EIU4" s="9">
        <f>BDH(EIU$1,"PX_TO_BOOK_RATIO",DataStart,DataEnd,"Per=M","Days=A","Fill=P")</f>
        <v/>
      </c>
      <c r="EIW4" s="9">
        <f>BDH(EIW$1,"PX_TO_BOOK_RATIO",DataStart,DataEnd,"Per=M","Days=A","Fill=P")</f>
        <v/>
      </c>
      <c r="EIY4" s="9">
        <f>BDH(EIY$1,"PX_TO_BOOK_RATIO",DataStart,DataEnd,"Per=M","Days=A","Fill=P")</f>
        <v/>
      </c>
      <c r="EJA4" s="9">
        <f>BDH(EJA$1,"PX_TO_BOOK_RATIO",DataStart,DataEnd,"Per=M","Days=A","Fill=P")</f>
        <v/>
      </c>
      <c r="EJC4" s="9">
        <f>BDH(EJC$1,"PX_TO_BOOK_RATIO",DataStart,DataEnd,"Per=M","Days=A","Fill=P")</f>
        <v/>
      </c>
      <c r="EJE4" s="9">
        <f>BDH(EJE$1,"PX_TO_BOOK_RATIO",DataStart,DataEnd,"Per=M","Days=A","Fill=P")</f>
        <v/>
      </c>
      <c r="EJG4" s="9">
        <f>BDH(EJG$1,"PX_TO_BOOK_RATIO",DataStart,DataEnd,"Per=M","Days=A","Fill=P")</f>
        <v/>
      </c>
      <c r="EJI4" s="9">
        <f>BDH(EJI$1,"PX_TO_BOOK_RATIO",DataStart,DataEnd,"Per=M","Days=A","Fill=P")</f>
        <v/>
      </c>
      <c r="EJK4" s="9">
        <f>BDH(EJK$1,"PX_TO_BOOK_RATIO",DataStart,DataEnd,"Per=M","Days=A","Fill=P")</f>
        <v/>
      </c>
      <c r="EJM4" s="9">
        <f>BDH(EJM$1,"PX_TO_BOOK_RATIO",DataStart,DataEnd,"Per=M","Days=A","Fill=P")</f>
        <v/>
      </c>
      <c r="EJO4" s="9">
        <f>BDH(EJO$1,"PX_TO_BOOK_RATIO",DataStart,DataEnd,"Per=M","Days=A","Fill=P")</f>
        <v/>
      </c>
      <c r="EJQ4" s="9">
        <f>BDH(EJQ$1,"PX_TO_BOOK_RATIO",DataStart,DataEnd,"Per=M","Days=A","Fill=P")</f>
        <v/>
      </c>
      <c r="EJS4" s="9">
        <f>BDH(EJS$1,"PX_TO_BOOK_RATIO",DataStart,DataEnd,"Per=M","Days=A","Fill=P")</f>
        <v/>
      </c>
      <c r="EJU4" s="9">
        <f>BDH(EJU$1,"PX_TO_BOOK_RATIO",DataStart,DataEnd,"Per=M","Days=A","Fill=P")</f>
        <v/>
      </c>
      <c r="EJW4" s="9">
        <f>BDH(EJW$1,"PX_TO_BOOK_RATIO",DataStart,DataEnd,"Per=M","Days=A","Fill=P")</f>
        <v/>
      </c>
      <c r="EJY4" s="9">
        <f>BDH(EJY$1,"PX_TO_BOOK_RATIO",DataStart,DataEnd,"Per=M","Days=A","Fill=P")</f>
        <v/>
      </c>
      <c r="EKA4" s="9">
        <f>BDH(EKA$1,"PX_TO_BOOK_RATIO",DataStart,DataEnd,"Per=M","Days=A","Fill=P")</f>
        <v/>
      </c>
      <c r="EKC4" s="9">
        <f>BDH(EKC$1,"PX_TO_BOOK_RATIO",DataStart,DataEnd,"Per=M","Days=A","Fill=P")</f>
        <v/>
      </c>
      <c r="EKE4" s="9">
        <f>BDH(EKE$1,"PX_TO_BOOK_RATIO",DataStart,DataEnd,"Per=M","Days=A","Fill=P")</f>
        <v/>
      </c>
      <c r="EKG4" s="9">
        <f>BDH(EKG$1,"PX_TO_BOOK_RATIO",DataStart,DataEnd,"Per=M","Days=A","Fill=P")</f>
        <v/>
      </c>
      <c r="EKI4" s="9">
        <f>BDH(EKI$1,"PX_TO_BOOK_RATIO",DataStart,DataEnd,"Per=M","Days=A","Fill=P")</f>
        <v/>
      </c>
      <c r="EKK4" s="9">
        <f>BDH(EKK$1,"PX_TO_BOOK_RATIO",DataStart,DataEnd,"Per=M","Days=A","Fill=P")</f>
        <v/>
      </c>
      <c r="EKM4" s="9">
        <f>BDH(EKM$1,"PX_TO_BOOK_RATIO",DataStart,DataEnd,"Per=M","Days=A","Fill=P")</f>
        <v/>
      </c>
      <c r="EKO4" s="9">
        <f>BDH(EKO$1,"PX_TO_BOOK_RATIO",DataStart,DataEnd,"Per=M","Days=A","Fill=P")</f>
        <v/>
      </c>
      <c r="EKQ4" s="9">
        <f>BDH(EKQ$1,"PX_TO_BOOK_RATIO",DataStart,DataEnd,"Per=M","Days=A","Fill=P")</f>
        <v/>
      </c>
      <c r="EKS4" s="9">
        <f>BDH(EKS$1,"PX_TO_BOOK_RATIO",DataStart,DataEnd,"Per=M","Days=A","Fill=P")</f>
        <v/>
      </c>
      <c r="EKU4" s="9">
        <f>BDH(EKU$1,"PX_TO_BOOK_RATIO",DataStart,DataEnd,"Per=M","Days=A","Fill=P")</f>
        <v/>
      </c>
      <c r="EKW4" s="9">
        <f>BDH(EKW$1,"PX_TO_BOOK_RATIO",DataStart,DataEnd,"Per=M","Days=A","Fill=P")</f>
        <v/>
      </c>
      <c r="EKY4" s="9">
        <f>BDH(EKY$1,"PX_TO_BOOK_RATIO",DataStart,DataEnd,"Per=M","Days=A","Fill=P")</f>
        <v/>
      </c>
      <c r="ELA4" s="9">
        <f>BDH(ELA$1,"PX_TO_BOOK_RATIO",DataStart,DataEnd,"Per=M","Days=A","Fill=P")</f>
        <v/>
      </c>
      <c r="ELC4" s="9">
        <f>BDH(ELC$1,"PX_TO_BOOK_RATIO",DataStart,DataEnd,"Per=M","Days=A","Fill=P")</f>
        <v/>
      </c>
      <c r="ELE4" s="9">
        <f>BDH(ELE$1,"PX_TO_BOOK_RATIO",DataStart,DataEnd,"Per=M","Days=A","Fill=P")</f>
        <v/>
      </c>
      <c r="ELG4" s="9">
        <f>BDH(ELG$1,"PX_TO_BOOK_RATIO",DataStart,DataEnd,"Per=M","Days=A","Fill=P")</f>
        <v/>
      </c>
      <c r="ELI4" s="9">
        <f>BDH(ELI$1,"PX_TO_BOOK_RATIO",DataStart,DataEnd,"Per=M","Days=A","Fill=P")</f>
        <v/>
      </c>
      <c r="ELK4" s="9">
        <f>BDH(ELK$1,"PX_TO_BOOK_RATIO",DataStart,DataEnd,"Per=M","Days=A","Fill=P")</f>
        <v/>
      </c>
      <c r="ELM4" s="9">
        <f>BDH(ELM$1,"PX_TO_BOOK_RATIO",DataStart,DataEnd,"Per=M","Days=A","Fill=P")</f>
        <v/>
      </c>
      <c r="ELO4" s="9">
        <f>BDH(ELO$1,"PX_TO_BOOK_RATIO",DataStart,DataEnd,"Per=M","Days=A","Fill=P")</f>
        <v/>
      </c>
      <c r="ELQ4" s="9">
        <f>BDH(ELQ$1,"PX_TO_BOOK_RATIO",DataStart,DataEnd,"Per=M","Days=A","Fill=P")</f>
        <v/>
      </c>
      <c r="ELS4" s="9">
        <f>BDH(ELS$1,"PX_TO_BOOK_RATIO",DataStart,DataEnd,"Per=M","Days=A","Fill=P")</f>
        <v/>
      </c>
      <c r="ELU4" s="9">
        <f>BDH(ELU$1,"PX_TO_BOOK_RATIO",DataStart,DataEnd,"Per=M","Days=A","Fill=P")</f>
        <v/>
      </c>
      <c r="ELW4" s="9">
        <f>BDH(ELW$1,"PX_TO_BOOK_RATIO",DataStart,DataEnd,"Per=M","Days=A","Fill=P")</f>
        <v/>
      </c>
      <c r="ELY4" s="9">
        <f>BDH(ELY$1,"PX_TO_BOOK_RATIO",DataStart,DataEnd,"Per=M","Days=A","Fill=P")</f>
        <v/>
      </c>
      <c r="EMA4" s="9">
        <f>BDH(EMA$1,"PX_TO_BOOK_RATIO",DataStart,DataEnd,"Per=M","Days=A","Fill=P")</f>
        <v/>
      </c>
      <c r="EMC4" s="9">
        <f>BDH(EMC$1,"PX_TO_BOOK_RATIO",DataStart,DataEnd,"Per=M","Days=A","Fill=P")</f>
        <v/>
      </c>
      <c r="EME4" s="9">
        <f>BDH(EME$1,"PX_TO_BOOK_RATIO",DataStart,DataEnd,"Per=M","Days=A","Fill=P")</f>
        <v/>
      </c>
      <c r="EMG4" s="9">
        <f>BDH(EMG$1,"PX_TO_BOOK_RATIO",DataStart,DataEnd,"Per=M","Days=A","Fill=P")</f>
        <v/>
      </c>
      <c r="EMI4" s="9">
        <f>BDH(EMI$1,"PX_TO_BOOK_RATIO",DataStart,DataEnd,"Per=M","Days=A","Fill=P")</f>
        <v/>
      </c>
      <c r="EMK4" s="9">
        <f>BDH(EMK$1,"PX_TO_BOOK_RATIO",DataStart,DataEnd,"Per=M","Days=A","Fill=P")</f>
        <v/>
      </c>
      <c r="EMM4" s="9">
        <f>BDH(EMM$1,"PX_TO_BOOK_RATIO",DataStart,DataEnd,"Per=M","Days=A","Fill=P")</f>
        <v/>
      </c>
      <c r="EMO4" s="9">
        <f>BDH(EMO$1,"PX_TO_BOOK_RATIO",DataStart,DataEnd,"Per=M","Days=A","Fill=P")</f>
        <v/>
      </c>
      <c r="EMQ4" s="9">
        <f>BDH(EMQ$1,"PX_TO_BOOK_RATIO",DataStart,DataEnd,"Per=M","Days=A","Fill=P")</f>
        <v/>
      </c>
      <c r="EMS4" s="9">
        <f>BDH(EMS$1,"PX_TO_BOOK_RATIO",DataStart,DataEnd,"Per=M","Days=A","Fill=P")</f>
        <v/>
      </c>
      <c r="EMU4" s="9">
        <f>BDH(EMU$1,"PX_TO_BOOK_RATIO",DataStart,DataEnd,"Per=M","Days=A","Fill=P")</f>
        <v/>
      </c>
      <c r="EMW4" s="9">
        <f>BDH(EMW$1,"PX_TO_BOOK_RATIO",DataStart,DataEnd,"Per=M","Days=A","Fill=P")</f>
        <v/>
      </c>
      <c r="EMY4" s="9">
        <f>BDH(EMY$1,"PX_TO_BOOK_RATIO",DataStart,DataEnd,"Per=M","Days=A","Fill=P")</f>
        <v/>
      </c>
      <c r="ENA4" s="9">
        <f>BDH(ENA$1,"PX_TO_BOOK_RATIO",DataStart,DataEnd,"Per=M","Days=A","Fill=P")</f>
        <v/>
      </c>
      <c r="ENC4" s="9">
        <f>BDH(ENC$1,"PX_TO_BOOK_RATIO",DataStart,DataEnd,"Per=M","Days=A","Fill=P")</f>
        <v/>
      </c>
      <c r="ENE4" s="9">
        <f>BDH(ENE$1,"PX_TO_BOOK_RATIO",DataStart,DataEnd,"Per=M","Days=A","Fill=P")</f>
        <v/>
      </c>
      <c r="ENG4" s="9">
        <f>BDH(ENG$1,"PX_TO_BOOK_RATIO",DataStart,DataEnd,"Per=M","Days=A","Fill=P")</f>
        <v/>
      </c>
      <c r="ENI4" s="9">
        <f>BDH(ENI$1,"PX_TO_BOOK_RATIO",DataStart,DataEnd,"Per=M","Days=A","Fill=P")</f>
        <v/>
      </c>
      <c r="ENK4" s="9">
        <f>BDH(ENK$1,"PX_TO_BOOK_RATIO",DataStart,DataEnd,"Per=M","Days=A","Fill=P")</f>
        <v/>
      </c>
      <c r="ENM4" s="9">
        <f>BDH(ENM$1,"PX_TO_BOOK_RATIO",DataStart,DataEnd,"Per=M","Days=A","Fill=P")</f>
        <v/>
      </c>
      <c r="ENO4" s="9">
        <f>BDH(ENO$1,"PX_TO_BOOK_RATIO",DataStart,DataEnd,"Per=M","Days=A","Fill=P")</f>
        <v/>
      </c>
      <c r="ENQ4" s="9">
        <f>BDH(ENQ$1,"PX_TO_BOOK_RATIO",DataStart,DataEnd,"Per=M","Days=A","Fill=P")</f>
        <v/>
      </c>
      <c r="ENS4" s="9">
        <f>BDH(ENS$1,"PX_TO_BOOK_RATIO",DataStart,DataEnd,"Per=M","Days=A","Fill=P")</f>
        <v/>
      </c>
      <c r="ENU4" s="9">
        <f>BDH(ENU$1,"PX_TO_BOOK_RATIO",DataStart,DataEnd,"Per=M","Days=A","Fill=P")</f>
        <v/>
      </c>
      <c r="ENW4" s="9">
        <f>BDH(ENW$1,"PX_TO_BOOK_RATIO",DataStart,DataEnd,"Per=M","Days=A","Fill=P")</f>
        <v/>
      </c>
      <c r="ENY4" s="9">
        <f>BDH(ENY$1,"PX_TO_BOOK_RATIO",DataStart,DataEnd,"Per=M","Days=A","Fill=P")</f>
        <v/>
      </c>
      <c r="EOA4" s="9">
        <f>BDH(EOA$1,"PX_TO_BOOK_RATIO",DataStart,DataEnd,"Per=M","Days=A","Fill=P")</f>
        <v/>
      </c>
      <c r="EOC4" s="9">
        <f>BDH(EOC$1,"PX_TO_BOOK_RATIO",DataStart,DataEnd,"Per=M","Days=A","Fill=P")</f>
        <v/>
      </c>
      <c r="EOE4" s="9">
        <f>BDH(EOE$1,"PX_TO_BOOK_RATIO",DataStart,DataEnd,"Per=M","Days=A","Fill=P")</f>
        <v/>
      </c>
      <c r="EOG4" s="9">
        <f>BDH(EOG$1,"PX_TO_BOOK_RATIO",DataStart,DataEnd,"Per=M","Days=A","Fill=P")</f>
        <v/>
      </c>
      <c r="EOI4" s="9">
        <f>BDH(EOI$1,"PX_TO_BOOK_RATIO",DataStart,DataEnd,"Per=M","Days=A","Fill=P")</f>
        <v/>
      </c>
      <c r="EOK4" s="9">
        <f>BDH(EOK$1,"PX_TO_BOOK_RATIO",DataStart,DataEnd,"Per=M","Days=A","Fill=P")</f>
        <v/>
      </c>
      <c r="EOM4" s="9">
        <f>BDH(EOM$1,"PX_TO_BOOK_RATIO",DataStart,DataEnd,"Per=M","Days=A","Fill=P")</f>
        <v/>
      </c>
      <c r="EOO4" s="9">
        <f>BDH(EOO$1,"PX_TO_BOOK_RATIO",DataStart,DataEnd,"Per=M","Days=A","Fill=P")</f>
        <v/>
      </c>
      <c r="EOQ4" s="9">
        <f>BDH(EOQ$1,"PX_TO_BOOK_RATIO",DataStart,DataEnd,"Per=M","Days=A","Fill=P")</f>
        <v/>
      </c>
      <c r="EOS4" s="9">
        <f>BDH(EOS$1,"PX_TO_BOOK_RATIO",DataStart,DataEnd,"Per=M","Days=A","Fill=P")</f>
        <v/>
      </c>
      <c r="EOU4" s="9">
        <f>BDH(EOU$1,"PX_TO_BOOK_RATIO",DataStart,DataEnd,"Per=M","Days=A","Fill=P")</f>
        <v/>
      </c>
      <c r="EOW4" s="9">
        <f>BDH(EOW$1,"PX_TO_BOOK_RATIO",DataStart,DataEnd,"Per=M","Days=A","Fill=P")</f>
        <v/>
      </c>
      <c r="EOY4" s="9">
        <f>BDH(EOY$1,"PX_TO_BOOK_RATIO",DataStart,DataEnd,"Per=M","Days=A","Fill=P")</f>
        <v/>
      </c>
      <c r="EPA4" s="9">
        <f>BDH(EPA$1,"PX_TO_BOOK_RATIO",DataStart,DataEnd,"Per=M","Days=A","Fill=P")</f>
        <v/>
      </c>
      <c r="EPC4" s="9">
        <f>BDH(EPC$1,"PX_TO_BOOK_RATIO",DataStart,DataEnd,"Per=M","Days=A","Fill=P")</f>
        <v/>
      </c>
      <c r="EPE4" s="9">
        <f>BDH(EPE$1,"PX_TO_BOOK_RATIO",DataStart,DataEnd,"Per=M","Days=A","Fill=P")</f>
        <v/>
      </c>
      <c r="EPG4" s="9">
        <f>BDH(EPG$1,"PX_TO_BOOK_RATIO",DataStart,DataEnd,"Per=M","Days=A","Fill=P")</f>
        <v/>
      </c>
      <c r="EPI4" s="9">
        <f>BDH(EPI$1,"PX_TO_BOOK_RATIO",DataStart,DataEnd,"Per=M","Days=A","Fill=P")</f>
        <v/>
      </c>
      <c r="EPK4" s="9">
        <f>BDH(EPK$1,"PX_TO_BOOK_RATIO",DataStart,DataEnd,"Per=M","Days=A","Fill=P")</f>
        <v/>
      </c>
      <c r="EPM4" s="9">
        <f>BDH(EPM$1,"PX_TO_BOOK_RATIO",DataStart,DataEnd,"Per=M","Days=A","Fill=P")</f>
        <v/>
      </c>
      <c r="EPO4" s="9">
        <f>BDH(EPO$1,"PX_TO_BOOK_RATIO",DataStart,DataEnd,"Per=M","Days=A","Fill=P")</f>
        <v/>
      </c>
      <c r="EPQ4" s="9">
        <f>BDH(EPQ$1,"PX_TO_BOOK_RATIO",DataStart,DataEnd,"Per=M","Days=A","Fill=P")</f>
        <v/>
      </c>
      <c r="EPS4" s="9">
        <f>BDH(EPS$1,"PX_TO_BOOK_RATIO",DataStart,DataEnd,"Per=M","Days=A","Fill=P")</f>
        <v/>
      </c>
      <c r="EPU4" s="9">
        <f>BDH(EPU$1,"PX_TO_BOOK_RATIO",DataStart,DataEnd,"Per=M","Days=A","Fill=P")</f>
        <v/>
      </c>
      <c r="EPW4" s="9">
        <f>BDH(EPW$1,"PX_TO_BOOK_RATIO",DataStart,DataEnd,"Per=M","Days=A","Fill=P")</f>
        <v/>
      </c>
      <c r="EPY4" s="9">
        <f>BDH(EPY$1,"PX_TO_BOOK_RATIO",DataStart,DataEnd,"Per=M","Days=A","Fill=P")</f>
        <v/>
      </c>
      <c r="EQA4" s="9">
        <f>BDH(EQA$1,"PX_TO_BOOK_RATIO",DataStart,DataEnd,"Per=M","Days=A","Fill=P")</f>
        <v/>
      </c>
      <c r="EQC4" s="9">
        <f>BDH(EQC$1,"PX_TO_BOOK_RATIO",DataStart,DataEnd,"Per=M","Days=A","Fill=P")</f>
        <v/>
      </c>
      <c r="EQE4" s="9">
        <f>BDH(EQE$1,"PX_TO_BOOK_RATIO",DataStart,DataEnd,"Per=M","Days=A","Fill=P")</f>
        <v/>
      </c>
      <c r="EQG4" s="9">
        <f>BDH(EQG$1,"PX_TO_BOOK_RATIO",DataStart,DataEnd,"Per=M","Days=A","Fill=P")</f>
        <v/>
      </c>
      <c r="EQI4" s="9">
        <f>BDH(EQI$1,"PX_TO_BOOK_RATIO",DataStart,DataEnd,"Per=M","Days=A","Fill=P")</f>
        <v/>
      </c>
      <c r="EQK4" s="9">
        <f>BDH(EQK$1,"PX_TO_BOOK_RATIO",DataStart,DataEnd,"Per=M","Days=A","Fill=P")</f>
        <v/>
      </c>
      <c r="EQM4" s="9">
        <f>BDH(EQM$1,"PX_TO_BOOK_RATIO",DataStart,DataEnd,"Per=M","Days=A","Fill=P")</f>
        <v/>
      </c>
      <c r="EQO4" s="9">
        <f>BDH(EQO$1,"PX_TO_BOOK_RATIO",DataStart,DataEnd,"Per=M","Days=A","Fill=P")</f>
        <v/>
      </c>
      <c r="EQQ4" s="9">
        <f>BDH(EQQ$1,"PX_TO_BOOK_RATIO",DataStart,DataEnd,"Per=M","Days=A","Fill=P")</f>
        <v/>
      </c>
      <c r="EQS4" s="9">
        <f>BDH(EQS$1,"PX_TO_BOOK_RATIO",DataStart,DataEnd,"Per=M","Days=A","Fill=P")</f>
        <v/>
      </c>
      <c r="EQU4" s="9">
        <f>BDH(EQU$1,"PX_TO_BOOK_RATIO",DataStart,DataEnd,"Per=M","Days=A","Fill=P")</f>
        <v/>
      </c>
      <c r="EQW4" s="9">
        <f>BDH(EQW$1,"PX_TO_BOOK_RATIO",DataStart,DataEnd,"Per=M","Days=A","Fill=P")</f>
        <v/>
      </c>
      <c r="EQY4" s="9">
        <f>BDH(EQY$1,"PX_TO_BOOK_RATIO",DataStart,DataEnd,"Per=M","Days=A","Fill=P")</f>
        <v/>
      </c>
      <c r="ERA4" s="9">
        <f>BDH(ERA$1,"PX_TO_BOOK_RATIO",DataStart,DataEnd,"Per=M","Days=A","Fill=P")</f>
        <v/>
      </c>
      <c r="ERC4" s="9">
        <f>BDH(ERC$1,"PX_TO_BOOK_RATIO",DataStart,DataEnd,"Per=M","Days=A","Fill=P")</f>
        <v/>
      </c>
      <c r="ERE4" s="9">
        <f>BDH(ERE$1,"PX_TO_BOOK_RATIO",DataStart,DataEnd,"Per=M","Days=A","Fill=P")</f>
        <v/>
      </c>
      <c r="ERG4" s="9">
        <f>BDH(ERG$1,"PX_TO_BOOK_RATIO",DataStart,DataEnd,"Per=M","Days=A","Fill=P")</f>
        <v/>
      </c>
      <c r="ERI4" s="9">
        <f>BDH(ERI$1,"PX_TO_BOOK_RATIO",DataStart,DataEnd,"Per=M","Days=A","Fill=P")</f>
        <v/>
      </c>
      <c r="ERK4" s="9">
        <f>BDH(ERK$1,"PX_TO_BOOK_RATIO",DataStart,DataEnd,"Per=M","Days=A","Fill=P")</f>
        <v/>
      </c>
      <c r="ERM4" s="9">
        <f>BDH(ERM$1,"PX_TO_BOOK_RATIO",DataStart,DataEnd,"Per=M","Days=A","Fill=P")</f>
        <v/>
      </c>
      <c r="ERO4" s="9">
        <f>BDH(ERO$1,"PX_TO_BOOK_RATIO",DataStart,DataEnd,"Per=M","Days=A","Fill=P")</f>
        <v/>
      </c>
      <c r="ERQ4" s="9">
        <f>BDH(ERQ$1,"PX_TO_BOOK_RATIO",DataStart,DataEnd,"Per=M","Days=A","Fill=P")</f>
        <v/>
      </c>
      <c r="ERS4" s="9">
        <f>BDH(ERS$1,"PX_TO_BOOK_RATIO",DataStart,DataEnd,"Per=M","Days=A","Fill=P")</f>
        <v/>
      </c>
      <c r="ERU4" s="9">
        <f>BDH(ERU$1,"PX_TO_BOOK_RATIO",DataStart,DataEnd,"Per=M","Days=A","Fill=P")</f>
        <v/>
      </c>
      <c r="ERW4" s="9">
        <f>BDH(ERW$1,"PX_TO_BOOK_RATIO",DataStart,DataEnd,"Per=M","Days=A","Fill=P")</f>
        <v/>
      </c>
      <c r="ERY4" s="9">
        <f>BDH(ERY$1,"PX_TO_BOOK_RATIO",DataStart,DataEnd,"Per=M","Days=A","Fill=P")</f>
        <v/>
      </c>
      <c r="ESA4" s="9">
        <f>BDH(ESA$1,"PX_TO_BOOK_RATIO",DataStart,DataEnd,"Per=M","Days=A","Fill=P")</f>
        <v/>
      </c>
      <c r="ESC4" s="9">
        <f>BDH(ESC$1,"PX_TO_BOOK_RATIO",DataStart,DataEnd,"Per=M","Days=A","Fill=P")</f>
        <v/>
      </c>
      <c r="ESE4" s="9">
        <f>BDH(ESE$1,"PX_TO_BOOK_RATIO",DataStart,DataEnd,"Per=M","Days=A","Fill=P")</f>
        <v/>
      </c>
      <c r="ESG4" s="9">
        <f>BDH(ESG$1,"PX_TO_BOOK_RATIO",DataStart,DataEnd,"Per=M","Days=A","Fill=P")</f>
        <v/>
      </c>
      <c r="ESI4" s="9">
        <f>BDH(ESI$1,"PX_TO_BOOK_RATIO",DataStart,DataEnd,"Per=M","Days=A","Fill=P")</f>
        <v/>
      </c>
      <c r="ESK4" s="9">
        <f>BDH(ESK$1,"PX_TO_BOOK_RATIO",DataStart,DataEnd,"Per=M","Days=A","Fill=P")</f>
        <v/>
      </c>
      <c r="ESM4" s="9">
        <f>BDH(ESM$1,"PX_TO_BOOK_RATIO",DataStart,DataEnd,"Per=M","Days=A","Fill=P")</f>
        <v/>
      </c>
      <c r="ESO4" s="9">
        <f>BDH(ESO$1,"PX_TO_BOOK_RATIO",DataStart,DataEnd,"Per=M","Days=A","Fill=P")</f>
        <v/>
      </c>
      <c r="ESQ4" s="9">
        <f>BDH(ESQ$1,"PX_TO_BOOK_RATIO",DataStart,DataEnd,"Per=M","Days=A","Fill=P")</f>
        <v/>
      </c>
      <c r="ESS4" s="9">
        <f>BDH(ESS$1,"PX_TO_BOOK_RATIO",DataStart,DataEnd,"Per=M","Days=A","Fill=P")</f>
        <v/>
      </c>
      <c r="ESU4" s="9">
        <f>BDH(ESU$1,"PX_TO_BOOK_RATIO",DataStart,DataEnd,"Per=M","Days=A","Fill=P")</f>
        <v/>
      </c>
      <c r="ESW4" s="9">
        <f>BDH(ESW$1,"PX_TO_BOOK_RATIO",DataStart,DataEnd,"Per=M","Days=A","Fill=P")</f>
        <v/>
      </c>
      <c r="ESY4" s="9">
        <f>BDH(ESY$1,"PX_TO_BOOK_RATIO",DataStart,DataEnd,"Per=M","Days=A","Fill=P")</f>
        <v/>
      </c>
      <c r="ETA4" s="9">
        <f>BDH(ETA$1,"PX_TO_BOOK_RATIO",DataStart,DataEnd,"Per=M","Days=A","Fill=P")</f>
        <v/>
      </c>
      <c r="ETC4" s="9">
        <f>BDH(ETC$1,"PX_TO_BOOK_RATIO",DataStart,DataEnd,"Per=M","Days=A","Fill=P")</f>
        <v/>
      </c>
      <c r="ETE4" s="9">
        <f>BDH(ETE$1,"PX_TO_BOOK_RATIO",DataStart,DataEnd,"Per=M","Days=A","Fill=P")</f>
        <v/>
      </c>
      <c r="ETG4" s="9">
        <f>BDH(ETG$1,"PX_TO_BOOK_RATIO",DataStart,DataEnd,"Per=M","Days=A","Fill=P")</f>
        <v/>
      </c>
      <c r="ETI4" s="9">
        <f>BDH(ETI$1,"PX_TO_BOOK_RATIO",DataStart,DataEnd,"Per=M","Days=A","Fill=P")</f>
        <v/>
      </c>
      <c r="ETK4" s="9">
        <f>BDH(ETK$1,"PX_TO_BOOK_RATIO",DataStart,DataEnd,"Per=M","Days=A","Fill=P")</f>
        <v/>
      </c>
      <c r="ETM4" s="9">
        <f>BDH(ETM$1,"PX_TO_BOOK_RATIO",DataStart,DataEnd,"Per=M","Days=A","Fill=P")</f>
        <v/>
      </c>
      <c r="ETO4" s="9">
        <f>BDH(ETO$1,"PX_TO_BOOK_RATIO",DataStart,DataEnd,"Per=M","Days=A","Fill=P")</f>
        <v/>
      </c>
      <c r="ETQ4" s="9">
        <f>BDH(ETQ$1,"PX_TO_BOOK_RATIO",DataStart,DataEnd,"Per=M","Days=A","Fill=P")</f>
        <v/>
      </c>
      <c r="ETS4" s="9">
        <f>BDH(ETS$1,"PX_TO_BOOK_RATIO",DataStart,DataEnd,"Per=M","Days=A","Fill=P")</f>
        <v/>
      </c>
      <c r="ETU4" s="9">
        <f>BDH(ETU$1,"PX_TO_BOOK_RATIO",DataStart,DataEnd,"Per=M","Days=A","Fill=P")</f>
        <v/>
      </c>
      <c r="ETW4" s="9">
        <f>BDH(ETW$1,"PX_TO_BOOK_RATIO",DataStart,DataEnd,"Per=M","Days=A","Fill=P")</f>
        <v/>
      </c>
      <c r="ETY4" s="9">
        <f>BDH(ETY$1,"PX_TO_BOOK_RATIO",DataStart,DataEnd,"Per=M","Days=A","Fill=P")</f>
        <v/>
      </c>
      <c r="EUA4" s="9">
        <f>BDH(EUA$1,"PX_TO_BOOK_RATIO",DataStart,DataEnd,"Per=M","Days=A","Fill=P")</f>
        <v/>
      </c>
      <c r="EUC4" s="9">
        <f>BDH(EUC$1,"PX_TO_BOOK_RATIO",DataStart,DataEnd,"Per=M","Days=A","Fill=P")</f>
        <v/>
      </c>
      <c r="EUE4" s="9">
        <f>BDH(EUE$1,"PX_TO_BOOK_RATIO",DataStart,DataEnd,"Per=M","Days=A","Fill=P")</f>
        <v/>
      </c>
      <c r="EUG4" s="9">
        <f>BDH(EUG$1,"PX_TO_BOOK_RATIO",DataStart,DataEnd,"Per=M","Days=A","Fill=P")</f>
        <v/>
      </c>
      <c r="EUI4" s="9">
        <f>BDH(EUI$1,"PX_TO_BOOK_RATIO",DataStart,DataEnd,"Per=M","Days=A","Fill=P")</f>
        <v/>
      </c>
      <c r="EUK4" s="9">
        <f>BDH(EUK$1,"PX_TO_BOOK_RATIO",DataStart,DataEnd,"Per=M","Days=A","Fill=P")</f>
        <v/>
      </c>
      <c r="EUM4" s="9">
        <f>BDH(EUM$1,"PX_TO_BOOK_RATIO",DataStart,DataEnd,"Per=M","Days=A","Fill=P")</f>
        <v/>
      </c>
      <c r="EUO4" s="9">
        <f>BDH(EUO$1,"PX_TO_BOOK_RATIO",DataStart,DataEnd,"Per=M","Days=A","Fill=P")</f>
        <v/>
      </c>
      <c r="EUQ4" s="9">
        <f>BDH(EUQ$1,"PX_TO_BOOK_RATIO",DataStart,DataEnd,"Per=M","Days=A","Fill=P")</f>
        <v/>
      </c>
      <c r="EUS4" s="9">
        <f>BDH(EUS$1,"PX_TO_BOOK_RATIO",DataStart,DataEnd,"Per=M","Days=A","Fill=P")</f>
        <v/>
      </c>
      <c r="EUU4" s="9">
        <f>BDH(EUU$1,"PX_TO_BOOK_RATIO",DataStart,DataEnd,"Per=M","Days=A","Fill=P")</f>
        <v/>
      </c>
      <c r="EUW4" s="9">
        <f>BDH(EUW$1,"PX_TO_BOOK_RATIO",DataStart,DataEnd,"Per=M","Days=A","Fill=P")</f>
        <v/>
      </c>
      <c r="EUY4" s="9">
        <f>BDH(EUY$1,"PX_TO_BOOK_RATIO",DataStart,DataEnd,"Per=M","Days=A","Fill=P")</f>
        <v/>
      </c>
      <c r="EVA4" s="9">
        <f>BDH(EVA$1,"PX_TO_BOOK_RATIO",DataStart,DataEnd,"Per=M","Days=A","Fill=P")</f>
        <v/>
      </c>
      <c r="EVC4" s="9">
        <f>BDH(EVC$1,"PX_TO_BOOK_RATIO",DataStart,DataEnd,"Per=M","Days=A","Fill=P")</f>
        <v/>
      </c>
      <c r="EVE4" s="9">
        <f>BDH(EVE$1,"PX_TO_BOOK_RATIO",DataStart,DataEnd,"Per=M","Days=A","Fill=P")</f>
        <v/>
      </c>
      <c r="EVG4" s="9">
        <f>BDH(EVG$1,"PX_TO_BOOK_RATIO",DataStart,DataEnd,"Per=M","Days=A","Fill=P")</f>
        <v/>
      </c>
      <c r="EVI4" s="9">
        <f>BDH(EVI$1,"PX_TO_BOOK_RATIO",DataStart,DataEnd,"Per=M","Days=A","Fill=P")</f>
        <v/>
      </c>
      <c r="EVK4" s="9">
        <f>BDH(EVK$1,"PX_TO_BOOK_RATIO",DataStart,DataEnd,"Per=M","Days=A","Fill=P")</f>
        <v/>
      </c>
      <c r="EVM4" s="9">
        <f>BDH(EVM$1,"PX_TO_BOOK_RATIO",DataStart,DataEnd,"Per=M","Days=A","Fill=P")</f>
        <v/>
      </c>
      <c r="EVO4" s="9">
        <f>BDH(EVO$1,"PX_TO_BOOK_RATIO",DataStart,DataEnd,"Per=M","Days=A","Fill=P")</f>
        <v/>
      </c>
      <c r="EVQ4" s="9">
        <f>BDH(EVQ$1,"PX_TO_BOOK_RATIO",DataStart,DataEnd,"Per=M","Days=A","Fill=P")</f>
        <v/>
      </c>
      <c r="EVS4" s="9">
        <f>BDH(EVS$1,"PX_TO_BOOK_RATIO",DataStart,DataEnd,"Per=M","Days=A","Fill=P")</f>
        <v/>
      </c>
      <c r="EVU4" s="9">
        <f>BDH(EVU$1,"PX_TO_BOOK_RATIO",DataStart,DataEnd,"Per=M","Days=A","Fill=P")</f>
        <v/>
      </c>
      <c r="EVW4" s="9">
        <f>BDH(EVW$1,"PX_TO_BOOK_RATIO",DataStart,DataEnd,"Per=M","Days=A","Fill=P")</f>
        <v/>
      </c>
      <c r="EVY4" s="9">
        <f>BDH(EVY$1,"PX_TO_BOOK_RATIO",DataStart,DataEnd,"Per=M","Days=A","Fill=P")</f>
        <v/>
      </c>
      <c r="EWA4" s="9">
        <f>BDH(EWA$1,"PX_TO_BOOK_RATIO",DataStart,DataEnd,"Per=M","Days=A","Fill=P")</f>
        <v/>
      </c>
      <c r="EWC4" s="9">
        <f>BDH(EWC$1,"PX_TO_BOOK_RATIO",DataStart,DataEnd,"Per=M","Days=A","Fill=P")</f>
        <v/>
      </c>
      <c r="EWE4" s="9">
        <f>BDH(EWE$1,"PX_TO_BOOK_RATIO",DataStart,DataEnd,"Per=M","Days=A","Fill=P")</f>
        <v/>
      </c>
      <c r="EWG4" s="9">
        <f>BDH(EWG$1,"PX_TO_BOOK_RATIO",DataStart,DataEnd,"Per=M","Days=A","Fill=P")</f>
        <v/>
      </c>
      <c r="EWI4" s="9">
        <f>BDH(EWI$1,"PX_TO_BOOK_RATIO",DataStart,DataEnd,"Per=M","Days=A","Fill=P")</f>
        <v/>
      </c>
      <c r="EWK4" s="9">
        <f>BDH(EWK$1,"PX_TO_BOOK_RATIO",DataStart,DataEnd,"Per=M","Days=A","Fill=P")</f>
        <v/>
      </c>
      <c r="EWM4" s="9">
        <f>BDH(EWM$1,"PX_TO_BOOK_RATIO",DataStart,DataEnd,"Per=M","Days=A","Fill=P")</f>
        <v/>
      </c>
      <c r="EWO4" s="9">
        <f>BDH(EWO$1,"PX_TO_BOOK_RATIO",DataStart,DataEnd,"Per=M","Days=A","Fill=P")</f>
        <v/>
      </c>
      <c r="EWQ4" s="9">
        <f>BDH(EWQ$1,"PX_TO_BOOK_RATIO",DataStart,DataEnd,"Per=M","Days=A","Fill=P")</f>
        <v/>
      </c>
      <c r="EWS4" s="9">
        <f>BDH(EWS$1,"PX_TO_BOOK_RATIO",DataStart,DataEnd,"Per=M","Days=A","Fill=P")</f>
        <v/>
      </c>
      <c r="EWU4" s="9">
        <f>BDH(EWU$1,"PX_TO_BOOK_RATIO",DataStart,DataEnd,"Per=M","Days=A","Fill=P")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WV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1.7109375" style="9" customWidth="1"/>
    <col min="2" max="2" width="10.7109375" customWidth="1"/>
    <col min="3" max="3" width="11.7109375" style="9" customWidth="1"/>
    <col min="4" max="4" width="10.7109375" customWidth="1"/>
    <col min="5" max="5" width="11.7109375" style="9" customWidth="1"/>
    <col min="6" max="6" width="10.7109375" customWidth="1"/>
    <col min="7" max="7" width="11.7109375" style="9" customWidth="1"/>
    <col min="8" max="8" width="10.7109375" customWidth="1"/>
    <col min="9" max="9" width="11.7109375" style="9" customWidth="1"/>
    <col min="10" max="10" width="10.7109375" customWidth="1"/>
    <col min="11" max="11" width="11.7109375" style="9" customWidth="1"/>
    <col min="12" max="12" width="10.7109375" customWidth="1"/>
    <col min="13" max="13" width="11.7109375" style="9" customWidth="1"/>
    <col min="14" max="14" width="10.7109375" customWidth="1"/>
    <col min="15" max="15" width="11.7109375" style="9" customWidth="1"/>
    <col min="16" max="16" width="10.7109375" customWidth="1"/>
    <col min="17" max="17" width="11.7109375" style="9" customWidth="1"/>
    <col min="18" max="18" width="10.7109375" customWidth="1"/>
    <col min="19" max="19" width="11.7109375" style="9" customWidth="1"/>
    <col min="20" max="20" width="10.7109375" customWidth="1"/>
    <col min="21" max="21" width="11.7109375" style="9" customWidth="1"/>
    <col min="22" max="22" width="10.7109375" customWidth="1"/>
    <col min="23" max="23" width="11.7109375" style="9" customWidth="1"/>
    <col min="24" max="24" width="10.7109375" customWidth="1"/>
    <col min="25" max="25" width="11.7109375" style="9" customWidth="1"/>
    <col min="26" max="26" width="10.7109375" customWidth="1"/>
    <col min="27" max="27" width="11.7109375" style="9" customWidth="1"/>
    <col min="28" max="28" width="10.7109375" customWidth="1"/>
    <col min="29" max="29" width="11.7109375" style="9" customWidth="1"/>
    <col min="30" max="30" width="10.7109375" customWidth="1"/>
    <col min="31" max="31" width="11.7109375" style="9" customWidth="1"/>
    <col min="32" max="32" width="10.7109375" customWidth="1"/>
    <col min="33" max="33" width="11.7109375" style="9" customWidth="1"/>
    <col min="34" max="34" width="10.7109375" customWidth="1"/>
    <col min="35" max="35" width="11.7109375" style="9" customWidth="1"/>
    <col min="36" max="36" width="10.7109375" customWidth="1"/>
    <col min="37" max="37" width="11.7109375" style="9" customWidth="1"/>
    <col min="38" max="38" width="10.7109375" customWidth="1"/>
    <col min="39" max="39" width="11.7109375" style="9" customWidth="1"/>
    <col min="40" max="40" width="10.7109375" customWidth="1"/>
    <col min="41" max="41" width="11.7109375" style="9" customWidth="1"/>
    <col min="42" max="42" width="10.7109375" customWidth="1"/>
    <col min="43" max="43" width="11.7109375" style="9" customWidth="1"/>
    <col min="44" max="44" width="10.7109375" customWidth="1"/>
    <col min="45" max="45" width="11.7109375" style="9" customWidth="1"/>
    <col min="46" max="46" width="10.7109375" customWidth="1"/>
    <col min="47" max="47" width="11.7109375" style="9" customWidth="1"/>
    <col min="48" max="48" width="10.7109375" customWidth="1"/>
    <col min="49" max="49" width="11.7109375" style="9" customWidth="1"/>
    <col min="50" max="50" width="10.7109375" customWidth="1"/>
    <col min="51" max="51" width="11.7109375" style="9" customWidth="1"/>
    <col min="52" max="52" width="10.7109375" customWidth="1"/>
    <col min="53" max="53" width="11.7109375" style="9" customWidth="1"/>
    <col min="54" max="54" width="10.7109375" customWidth="1"/>
    <col min="55" max="55" width="11.7109375" style="9" customWidth="1"/>
    <col min="56" max="56" width="10.7109375" customWidth="1"/>
    <col min="57" max="57" width="11.7109375" style="9" customWidth="1"/>
    <col min="58" max="58" width="10.7109375" customWidth="1"/>
    <col min="59" max="59" width="11.7109375" style="9" customWidth="1"/>
    <col min="60" max="60" width="10.7109375" customWidth="1"/>
    <col min="61" max="61" width="11.7109375" style="9" customWidth="1"/>
    <col min="62" max="62" width="10.7109375" customWidth="1"/>
    <col min="63" max="63" width="11.7109375" style="9" customWidth="1"/>
    <col min="64" max="64" width="10.7109375" customWidth="1"/>
    <col min="65" max="65" width="11.7109375" style="9" customWidth="1"/>
    <col min="66" max="66" width="10.7109375" customWidth="1"/>
    <col min="67" max="67" width="11.7109375" style="9" customWidth="1"/>
    <col min="68" max="68" width="10.7109375" customWidth="1"/>
    <col min="69" max="69" width="11.7109375" style="9" customWidth="1"/>
    <col min="70" max="70" width="10.7109375" customWidth="1"/>
    <col min="71" max="71" width="11.7109375" style="9" customWidth="1"/>
    <col min="72" max="72" width="10.7109375" customWidth="1"/>
    <col min="73" max="73" width="11.7109375" style="9" customWidth="1"/>
    <col min="74" max="74" width="10.7109375" customWidth="1"/>
    <col min="75" max="75" width="11.7109375" style="9" customWidth="1"/>
    <col min="76" max="76" width="10.7109375" customWidth="1"/>
    <col min="77" max="77" width="11.7109375" style="9" customWidth="1"/>
    <col min="78" max="78" width="10.7109375" customWidth="1"/>
    <col min="79" max="79" width="11.7109375" style="9" customWidth="1"/>
    <col min="80" max="80" width="10.7109375" customWidth="1"/>
    <col min="81" max="81" width="11.7109375" style="9" customWidth="1"/>
    <col min="82" max="82" width="10.7109375" customWidth="1"/>
    <col min="83" max="83" width="11.7109375" style="9" customWidth="1"/>
    <col min="84" max="84" width="10.7109375" customWidth="1"/>
    <col min="85" max="85" width="11.7109375" style="9" customWidth="1"/>
    <col min="86" max="86" width="10.7109375" customWidth="1"/>
    <col min="87" max="87" width="11.7109375" style="9" customWidth="1"/>
    <col min="88" max="88" width="10.7109375" customWidth="1"/>
    <col min="89" max="89" width="11.7109375" style="9" customWidth="1"/>
    <col min="90" max="90" width="10.7109375" customWidth="1"/>
    <col min="91" max="91" width="11.7109375" style="9" customWidth="1"/>
    <col min="92" max="92" width="10.7109375" customWidth="1"/>
    <col min="93" max="93" width="11.7109375" style="9" customWidth="1"/>
    <col min="94" max="94" width="10.7109375" customWidth="1"/>
    <col min="95" max="95" width="11.7109375" style="9" customWidth="1"/>
    <col min="96" max="96" width="10.7109375" customWidth="1"/>
    <col min="97" max="97" width="11.7109375" style="9" customWidth="1"/>
    <col min="98" max="98" width="10.7109375" customWidth="1"/>
    <col min="99" max="99" width="11.7109375" style="9" customWidth="1"/>
    <col min="100" max="100" width="10.7109375" customWidth="1"/>
    <col min="101" max="101" width="11.7109375" style="9" customWidth="1"/>
    <col min="102" max="102" width="10.7109375" customWidth="1"/>
    <col min="103" max="103" width="11.7109375" style="9" customWidth="1"/>
    <col min="104" max="104" width="10.7109375" customWidth="1"/>
    <col min="105" max="105" width="11.7109375" style="9" customWidth="1"/>
    <col min="106" max="106" width="10.7109375" customWidth="1"/>
    <col min="107" max="107" width="11.7109375" style="9" customWidth="1"/>
    <col min="108" max="108" width="10.7109375" customWidth="1"/>
    <col min="109" max="109" width="11.7109375" style="9" customWidth="1"/>
    <col min="110" max="110" width="10.7109375" customWidth="1"/>
    <col min="111" max="111" width="11.7109375" style="9" customWidth="1"/>
    <col min="112" max="112" width="10.7109375" customWidth="1"/>
    <col min="113" max="113" width="11.7109375" style="9" customWidth="1"/>
    <col min="114" max="114" width="10.7109375" customWidth="1"/>
    <col min="115" max="115" width="11.7109375" style="9" customWidth="1"/>
    <col min="116" max="116" width="10.7109375" customWidth="1"/>
    <col min="117" max="117" width="11.7109375" style="9" customWidth="1"/>
    <col min="118" max="118" width="10.7109375" customWidth="1"/>
    <col min="119" max="119" width="11.7109375" style="9" customWidth="1"/>
    <col min="120" max="120" width="10.7109375" customWidth="1"/>
    <col min="121" max="121" width="11.7109375" style="9" customWidth="1"/>
    <col min="122" max="122" width="10.7109375" customWidth="1"/>
    <col min="123" max="123" width="11.7109375" style="9" customWidth="1"/>
    <col min="124" max="124" width="10.7109375" customWidth="1"/>
    <col min="125" max="125" width="11.7109375" style="9" customWidth="1"/>
    <col min="126" max="126" width="10.7109375" customWidth="1"/>
    <col min="127" max="127" width="11.7109375" style="9" customWidth="1"/>
    <col min="128" max="128" width="10.7109375" customWidth="1"/>
    <col min="129" max="129" width="11.7109375" style="9" customWidth="1"/>
    <col min="130" max="130" width="10.7109375" customWidth="1"/>
    <col min="131" max="131" width="11.7109375" style="9" customWidth="1"/>
    <col min="132" max="132" width="10.7109375" customWidth="1"/>
    <col min="133" max="133" width="11.7109375" style="9" customWidth="1"/>
    <col min="134" max="134" width="10.7109375" customWidth="1"/>
    <col min="135" max="135" width="11.7109375" style="9" customWidth="1"/>
    <col min="136" max="136" width="10.7109375" customWidth="1"/>
    <col min="137" max="137" width="11.7109375" style="9" customWidth="1"/>
    <col min="138" max="138" width="10.7109375" customWidth="1"/>
    <col min="139" max="139" width="11.7109375" style="9" customWidth="1"/>
    <col min="140" max="140" width="10.7109375" customWidth="1"/>
    <col min="141" max="141" width="11.7109375" style="9" customWidth="1"/>
    <col min="142" max="142" width="10.7109375" customWidth="1"/>
    <col min="143" max="143" width="11.7109375" style="9" customWidth="1"/>
    <col min="144" max="144" width="10.7109375" customWidth="1"/>
    <col min="145" max="145" width="11.7109375" style="9" customWidth="1"/>
    <col min="146" max="146" width="10.7109375" customWidth="1"/>
    <col min="147" max="147" width="11.7109375" style="9" customWidth="1"/>
    <col min="148" max="148" width="10.7109375" customWidth="1"/>
    <col min="149" max="149" width="11.7109375" style="9" customWidth="1"/>
    <col min="150" max="150" width="10.7109375" customWidth="1"/>
    <col min="151" max="151" width="11.7109375" style="9" customWidth="1"/>
    <col min="152" max="152" width="10.7109375" customWidth="1"/>
    <col min="153" max="153" width="11.7109375" style="9" customWidth="1"/>
    <col min="154" max="154" width="10.7109375" customWidth="1"/>
    <col min="155" max="155" width="11.7109375" style="9" customWidth="1"/>
    <col min="156" max="156" width="10.7109375" customWidth="1"/>
    <col min="157" max="157" width="11.7109375" style="9" customWidth="1"/>
    <col min="158" max="158" width="10.7109375" customWidth="1"/>
    <col min="159" max="159" width="11.7109375" style="9" customWidth="1"/>
    <col min="160" max="160" width="10.7109375" customWidth="1"/>
    <col min="161" max="161" width="11.7109375" style="9" customWidth="1"/>
    <col min="162" max="162" width="10.7109375" customWidth="1"/>
    <col min="163" max="163" width="11.7109375" style="9" customWidth="1"/>
    <col min="164" max="164" width="10.7109375" customWidth="1"/>
    <col min="165" max="165" width="11.7109375" style="9" customWidth="1"/>
    <col min="166" max="166" width="10.7109375" customWidth="1"/>
    <col min="167" max="167" width="11.7109375" style="9" customWidth="1"/>
    <col min="168" max="168" width="10.7109375" customWidth="1"/>
    <col min="169" max="169" width="11.7109375" style="9" customWidth="1"/>
    <col min="170" max="170" width="10.7109375" customWidth="1"/>
    <col min="171" max="171" width="11.7109375" style="9" customWidth="1"/>
    <col min="172" max="172" width="10.7109375" customWidth="1"/>
    <col min="173" max="173" width="11.7109375" style="9" customWidth="1"/>
    <col min="174" max="174" width="10.7109375" customWidth="1"/>
    <col min="175" max="175" width="11.7109375" style="9" customWidth="1"/>
    <col min="176" max="176" width="10.7109375" customWidth="1"/>
    <col min="177" max="177" width="11.7109375" style="9" customWidth="1"/>
    <col min="178" max="178" width="10.7109375" customWidth="1"/>
    <col min="179" max="179" width="11.7109375" style="9" customWidth="1"/>
    <col min="180" max="180" width="10.7109375" customWidth="1"/>
    <col min="181" max="181" width="11.7109375" style="9" customWidth="1"/>
    <col min="182" max="182" width="10.7109375" customWidth="1"/>
    <col min="183" max="183" width="11.7109375" style="9" customWidth="1"/>
    <col min="184" max="184" width="10.7109375" customWidth="1"/>
    <col min="185" max="185" width="11.7109375" style="9" customWidth="1"/>
    <col min="186" max="186" width="10.7109375" customWidth="1"/>
    <col min="187" max="187" width="11.7109375" style="9" customWidth="1"/>
    <col min="188" max="188" width="10.7109375" customWidth="1"/>
    <col min="189" max="189" width="11.7109375" style="9" customWidth="1"/>
    <col min="190" max="190" width="10.7109375" customWidth="1"/>
    <col min="191" max="191" width="11.7109375" style="9" customWidth="1"/>
    <col min="192" max="192" width="10.7109375" customWidth="1"/>
    <col min="193" max="193" width="11.7109375" style="9" customWidth="1"/>
    <col min="194" max="194" width="10.7109375" customWidth="1"/>
    <col min="195" max="195" width="11.7109375" style="9" customWidth="1"/>
    <col min="196" max="196" width="10.7109375" customWidth="1"/>
    <col min="197" max="197" width="11.7109375" style="9" customWidth="1"/>
    <col min="198" max="198" width="10.7109375" customWidth="1"/>
    <col min="199" max="199" width="11.7109375" style="9" customWidth="1"/>
    <col min="200" max="200" width="10.7109375" customWidth="1"/>
    <col min="201" max="201" width="11.7109375" style="9" customWidth="1"/>
    <col min="202" max="202" width="10.7109375" customWidth="1"/>
    <col min="203" max="203" width="11.7109375" style="9" customWidth="1"/>
    <col min="204" max="204" width="10.7109375" customWidth="1"/>
    <col min="205" max="205" width="11.7109375" style="9" customWidth="1"/>
    <col min="206" max="206" width="10.7109375" customWidth="1"/>
    <col min="207" max="207" width="11.7109375" style="9" customWidth="1"/>
    <col min="208" max="208" width="10.7109375" customWidth="1"/>
    <col min="209" max="209" width="11.7109375" style="9" customWidth="1"/>
    <col min="210" max="210" width="10.7109375" customWidth="1"/>
    <col min="211" max="211" width="11.7109375" style="9" customWidth="1"/>
    <col min="212" max="212" width="10.7109375" customWidth="1"/>
    <col min="213" max="213" width="11.7109375" style="9" customWidth="1"/>
    <col min="214" max="214" width="10.7109375" customWidth="1"/>
    <col min="215" max="215" width="11.7109375" style="9" customWidth="1"/>
    <col min="216" max="216" width="10.7109375" customWidth="1"/>
    <col min="217" max="217" width="11.7109375" style="9" customWidth="1"/>
    <col min="218" max="218" width="10.7109375" customWidth="1"/>
    <col min="219" max="219" width="11.7109375" style="9" customWidth="1"/>
    <col min="220" max="220" width="10.7109375" customWidth="1"/>
    <col min="221" max="221" width="11.7109375" style="9" customWidth="1"/>
    <col min="222" max="222" width="10.7109375" customWidth="1"/>
    <col min="223" max="223" width="11.7109375" style="9" customWidth="1"/>
    <col min="224" max="224" width="10.7109375" customWidth="1"/>
    <col min="225" max="225" width="11.7109375" style="9" customWidth="1"/>
    <col min="226" max="226" width="10.7109375" customWidth="1"/>
    <col min="227" max="227" width="11.7109375" style="9" customWidth="1"/>
    <col min="228" max="228" width="10.7109375" customWidth="1"/>
    <col min="229" max="229" width="11.7109375" style="9" customWidth="1"/>
    <col min="230" max="230" width="10.7109375" customWidth="1"/>
    <col min="231" max="231" width="11.7109375" style="9" customWidth="1"/>
    <col min="232" max="232" width="10.7109375" customWidth="1"/>
    <col min="233" max="233" width="11.7109375" style="9" customWidth="1"/>
    <col min="234" max="234" width="10.7109375" customWidth="1"/>
    <col min="235" max="235" width="11.7109375" style="9" customWidth="1"/>
    <col min="236" max="236" width="10.7109375" customWidth="1"/>
    <col min="237" max="237" width="11.7109375" style="9" customWidth="1"/>
    <col min="238" max="238" width="10.7109375" customWidth="1"/>
    <col min="239" max="239" width="11.7109375" style="9" customWidth="1"/>
    <col min="240" max="240" width="10.7109375" customWidth="1"/>
    <col min="241" max="241" width="11.7109375" style="9" customWidth="1"/>
    <col min="242" max="242" width="10.7109375" customWidth="1"/>
    <col min="243" max="243" width="11.7109375" style="9" customWidth="1"/>
    <col min="244" max="244" width="10.7109375" customWidth="1"/>
    <col min="245" max="245" width="11.7109375" style="9" customWidth="1"/>
    <col min="246" max="246" width="10.7109375" customWidth="1"/>
    <col min="247" max="247" width="11.7109375" style="9" customWidth="1"/>
    <col min="248" max="248" width="10.7109375" customWidth="1"/>
    <col min="249" max="249" width="11.7109375" style="9" customWidth="1"/>
    <col min="250" max="250" width="10.7109375" customWidth="1"/>
    <col min="251" max="251" width="11.7109375" style="9" customWidth="1"/>
    <col min="252" max="252" width="10.7109375" customWidth="1"/>
    <col min="253" max="253" width="11.7109375" style="9" customWidth="1"/>
    <col min="254" max="254" width="10.7109375" customWidth="1"/>
    <col min="255" max="255" width="11.7109375" style="9" customWidth="1"/>
    <col min="256" max="256" width="10.7109375" customWidth="1"/>
    <col min="257" max="257" width="11.7109375" style="9" customWidth="1"/>
    <col min="258" max="258" width="10.7109375" customWidth="1"/>
    <col min="259" max="259" width="11.7109375" style="9" customWidth="1"/>
    <col min="260" max="260" width="10.7109375" customWidth="1"/>
    <col min="261" max="261" width="11.7109375" style="9" customWidth="1"/>
    <col min="262" max="262" width="10.7109375" customWidth="1"/>
    <col min="263" max="263" width="11.7109375" style="9" customWidth="1"/>
    <col min="264" max="264" width="10.7109375" customWidth="1"/>
    <col min="265" max="265" width="11.7109375" style="9" customWidth="1"/>
    <col min="266" max="266" width="10.7109375" customWidth="1"/>
    <col min="267" max="267" width="11.7109375" style="9" customWidth="1"/>
    <col min="268" max="268" width="10.7109375" customWidth="1"/>
    <col min="269" max="269" width="11.7109375" style="9" customWidth="1"/>
    <col min="270" max="270" width="10.7109375" customWidth="1"/>
    <col min="271" max="271" width="11.7109375" style="9" customWidth="1"/>
    <col min="272" max="272" width="10.7109375" customWidth="1"/>
    <col min="273" max="273" width="11.7109375" style="9" customWidth="1"/>
    <col min="274" max="274" width="10.7109375" customWidth="1"/>
    <col min="275" max="275" width="11.7109375" style="9" customWidth="1"/>
    <col min="276" max="276" width="10.7109375" customWidth="1"/>
    <col min="277" max="277" width="11.7109375" style="9" customWidth="1"/>
    <col min="278" max="278" width="10.7109375" customWidth="1"/>
    <col min="279" max="279" width="11.7109375" style="9" customWidth="1"/>
    <col min="280" max="280" width="10.7109375" customWidth="1"/>
    <col min="281" max="281" width="11.7109375" style="9" customWidth="1"/>
    <col min="282" max="282" width="10.7109375" customWidth="1"/>
    <col min="283" max="283" width="11.7109375" style="9" customWidth="1"/>
    <col min="284" max="284" width="10.7109375" customWidth="1"/>
    <col min="285" max="285" width="11.7109375" style="9" customWidth="1"/>
    <col min="286" max="286" width="10.7109375" customWidth="1"/>
    <col min="287" max="287" width="11.7109375" style="9" customWidth="1"/>
    <col min="288" max="288" width="10.7109375" customWidth="1"/>
    <col min="289" max="289" width="11.7109375" style="9" customWidth="1"/>
    <col min="290" max="290" width="10.7109375" customWidth="1"/>
    <col min="291" max="291" width="11.7109375" style="9" customWidth="1"/>
    <col min="292" max="292" width="10.7109375" customWidth="1"/>
    <col min="293" max="293" width="11.7109375" style="9" customWidth="1"/>
    <col min="294" max="294" width="10.7109375" customWidth="1"/>
    <col min="295" max="295" width="11.7109375" style="9" customWidth="1"/>
    <col min="296" max="296" width="10.7109375" customWidth="1"/>
    <col min="297" max="297" width="11.7109375" style="9" customWidth="1"/>
    <col min="298" max="298" width="10.7109375" customWidth="1"/>
    <col min="299" max="299" width="11.7109375" style="9" customWidth="1"/>
    <col min="300" max="300" width="10.7109375" customWidth="1"/>
    <col min="301" max="301" width="11.7109375" style="9" customWidth="1"/>
    <col min="302" max="302" width="10.7109375" customWidth="1"/>
    <col min="303" max="303" width="11.7109375" style="9" customWidth="1"/>
    <col min="304" max="304" width="10.7109375" customWidth="1"/>
    <col min="305" max="305" width="11.7109375" style="9" customWidth="1"/>
    <col min="306" max="306" width="10.7109375" customWidth="1"/>
    <col min="307" max="307" width="11.7109375" style="9" customWidth="1"/>
    <col min="308" max="308" width="10.7109375" customWidth="1"/>
    <col min="309" max="309" width="11.7109375" style="9" customWidth="1"/>
    <col min="310" max="310" width="10.7109375" customWidth="1"/>
    <col min="311" max="311" width="11.7109375" style="9" customWidth="1"/>
    <col min="312" max="312" width="10.7109375" customWidth="1"/>
    <col min="313" max="313" width="11.7109375" style="9" customWidth="1"/>
    <col min="314" max="314" width="10.7109375" customWidth="1"/>
    <col min="315" max="315" width="11.7109375" style="9" customWidth="1"/>
    <col min="316" max="316" width="10.7109375" customWidth="1"/>
    <col min="317" max="317" width="11.7109375" style="9" customWidth="1"/>
    <col min="318" max="318" width="10.7109375" customWidth="1"/>
    <col min="319" max="319" width="11.7109375" style="9" customWidth="1"/>
    <col min="320" max="320" width="10.7109375" customWidth="1"/>
    <col min="321" max="321" width="11.7109375" style="9" customWidth="1"/>
    <col min="322" max="322" width="10.7109375" customWidth="1"/>
    <col min="323" max="323" width="11.7109375" style="9" customWidth="1"/>
    <col min="324" max="324" width="10.7109375" customWidth="1"/>
    <col min="325" max="325" width="11.7109375" style="9" customWidth="1"/>
    <col min="326" max="326" width="10.7109375" customWidth="1"/>
    <col min="327" max="327" width="11.7109375" style="9" customWidth="1"/>
    <col min="328" max="328" width="10.7109375" customWidth="1"/>
    <col min="329" max="329" width="11.7109375" style="9" customWidth="1"/>
    <col min="330" max="330" width="10.7109375" customWidth="1"/>
    <col min="331" max="331" width="11.7109375" style="9" customWidth="1"/>
    <col min="332" max="332" width="10.7109375" customWidth="1"/>
    <col min="333" max="333" width="11.7109375" style="9" customWidth="1"/>
    <col min="334" max="334" width="10.7109375" customWidth="1"/>
    <col min="335" max="335" width="11.7109375" style="9" customWidth="1"/>
    <col min="336" max="336" width="10.7109375" customWidth="1"/>
    <col min="337" max="337" width="11.7109375" style="9" customWidth="1"/>
    <col min="338" max="338" width="10.7109375" customWidth="1"/>
    <col min="339" max="339" width="11.7109375" style="9" customWidth="1"/>
    <col min="340" max="340" width="10.7109375" customWidth="1"/>
    <col min="341" max="341" width="11.7109375" style="9" customWidth="1"/>
    <col min="342" max="342" width="10.7109375" customWidth="1"/>
    <col min="343" max="343" width="11.7109375" style="9" customWidth="1"/>
    <col min="344" max="344" width="10.7109375" customWidth="1"/>
    <col min="345" max="345" width="11.7109375" style="9" customWidth="1"/>
    <col min="346" max="346" width="10.7109375" customWidth="1"/>
    <col min="347" max="347" width="11.7109375" style="9" customWidth="1"/>
    <col min="348" max="348" width="10.7109375" customWidth="1"/>
    <col min="349" max="349" width="11.7109375" style="9" customWidth="1"/>
    <col min="350" max="350" width="10.7109375" customWidth="1"/>
    <col min="351" max="351" width="11.7109375" style="9" customWidth="1"/>
    <col min="352" max="352" width="10.7109375" customWidth="1"/>
    <col min="353" max="353" width="11.7109375" style="9" customWidth="1"/>
    <col min="354" max="354" width="10.7109375" customWidth="1"/>
    <col min="355" max="355" width="11.7109375" style="9" customWidth="1"/>
    <col min="356" max="356" width="10.7109375" customWidth="1"/>
    <col min="357" max="357" width="11.7109375" style="9" customWidth="1"/>
    <col min="358" max="358" width="10.7109375" customWidth="1"/>
    <col min="359" max="359" width="11.7109375" style="9" customWidth="1"/>
    <col min="360" max="360" width="10.7109375" customWidth="1"/>
    <col min="361" max="361" width="11.7109375" style="9" customWidth="1"/>
    <col min="362" max="362" width="10.7109375" customWidth="1"/>
    <col min="363" max="363" width="11.7109375" style="9" customWidth="1"/>
    <col min="364" max="364" width="10.7109375" customWidth="1"/>
    <col min="365" max="365" width="11.7109375" style="9" customWidth="1"/>
    <col min="366" max="366" width="10.7109375" customWidth="1"/>
    <col min="367" max="367" width="11.7109375" style="9" customWidth="1"/>
    <col min="368" max="368" width="10.7109375" customWidth="1"/>
    <col min="369" max="369" width="11.7109375" style="9" customWidth="1"/>
    <col min="370" max="370" width="10.7109375" customWidth="1"/>
    <col min="371" max="371" width="11.7109375" style="9" customWidth="1"/>
    <col min="372" max="372" width="10.7109375" customWidth="1"/>
    <col min="373" max="373" width="11.7109375" style="9" customWidth="1"/>
    <col min="374" max="374" width="10.7109375" customWidth="1"/>
    <col min="375" max="375" width="11.7109375" style="9" customWidth="1"/>
    <col min="376" max="376" width="10.7109375" customWidth="1"/>
    <col min="377" max="377" width="11.7109375" style="9" customWidth="1"/>
    <col min="378" max="378" width="10.7109375" customWidth="1"/>
    <col min="379" max="379" width="11.7109375" style="9" customWidth="1"/>
    <col min="380" max="380" width="10.7109375" customWidth="1"/>
    <col min="381" max="381" width="11.7109375" style="9" customWidth="1"/>
    <col min="382" max="382" width="10.7109375" customWidth="1"/>
    <col min="383" max="383" width="11.7109375" style="9" customWidth="1"/>
    <col min="384" max="384" width="10.7109375" customWidth="1"/>
    <col min="385" max="385" width="11.7109375" style="9" customWidth="1"/>
    <col min="386" max="386" width="10.7109375" customWidth="1"/>
    <col min="387" max="387" width="11.7109375" style="9" customWidth="1"/>
    <col min="388" max="388" width="10.7109375" customWidth="1"/>
    <col min="389" max="389" width="11.7109375" style="9" customWidth="1"/>
    <col min="390" max="390" width="10.7109375" customWidth="1"/>
    <col min="391" max="391" width="11.7109375" style="9" customWidth="1"/>
    <col min="392" max="392" width="10.7109375" customWidth="1"/>
    <col min="393" max="393" width="11.7109375" style="9" customWidth="1"/>
    <col min="394" max="394" width="10.7109375" customWidth="1"/>
    <col min="395" max="395" width="11.7109375" style="9" customWidth="1"/>
    <col min="396" max="396" width="10.7109375" customWidth="1"/>
    <col min="397" max="397" width="11.7109375" style="9" customWidth="1"/>
    <col min="398" max="398" width="10.7109375" customWidth="1"/>
    <col min="399" max="399" width="11.7109375" style="9" customWidth="1"/>
    <col min="400" max="400" width="10.7109375" customWidth="1"/>
    <col min="401" max="401" width="11.7109375" style="9" customWidth="1"/>
    <col min="402" max="402" width="10.7109375" customWidth="1"/>
    <col min="403" max="403" width="11.7109375" style="9" customWidth="1"/>
    <col min="404" max="404" width="10.7109375" customWidth="1"/>
    <col min="405" max="405" width="11.7109375" style="9" customWidth="1"/>
    <col min="406" max="406" width="10.7109375" customWidth="1"/>
    <col min="407" max="407" width="11.7109375" style="9" customWidth="1"/>
    <col min="408" max="408" width="10.7109375" customWidth="1"/>
    <col min="409" max="409" width="11.7109375" style="9" customWidth="1"/>
    <col min="410" max="410" width="10.7109375" customWidth="1"/>
    <col min="411" max="411" width="11.7109375" style="9" customWidth="1"/>
    <col min="412" max="412" width="10.7109375" customWidth="1"/>
    <col min="413" max="413" width="11.7109375" style="9" customWidth="1"/>
    <col min="414" max="414" width="10.7109375" customWidth="1"/>
    <col min="415" max="415" width="11.7109375" style="9" customWidth="1"/>
    <col min="416" max="416" width="10.7109375" customWidth="1"/>
    <col min="417" max="417" width="11.7109375" style="9" customWidth="1"/>
    <col min="418" max="418" width="10.7109375" customWidth="1"/>
    <col min="419" max="419" width="11.7109375" style="9" customWidth="1"/>
    <col min="420" max="420" width="10.7109375" customWidth="1"/>
    <col min="421" max="421" width="11.7109375" style="9" customWidth="1"/>
    <col min="422" max="422" width="10.7109375" customWidth="1"/>
    <col min="423" max="423" width="11.7109375" style="9" customWidth="1"/>
    <col min="424" max="424" width="10.7109375" customWidth="1"/>
    <col min="425" max="425" width="11.7109375" style="9" customWidth="1"/>
    <col min="426" max="426" width="10.7109375" customWidth="1"/>
    <col min="427" max="427" width="11.7109375" style="9" customWidth="1"/>
    <col min="428" max="428" width="10.7109375" customWidth="1"/>
    <col min="429" max="429" width="11.7109375" style="9" customWidth="1"/>
    <col min="430" max="430" width="10.7109375" customWidth="1"/>
    <col min="431" max="431" width="11.7109375" style="9" customWidth="1"/>
    <col min="432" max="432" width="10.7109375" customWidth="1"/>
    <col min="433" max="433" width="11.7109375" style="9" customWidth="1"/>
    <col min="434" max="434" width="10.7109375" customWidth="1"/>
    <col min="435" max="435" width="11.7109375" style="9" customWidth="1"/>
    <col min="436" max="436" width="10.7109375" customWidth="1"/>
    <col min="437" max="437" width="11.7109375" style="9" customWidth="1"/>
    <col min="438" max="438" width="10.7109375" customWidth="1"/>
    <col min="439" max="439" width="11.7109375" style="9" customWidth="1"/>
    <col min="440" max="440" width="10.7109375" customWidth="1"/>
    <col min="441" max="441" width="11.7109375" style="9" customWidth="1"/>
    <col min="442" max="442" width="10.7109375" customWidth="1"/>
    <col min="443" max="443" width="11.7109375" style="9" customWidth="1"/>
    <col min="444" max="444" width="10.7109375" customWidth="1"/>
    <col min="445" max="445" width="11.7109375" style="9" customWidth="1"/>
    <col min="446" max="446" width="10.7109375" customWidth="1"/>
    <col min="447" max="447" width="11.7109375" style="9" customWidth="1"/>
    <col min="448" max="448" width="10.7109375" customWidth="1"/>
    <col min="449" max="449" width="11.7109375" style="9" customWidth="1"/>
    <col min="450" max="450" width="10.7109375" customWidth="1"/>
    <col min="451" max="451" width="11.7109375" style="9" customWidth="1"/>
    <col min="452" max="452" width="10.7109375" customWidth="1"/>
    <col min="453" max="453" width="11.7109375" style="9" customWidth="1"/>
    <col min="454" max="454" width="10.7109375" customWidth="1"/>
    <col min="455" max="455" width="11.7109375" style="9" customWidth="1"/>
    <col min="456" max="456" width="10.7109375" customWidth="1"/>
    <col min="457" max="457" width="11.7109375" style="9" customWidth="1"/>
    <col min="458" max="458" width="10.7109375" customWidth="1"/>
    <col min="459" max="459" width="11.7109375" style="9" customWidth="1"/>
    <col min="460" max="460" width="10.7109375" customWidth="1"/>
    <col min="461" max="461" width="11.7109375" style="9" customWidth="1"/>
    <col min="462" max="462" width="10.7109375" customWidth="1"/>
    <col min="463" max="463" width="11.7109375" style="9" customWidth="1"/>
    <col min="464" max="464" width="10.7109375" customWidth="1"/>
    <col min="465" max="465" width="11.7109375" style="9" customWidth="1"/>
    <col min="466" max="466" width="10.7109375" customWidth="1"/>
    <col min="467" max="467" width="11.7109375" style="9" customWidth="1"/>
    <col min="468" max="468" width="10.7109375" customWidth="1"/>
    <col min="469" max="469" width="11.7109375" style="9" customWidth="1"/>
    <col min="470" max="470" width="10.7109375" customWidth="1"/>
    <col min="471" max="471" width="11.7109375" style="9" customWidth="1"/>
    <col min="472" max="472" width="10.7109375" customWidth="1"/>
    <col min="473" max="473" width="11.7109375" style="9" customWidth="1"/>
    <col min="474" max="474" width="10.7109375" customWidth="1"/>
    <col min="475" max="475" width="11.7109375" style="9" customWidth="1"/>
    <col min="476" max="476" width="10.7109375" customWidth="1"/>
    <col min="477" max="477" width="11.7109375" style="9" customWidth="1"/>
    <col min="478" max="478" width="10.7109375" customWidth="1"/>
    <col min="479" max="479" width="11.7109375" style="9" customWidth="1"/>
    <col min="480" max="480" width="10.7109375" customWidth="1"/>
    <col min="481" max="481" width="11.7109375" style="9" customWidth="1"/>
    <col min="482" max="482" width="10.7109375" customWidth="1"/>
    <col min="483" max="483" width="11.7109375" style="9" customWidth="1"/>
    <col min="484" max="484" width="10.7109375" customWidth="1"/>
    <col min="485" max="485" width="11.7109375" style="9" customWidth="1"/>
    <col min="486" max="486" width="10.7109375" customWidth="1"/>
    <col min="487" max="487" width="11.7109375" style="9" customWidth="1"/>
    <col min="488" max="488" width="10.7109375" customWidth="1"/>
    <col min="489" max="489" width="11.7109375" style="9" customWidth="1"/>
    <col min="490" max="490" width="10.7109375" customWidth="1"/>
    <col min="491" max="491" width="11.7109375" style="9" customWidth="1"/>
    <col min="492" max="492" width="10.7109375" customWidth="1"/>
    <col min="493" max="493" width="11.7109375" style="9" customWidth="1"/>
    <col min="494" max="494" width="10.7109375" customWidth="1"/>
    <col min="495" max="495" width="11.7109375" style="9" customWidth="1"/>
    <col min="496" max="496" width="10.7109375" customWidth="1"/>
    <col min="497" max="497" width="11.7109375" style="9" customWidth="1"/>
    <col min="498" max="498" width="10.7109375" customWidth="1"/>
    <col min="499" max="499" width="11.7109375" style="9" customWidth="1"/>
    <col min="500" max="500" width="10.7109375" customWidth="1"/>
    <col min="501" max="501" width="11.7109375" style="9" customWidth="1"/>
    <col min="502" max="502" width="10.7109375" customWidth="1"/>
    <col min="503" max="503" width="11.7109375" style="9" customWidth="1"/>
    <col min="504" max="504" width="10.7109375" customWidth="1"/>
    <col min="505" max="505" width="11.7109375" style="9" customWidth="1"/>
    <col min="506" max="506" width="10.7109375" customWidth="1"/>
    <col min="507" max="507" width="11.7109375" style="9" customWidth="1"/>
    <col min="508" max="508" width="10.7109375" customWidth="1"/>
    <col min="509" max="509" width="11.7109375" style="9" customWidth="1"/>
    <col min="510" max="510" width="10.7109375" customWidth="1"/>
    <col min="511" max="511" width="11.7109375" style="9" customWidth="1"/>
    <col min="512" max="512" width="10.7109375" customWidth="1"/>
    <col min="513" max="513" width="11.7109375" style="9" customWidth="1"/>
    <col min="514" max="514" width="10.7109375" customWidth="1"/>
    <col min="515" max="515" width="11.7109375" style="9" customWidth="1"/>
    <col min="516" max="516" width="10.7109375" customWidth="1"/>
    <col min="517" max="517" width="11.7109375" style="9" customWidth="1"/>
    <col min="518" max="518" width="10.7109375" customWidth="1"/>
    <col min="519" max="519" width="11.7109375" style="9" customWidth="1"/>
    <col min="520" max="520" width="10.7109375" customWidth="1"/>
    <col min="521" max="521" width="11.7109375" style="9" customWidth="1"/>
    <col min="522" max="522" width="10.7109375" customWidth="1"/>
    <col min="523" max="523" width="11.7109375" style="9" customWidth="1"/>
    <col min="524" max="524" width="10.7109375" customWidth="1"/>
    <col min="525" max="525" width="11.7109375" style="9" customWidth="1"/>
    <col min="526" max="526" width="10.7109375" customWidth="1"/>
    <col min="527" max="527" width="11.7109375" style="9" customWidth="1"/>
    <col min="528" max="528" width="10.7109375" customWidth="1"/>
    <col min="529" max="529" width="11.7109375" style="9" customWidth="1"/>
    <col min="530" max="530" width="10.7109375" customWidth="1"/>
    <col min="531" max="531" width="11.7109375" style="9" customWidth="1"/>
    <col min="532" max="532" width="10.7109375" customWidth="1"/>
    <col min="533" max="533" width="11.7109375" style="9" customWidth="1"/>
    <col min="534" max="534" width="10.7109375" customWidth="1"/>
    <col min="535" max="535" width="11.7109375" style="9" customWidth="1"/>
    <col min="536" max="536" width="10.7109375" customWidth="1"/>
    <col min="537" max="537" width="11.7109375" style="9" customWidth="1"/>
    <col min="538" max="538" width="10.7109375" customWidth="1"/>
    <col min="539" max="539" width="11.7109375" style="9" customWidth="1"/>
    <col min="540" max="540" width="10.7109375" customWidth="1"/>
    <col min="541" max="541" width="11.7109375" style="9" customWidth="1"/>
    <col min="542" max="542" width="10.7109375" customWidth="1"/>
    <col min="543" max="543" width="11.7109375" style="9" customWidth="1"/>
    <col min="544" max="544" width="10.7109375" customWidth="1"/>
    <col min="545" max="545" width="11.7109375" style="9" customWidth="1"/>
    <col min="546" max="546" width="10.7109375" customWidth="1"/>
    <col min="547" max="547" width="11.7109375" style="9" customWidth="1"/>
    <col min="548" max="548" width="10.7109375" customWidth="1"/>
    <col min="549" max="549" width="11.7109375" style="9" customWidth="1"/>
    <col min="550" max="550" width="10.7109375" customWidth="1"/>
    <col min="551" max="551" width="11.7109375" style="9" customWidth="1"/>
    <col min="552" max="552" width="10.7109375" customWidth="1"/>
    <col min="553" max="553" width="11.7109375" style="9" customWidth="1"/>
    <col min="554" max="554" width="10.7109375" customWidth="1"/>
    <col min="555" max="555" width="11.7109375" style="9" customWidth="1"/>
    <col min="556" max="556" width="10.7109375" customWidth="1"/>
    <col min="557" max="557" width="11.7109375" style="9" customWidth="1"/>
    <col min="558" max="558" width="10.7109375" customWidth="1"/>
    <col min="559" max="559" width="11.7109375" style="9" customWidth="1"/>
    <col min="560" max="560" width="10.7109375" customWidth="1"/>
    <col min="561" max="561" width="11.7109375" style="9" customWidth="1"/>
    <col min="562" max="562" width="10.7109375" customWidth="1"/>
    <col min="563" max="563" width="11.7109375" style="9" customWidth="1"/>
    <col min="564" max="564" width="10.7109375" customWidth="1"/>
    <col min="565" max="565" width="11.7109375" style="9" customWidth="1"/>
    <col min="566" max="566" width="10.7109375" customWidth="1"/>
    <col min="567" max="567" width="11.7109375" style="9" customWidth="1"/>
    <col min="568" max="568" width="10.7109375" customWidth="1"/>
    <col min="569" max="569" width="11.7109375" style="9" customWidth="1"/>
    <col min="570" max="570" width="10.7109375" customWidth="1"/>
    <col min="571" max="571" width="11.7109375" style="9" customWidth="1"/>
    <col min="572" max="572" width="10.7109375" customWidth="1"/>
    <col min="573" max="573" width="11.7109375" style="9" customWidth="1"/>
    <col min="574" max="574" width="10.7109375" customWidth="1"/>
    <col min="575" max="575" width="11.7109375" style="9" customWidth="1"/>
    <col min="576" max="576" width="10.7109375" customWidth="1"/>
    <col min="577" max="577" width="11.7109375" style="9" customWidth="1"/>
    <col min="578" max="578" width="10.7109375" customWidth="1"/>
    <col min="579" max="579" width="11.7109375" style="9" customWidth="1"/>
    <col min="580" max="580" width="10.7109375" customWidth="1"/>
    <col min="581" max="581" width="11.7109375" style="9" customWidth="1"/>
    <col min="582" max="582" width="10.7109375" customWidth="1"/>
    <col min="583" max="583" width="11.7109375" style="9" customWidth="1"/>
    <col min="584" max="584" width="10.7109375" customWidth="1"/>
    <col min="585" max="585" width="11.7109375" style="9" customWidth="1"/>
    <col min="586" max="586" width="10.7109375" customWidth="1"/>
    <col min="587" max="587" width="11.7109375" style="9" customWidth="1"/>
    <col min="588" max="588" width="10.7109375" customWidth="1"/>
    <col min="589" max="589" width="11.7109375" style="9" customWidth="1"/>
    <col min="590" max="590" width="10.7109375" customWidth="1"/>
    <col min="591" max="591" width="11.7109375" style="9" customWidth="1"/>
    <col min="592" max="592" width="10.7109375" customWidth="1"/>
    <col min="593" max="593" width="11.7109375" style="9" customWidth="1"/>
    <col min="594" max="594" width="10.7109375" customWidth="1"/>
    <col min="595" max="595" width="11.7109375" style="9" customWidth="1"/>
    <col min="596" max="596" width="10.7109375" customWidth="1"/>
    <col min="597" max="597" width="11.7109375" style="9" customWidth="1"/>
    <col min="598" max="598" width="10.7109375" customWidth="1"/>
    <col min="599" max="599" width="11.7109375" style="9" customWidth="1"/>
    <col min="600" max="600" width="10.7109375" customWidth="1"/>
    <col min="601" max="601" width="11.7109375" style="9" customWidth="1"/>
    <col min="602" max="602" width="10.7109375" customWidth="1"/>
    <col min="603" max="603" width="11.7109375" style="9" customWidth="1"/>
    <col min="604" max="604" width="10.7109375" customWidth="1"/>
    <col min="605" max="605" width="11.7109375" style="9" customWidth="1"/>
    <col min="606" max="606" width="10.7109375" customWidth="1"/>
    <col min="607" max="607" width="11.7109375" style="9" customWidth="1"/>
    <col min="608" max="608" width="10.7109375" customWidth="1"/>
    <col min="609" max="609" width="11.7109375" style="9" customWidth="1"/>
    <col min="610" max="610" width="10.7109375" customWidth="1"/>
    <col min="611" max="611" width="11.7109375" style="9" customWidth="1"/>
    <col min="612" max="612" width="10.7109375" customWidth="1"/>
    <col min="613" max="613" width="11.7109375" style="9" customWidth="1"/>
    <col min="614" max="614" width="10.7109375" customWidth="1"/>
    <col min="615" max="615" width="11.7109375" style="9" customWidth="1"/>
    <col min="616" max="616" width="10.7109375" customWidth="1"/>
    <col min="617" max="617" width="11.7109375" style="9" customWidth="1"/>
    <col min="618" max="618" width="10.7109375" customWidth="1"/>
    <col min="619" max="619" width="11.7109375" style="9" customWidth="1"/>
    <col min="620" max="620" width="10.7109375" customWidth="1"/>
    <col min="621" max="621" width="11.7109375" style="9" customWidth="1"/>
    <col min="622" max="622" width="10.7109375" customWidth="1"/>
    <col min="623" max="623" width="11.7109375" style="9" customWidth="1"/>
    <col min="624" max="624" width="10.7109375" customWidth="1"/>
    <col min="625" max="625" width="11.7109375" style="9" customWidth="1"/>
    <col min="626" max="626" width="10.7109375" customWidth="1"/>
    <col min="627" max="627" width="11.7109375" style="9" customWidth="1"/>
    <col min="628" max="628" width="10.7109375" customWidth="1"/>
    <col min="629" max="629" width="11.7109375" style="9" customWidth="1"/>
    <col min="630" max="630" width="10.7109375" customWidth="1"/>
    <col min="631" max="631" width="11.7109375" style="9" customWidth="1"/>
    <col min="632" max="632" width="10.7109375" customWidth="1"/>
    <col min="633" max="633" width="11.7109375" style="9" customWidth="1"/>
    <col min="634" max="634" width="10.7109375" customWidth="1"/>
    <col min="635" max="635" width="11.7109375" style="9" customWidth="1"/>
    <col min="636" max="636" width="10.7109375" customWidth="1"/>
    <col min="637" max="637" width="11.7109375" style="9" customWidth="1"/>
    <col min="638" max="638" width="10.7109375" customWidth="1"/>
    <col min="639" max="639" width="11.7109375" style="9" customWidth="1"/>
    <col min="640" max="640" width="10.7109375" customWidth="1"/>
    <col min="641" max="641" width="11.7109375" style="9" customWidth="1"/>
    <col min="642" max="642" width="10.7109375" customWidth="1"/>
    <col min="643" max="643" width="11.7109375" style="9" customWidth="1"/>
    <col min="644" max="644" width="10.7109375" customWidth="1"/>
    <col min="645" max="645" width="11.7109375" style="9" customWidth="1"/>
    <col min="646" max="646" width="10.7109375" customWidth="1"/>
    <col min="647" max="647" width="11.7109375" style="9" customWidth="1"/>
    <col min="648" max="648" width="10.7109375" customWidth="1"/>
    <col min="649" max="649" width="11.7109375" style="9" customWidth="1"/>
    <col min="650" max="650" width="10.7109375" customWidth="1"/>
    <col min="651" max="651" width="11.7109375" style="9" customWidth="1"/>
    <col min="652" max="652" width="10.7109375" customWidth="1"/>
    <col min="653" max="653" width="11.7109375" style="9" customWidth="1"/>
    <col min="654" max="654" width="10.7109375" customWidth="1"/>
    <col min="655" max="655" width="11.7109375" style="9" customWidth="1"/>
    <col min="656" max="656" width="10.7109375" customWidth="1"/>
    <col min="657" max="657" width="11.7109375" style="9" customWidth="1"/>
    <col min="658" max="658" width="10.7109375" customWidth="1"/>
    <col min="659" max="659" width="11.7109375" style="9" customWidth="1"/>
    <col min="660" max="660" width="10.7109375" customWidth="1"/>
    <col min="661" max="661" width="11.7109375" style="9" customWidth="1"/>
    <col min="662" max="662" width="10.7109375" customWidth="1"/>
    <col min="663" max="663" width="11.7109375" style="9" customWidth="1"/>
    <col min="664" max="664" width="10.7109375" customWidth="1"/>
    <col min="665" max="665" width="11.7109375" style="9" customWidth="1"/>
    <col min="666" max="666" width="10.7109375" customWidth="1"/>
    <col min="667" max="667" width="11.7109375" style="9" customWidth="1"/>
    <col min="668" max="668" width="10.7109375" customWidth="1"/>
    <col min="669" max="669" width="11.7109375" style="9" customWidth="1"/>
    <col min="670" max="670" width="10.7109375" customWidth="1"/>
    <col min="671" max="671" width="11.7109375" style="9" customWidth="1"/>
    <col min="672" max="672" width="10.7109375" customWidth="1"/>
    <col min="673" max="673" width="11.7109375" style="9" customWidth="1"/>
    <col min="674" max="674" width="10.7109375" customWidth="1"/>
    <col min="675" max="675" width="11.7109375" style="9" customWidth="1"/>
    <col min="676" max="676" width="10.7109375" customWidth="1"/>
    <col min="677" max="677" width="11.7109375" style="9" customWidth="1"/>
    <col min="678" max="678" width="10.7109375" customWidth="1"/>
    <col min="679" max="679" width="11.7109375" style="9" customWidth="1"/>
    <col min="680" max="680" width="10.7109375" customWidth="1"/>
    <col min="681" max="681" width="11.7109375" style="9" customWidth="1"/>
    <col min="682" max="682" width="10.7109375" customWidth="1"/>
    <col min="683" max="683" width="11.7109375" style="9" customWidth="1"/>
    <col min="684" max="684" width="10.7109375" customWidth="1"/>
    <col min="685" max="685" width="11.7109375" style="9" customWidth="1"/>
    <col min="686" max="686" width="10.7109375" customWidth="1"/>
    <col min="687" max="687" width="11.7109375" style="9" customWidth="1"/>
    <col min="688" max="688" width="10.7109375" customWidth="1"/>
    <col min="689" max="689" width="11.7109375" style="9" customWidth="1"/>
    <col min="690" max="690" width="10.7109375" customWidth="1"/>
    <col min="691" max="691" width="11.7109375" style="9" customWidth="1"/>
    <col min="692" max="692" width="10.7109375" customWidth="1"/>
    <col min="693" max="693" width="11.7109375" style="9" customWidth="1"/>
    <col min="694" max="694" width="10.7109375" customWidth="1"/>
    <col min="695" max="695" width="11.7109375" style="9" customWidth="1"/>
    <col min="696" max="696" width="10.7109375" customWidth="1"/>
    <col min="697" max="697" width="11.7109375" style="9" customWidth="1"/>
    <col min="698" max="698" width="10.7109375" customWidth="1"/>
    <col min="699" max="699" width="11.7109375" style="9" customWidth="1"/>
    <col min="700" max="700" width="10.7109375" customWidth="1"/>
    <col min="701" max="701" width="11.7109375" style="9" customWidth="1"/>
    <col min="702" max="702" width="10.7109375" customWidth="1"/>
    <col min="703" max="703" width="11.7109375" style="9" customWidth="1"/>
    <col min="704" max="704" width="10.7109375" customWidth="1"/>
    <col min="705" max="705" width="11.7109375" style="9" customWidth="1"/>
    <col min="706" max="706" width="10.7109375" customWidth="1"/>
    <col min="707" max="707" width="11.7109375" style="9" customWidth="1"/>
    <col min="708" max="708" width="10.7109375" customWidth="1"/>
    <col min="709" max="709" width="11.7109375" style="9" customWidth="1"/>
    <col min="710" max="710" width="10.7109375" customWidth="1"/>
    <col min="711" max="711" width="11.7109375" style="9" customWidth="1"/>
    <col min="712" max="712" width="10.7109375" customWidth="1"/>
    <col min="713" max="713" width="11.7109375" style="9" customWidth="1"/>
    <col min="714" max="714" width="10.7109375" customWidth="1"/>
    <col min="715" max="715" width="11.7109375" style="9" customWidth="1"/>
    <col min="716" max="716" width="10.7109375" customWidth="1"/>
    <col min="717" max="717" width="11.7109375" style="9" customWidth="1"/>
    <col min="718" max="718" width="10.7109375" customWidth="1"/>
    <col min="719" max="719" width="11.7109375" style="9" customWidth="1"/>
    <col min="720" max="720" width="10.7109375" customWidth="1"/>
    <col min="721" max="721" width="11.7109375" style="9" customWidth="1"/>
    <col min="722" max="722" width="10.7109375" customWidth="1"/>
    <col min="723" max="723" width="11.7109375" style="9" customWidth="1"/>
    <col min="724" max="724" width="10.7109375" customWidth="1"/>
    <col min="725" max="725" width="11.7109375" style="9" customWidth="1"/>
    <col min="726" max="726" width="10.7109375" customWidth="1"/>
    <col min="727" max="727" width="11.7109375" style="9" customWidth="1"/>
    <col min="728" max="728" width="10.7109375" customWidth="1"/>
    <col min="729" max="729" width="11.7109375" style="9" customWidth="1"/>
    <col min="730" max="730" width="10.7109375" customWidth="1"/>
    <col min="731" max="731" width="11.7109375" style="9" customWidth="1"/>
    <col min="732" max="732" width="10.7109375" customWidth="1"/>
    <col min="733" max="733" width="11.7109375" style="9" customWidth="1"/>
    <col min="734" max="734" width="10.7109375" customWidth="1"/>
    <col min="735" max="735" width="11.7109375" style="9" customWidth="1"/>
    <col min="736" max="736" width="10.7109375" customWidth="1"/>
    <col min="737" max="737" width="11.7109375" style="9" customWidth="1"/>
    <col min="738" max="738" width="10.7109375" customWidth="1"/>
    <col min="739" max="739" width="11.7109375" style="9" customWidth="1"/>
    <col min="740" max="740" width="10.7109375" customWidth="1"/>
    <col min="741" max="741" width="11.7109375" style="9" customWidth="1"/>
    <col min="742" max="742" width="10.7109375" customWidth="1"/>
    <col min="743" max="743" width="11.7109375" style="9" customWidth="1"/>
    <col min="744" max="744" width="10.7109375" customWidth="1"/>
    <col min="745" max="745" width="11.7109375" style="9" customWidth="1"/>
    <col min="746" max="746" width="10.7109375" customWidth="1"/>
    <col min="747" max="747" width="11.7109375" style="9" customWidth="1"/>
    <col min="748" max="748" width="10.7109375" customWidth="1"/>
    <col min="749" max="749" width="11.7109375" style="9" customWidth="1"/>
    <col min="750" max="750" width="10.7109375" customWidth="1"/>
    <col min="751" max="751" width="11.7109375" style="9" customWidth="1"/>
    <col min="752" max="752" width="10.7109375" customWidth="1"/>
    <col min="753" max="753" width="11.7109375" style="9" customWidth="1"/>
    <col min="754" max="754" width="10.7109375" customWidth="1"/>
    <col min="755" max="755" width="11.7109375" style="9" customWidth="1"/>
    <col min="756" max="756" width="10.7109375" customWidth="1"/>
    <col min="757" max="757" width="11.7109375" style="9" customWidth="1"/>
    <col min="758" max="758" width="10.7109375" customWidth="1"/>
    <col min="759" max="759" width="11.7109375" style="9" customWidth="1"/>
    <col min="760" max="760" width="10.7109375" customWidth="1"/>
    <col min="761" max="761" width="11.7109375" style="9" customWidth="1"/>
    <col min="762" max="762" width="10.7109375" customWidth="1"/>
    <col min="763" max="763" width="11.7109375" style="9" customWidth="1"/>
    <col min="764" max="764" width="10.7109375" customWidth="1"/>
    <col min="765" max="765" width="11.7109375" style="9" customWidth="1"/>
    <col min="766" max="766" width="10.7109375" customWidth="1"/>
    <col min="767" max="767" width="11.7109375" style="9" customWidth="1"/>
    <col min="768" max="768" width="10.7109375" customWidth="1"/>
    <col min="769" max="769" width="11.7109375" style="9" customWidth="1"/>
    <col min="770" max="770" width="10.7109375" customWidth="1"/>
    <col min="771" max="771" width="11.7109375" style="9" customWidth="1"/>
    <col min="772" max="772" width="10.7109375" customWidth="1"/>
    <col min="773" max="773" width="11.7109375" style="9" customWidth="1"/>
    <col min="774" max="774" width="10.7109375" customWidth="1"/>
    <col min="775" max="775" width="11.7109375" style="9" customWidth="1"/>
    <col min="776" max="776" width="10.7109375" customWidth="1"/>
    <col min="777" max="777" width="11.7109375" style="9" customWidth="1"/>
    <col min="778" max="778" width="10.7109375" customWidth="1"/>
    <col min="779" max="779" width="11.7109375" style="9" customWidth="1"/>
    <col min="780" max="780" width="10.7109375" customWidth="1"/>
    <col min="781" max="781" width="11.7109375" style="9" customWidth="1"/>
    <col min="782" max="782" width="10.7109375" customWidth="1"/>
    <col min="783" max="783" width="11.7109375" style="9" customWidth="1"/>
    <col min="784" max="784" width="10.7109375" customWidth="1"/>
    <col min="785" max="785" width="11.7109375" style="9" customWidth="1"/>
    <col min="786" max="786" width="10.7109375" customWidth="1"/>
    <col min="787" max="787" width="11.7109375" style="9" customWidth="1"/>
    <col min="788" max="788" width="10.7109375" customWidth="1"/>
    <col min="789" max="789" width="11.7109375" style="9" customWidth="1"/>
    <col min="790" max="790" width="10.7109375" customWidth="1"/>
    <col min="791" max="791" width="11.7109375" style="9" customWidth="1"/>
    <col min="792" max="792" width="10.7109375" customWidth="1"/>
    <col min="793" max="793" width="11.7109375" style="9" customWidth="1"/>
    <col min="794" max="794" width="10.7109375" customWidth="1"/>
    <col min="795" max="795" width="11.7109375" style="9" customWidth="1"/>
    <col min="796" max="796" width="10.7109375" customWidth="1"/>
    <col min="797" max="797" width="11.7109375" style="9" customWidth="1"/>
    <col min="798" max="798" width="10.7109375" customWidth="1"/>
    <col min="799" max="799" width="11.7109375" style="9" customWidth="1"/>
    <col min="800" max="800" width="10.7109375" customWidth="1"/>
    <col min="801" max="801" width="11.7109375" style="9" customWidth="1"/>
    <col min="802" max="802" width="10.7109375" customWidth="1"/>
    <col min="803" max="803" width="11.7109375" style="9" customWidth="1"/>
    <col min="804" max="804" width="10.7109375" customWidth="1"/>
    <col min="805" max="805" width="11.7109375" style="9" customWidth="1"/>
    <col min="806" max="806" width="10.7109375" customWidth="1"/>
    <col min="807" max="807" width="11.7109375" style="9" customWidth="1"/>
    <col min="808" max="808" width="10.7109375" customWidth="1"/>
    <col min="809" max="809" width="11.7109375" style="9" customWidth="1"/>
    <col min="810" max="810" width="10.7109375" customWidth="1"/>
    <col min="811" max="811" width="11.7109375" style="9" customWidth="1"/>
    <col min="812" max="812" width="10.7109375" customWidth="1"/>
    <col min="813" max="813" width="11.7109375" style="9" customWidth="1"/>
    <col min="814" max="814" width="10.7109375" customWidth="1"/>
    <col min="815" max="815" width="11.7109375" style="9" customWidth="1"/>
    <col min="816" max="816" width="10.7109375" customWidth="1"/>
    <col min="817" max="817" width="11.7109375" style="9" customWidth="1"/>
    <col min="818" max="818" width="10.7109375" customWidth="1"/>
    <col min="819" max="819" width="11.7109375" style="9" customWidth="1"/>
    <col min="820" max="820" width="10.7109375" customWidth="1"/>
    <col min="821" max="821" width="11.7109375" style="9" customWidth="1"/>
    <col min="822" max="822" width="10.7109375" customWidth="1"/>
    <col min="823" max="823" width="11.7109375" style="9" customWidth="1"/>
    <col min="824" max="824" width="10.7109375" customWidth="1"/>
    <col min="825" max="825" width="11.7109375" style="9" customWidth="1"/>
    <col min="826" max="826" width="10.7109375" customWidth="1"/>
    <col min="827" max="827" width="11.7109375" style="9" customWidth="1"/>
    <col min="828" max="828" width="10.7109375" customWidth="1"/>
    <col min="829" max="829" width="11.7109375" style="9" customWidth="1"/>
    <col min="830" max="830" width="10.7109375" customWidth="1"/>
    <col min="831" max="831" width="11.7109375" style="9" customWidth="1"/>
    <col min="832" max="832" width="10.7109375" customWidth="1"/>
    <col min="833" max="833" width="11.7109375" style="9" customWidth="1"/>
    <col min="834" max="834" width="10.7109375" customWidth="1"/>
    <col min="835" max="835" width="11.7109375" style="9" customWidth="1"/>
    <col min="836" max="836" width="10.7109375" customWidth="1"/>
    <col min="837" max="837" width="11.7109375" style="9" customWidth="1"/>
    <col min="838" max="838" width="10.7109375" customWidth="1"/>
    <col min="839" max="839" width="11.7109375" style="9" customWidth="1"/>
    <col min="840" max="840" width="10.7109375" customWidth="1"/>
    <col min="841" max="841" width="11.7109375" style="9" customWidth="1"/>
    <col min="842" max="842" width="10.7109375" customWidth="1"/>
    <col min="843" max="843" width="11.7109375" style="9" customWidth="1"/>
    <col min="844" max="844" width="10.7109375" customWidth="1"/>
    <col min="845" max="845" width="11.7109375" style="9" customWidth="1"/>
    <col min="846" max="846" width="10.7109375" customWidth="1"/>
    <col min="847" max="847" width="11.7109375" style="9" customWidth="1"/>
    <col min="848" max="848" width="10.7109375" customWidth="1"/>
    <col min="849" max="849" width="11.7109375" style="9" customWidth="1"/>
    <col min="850" max="850" width="10.7109375" customWidth="1"/>
    <col min="851" max="851" width="11.7109375" style="9" customWidth="1"/>
    <col min="852" max="852" width="10.7109375" customWidth="1"/>
    <col min="853" max="853" width="11.7109375" style="9" customWidth="1"/>
    <col min="854" max="854" width="10.7109375" customWidth="1"/>
    <col min="855" max="855" width="11.7109375" style="9" customWidth="1"/>
    <col min="856" max="856" width="10.7109375" customWidth="1"/>
    <col min="857" max="857" width="11.7109375" style="9" customWidth="1"/>
    <col min="858" max="858" width="10.7109375" customWidth="1"/>
    <col min="859" max="859" width="11.7109375" style="9" customWidth="1"/>
    <col min="860" max="860" width="10.7109375" customWidth="1"/>
    <col min="861" max="861" width="11.7109375" style="9" customWidth="1"/>
    <col min="862" max="862" width="10.7109375" customWidth="1"/>
    <col min="863" max="863" width="11.7109375" style="9" customWidth="1"/>
    <col min="864" max="864" width="10.7109375" customWidth="1"/>
    <col min="865" max="865" width="11.7109375" style="9" customWidth="1"/>
    <col min="866" max="866" width="10.7109375" customWidth="1"/>
    <col min="867" max="867" width="11.7109375" style="9" customWidth="1"/>
    <col min="868" max="868" width="10.7109375" customWidth="1"/>
    <col min="869" max="869" width="11.7109375" style="9" customWidth="1"/>
    <col min="870" max="870" width="10.7109375" customWidth="1"/>
    <col min="871" max="871" width="11.7109375" style="9" customWidth="1"/>
    <col min="872" max="872" width="10.7109375" customWidth="1"/>
    <col min="873" max="873" width="11.7109375" style="9" customWidth="1"/>
    <col min="874" max="874" width="10.7109375" customWidth="1"/>
    <col min="875" max="875" width="11.7109375" style="9" customWidth="1"/>
    <col min="876" max="876" width="10.7109375" customWidth="1"/>
    <col min="877" max="877" width="11.7109375" style="9" customWidth="1"/>
    <col min="878" max="878" width="10.7109375" customWidth="1"/>
    <col min="879" max="879" width="11.7109375" style="9" customWidth="1"/>
    <col min="880" max="880" width="10.7109375" customWidth="1"/>
    <col min="881" max="881" width="11.7109375" style="9" customWidth="1"/>
    <col min="882" max="882" width="10.7109375" customWidth="1"/>
    <col min="883" max="883" width="11.7109375" style="9" customWidth="1"/>
    <col min="884" max="884" width="10.7109375" customWidth="1"/>
    <col min="885" max="885" width="11.7109375" style="9" customWidth="1"/>
    <col min="886" max="886" width="10.7109375" customWidth="1"/>
    <col min="887" max="887" width="11.7109375" style="9" customWidth="1"/>
    <col min="888" max="888" width="10.7109375" customWidth="1"/>
    <col min="889" max="889" width="11.7109375" style="9" customWidth="1"/>
    <col min="890" max="890" width="10.7109375" customWidth="1"/>
    <col min="891" max="891" width="11.7109375" style="9" customWidth="1"/>
    <col min="892" max="892" width="10.7109375" customWidth="1"/>
    <col min="893" max="893" width="11.7109375" style="9" customWidth="1"/>
    <col min="894" max="894" width="10.7109375" customWidth="1"/>
    <col min="895" max="895" width="11.7109375" style="9" customWidth="1"/>
    <col min="896" max="896" width="10.7109375" customWidth="1"/>
    <col min="897" max="897" width="11.7109375" style="9" customWidth="1"/>
    <col min="898" max="898" width="10.7109375" customWidth="1"/>
    <col min="899" max="899" width="11.7109375" style="9" customWidth="1"/>
    <col min="900" max="900" width="10.7109375" customWidth="1"/>
    <col min="901" max="901" width="11.7109375" style="9" customWidth="1"/>
    <col min="902" max="902" width="10.7109375" customWidth="1"/>
    <col min="903" max="903" width="11.7109375" style="9" customWidth="1"/>
    <col min="904" max="904" width="10.7109375" customWidth="1"/>
    <col min="905" max="905" width="11.7109375" style="9" customWidth="1"/>
    <col min="906" max="906" width="10.7109375" customWidth="1"/>
    <col min="907" max="907" width="11.7109375" style="9" customWidth="1"/>
    <col min="908" max="908" width="10.7109375" customWidth="1"/>
    <col min="909" max="909" width="11.7109375" style="9" customWidth="1"/>
    <col min="910" max="910" width="10.7109375" customWidth="1"/>
    <col min="911" max="911" width="11.7109375" style="9" customWidth="1"/>
    <col min="912" max="912" width="10.7109375" customWidth="1"/>
    <col min="913" max="913" width="11.7109375" style="9" customWidth="1"/>
    <col min="914" max="914" width="10.7109375" customWidth="1"/>
    <col min="915" max="915" width="11.7109375" style="9" customWidth="1"/>
    <col min="916" max="916" width="10.7109375" customWidth="1"/>
    <col min="917" max="917" width="11.7109375" style="9" customWidth="1"/>
    <col min="918" max="918" width="10.7109375" customWidth="1"/>
    <col min="919" max="919" width="11.7109375" style="9" customWidth="1"/>
    <col min="920" max="920" width="10.7109375" customWidth="1"/>
    <col min="921" max="921" width="11.7109375" style="9" customWidth="1"/>
    <col min="922" max="922" width="10.7109375" customWidth="1"/>
    <col min="923" max="923" width="11.7109375" style="9" customWidth="1"/>
    <col min="924" max="924" width="10.7109375" customWidth="1"/>
    <col min="925" max="925" width="11.7109375" style="9" customWidth="1"/>
    <col min="926" max="926" width="10.7109375" customWidth="1"/>
    <col min="927" max="927" width="11.7109375" style="9" customWidth="1"/>
    <col min="928" max="928" width="10.7109375" customWidth="1"/>
    <col min="929" max="929" width="11.7109375" style="9" customWidth="1"/>
    <col min="930" max="930" width="10.7109375" customWidth="1"/>
    <col min="931" max="931" width="11.7109375" style="9" customWidth="1"/>
    <col min="932" max="932" width="10.7109375" customWidth="1"/>
    <col min="933" max="933" width="11.7109375" style="9" customWidth="1"/>
    <col min="934" max="934" width="10.7109375" customWidth="1"/>
    <col min="935" max="935" width="11.7109375" style="9" customWidth="1"/>
    <col min="936" max="936" width="10.7109375" customWidth="1"/>
    <col min="937" max="937" width="11.7109375" style="9" customWidth="1"/>
    <col min="938" max="938" width="10.7109375" customWidth="1"/>
    <col min="939" max="939" width="11.7109375" style="9" customWidth="1"/>
    <col min="940" max="940" width="10.7109375" customWidth="1"/>
    <col min="941" max="941" width="11.7109375" style="9" customWidth="1"/>
    <col min="942" max="942" width="10.7109375" customWidth="1"/>
    <col min="943" max="943" width="11.7109375" style="9" customWidth="1"/>
    <col min="944" max="944" width="10.7109375" customWidth="1"/>
    <col min="945" max="945" width="11.7109375" style="9" customWidth="1"/>
    <col min="946" max="946" width="10.7109375" customWidth="1"/>
    <col min="947" max="947" width="11.7109375" style="9" customWidth="1"/>
    <col min="948" max="948" width="10.7109375" customWidth="1"/>
    <col min="949" max="949" width="11.7109375" style="9" customWidth="1"/>
    <col min="950" max="950" width="10.7109375" customWidth="1"/>
    <col min="951" max="951" width="11.7109375" style="9" customWidth="1"/>
    <col min="952" max="952" width="10.7109375" customWidth="1"/>
    <col min="953" max="953" width="11.7109375" style="9" customWidth="1"/>
    <col min="954" max="954" width="10.7109375" customWidth="1"/>
    <col min="955" max="955" width="11.7109375" style="9" customWidth="1"/>
    <col min="956" max="956" width="10.7109375" customWidth="1"/>
    <col min="957" max="957" width="11.7109375" style="9" customWidth="1"/>
    <col min="958" max="958" width="10.7109375" customWidth="1"/>
    <col min="959" max="959" width="11.7109375" style="9" customWidth="1"/>
    <col min="960" max="960" width="10.7109375" customWidth="1"/>
    <col min="961" max="961" width="11.7109375" style="9" customWidth="1"/>
    <col min="962" max="962" width="10.7109375" customWidth="1"/>
    <col min="963" max="963" width="11.7109375" style="9" customWidth="1"/>
    <col min="964" max="964" width="10.7109375" customWidth="1"/>
    <col min="965" max="965" width="11.7109375" style="9" customWidth="1"/>
    <col min="966" max="966" width="10.7109375" customWidth="1"/>
    <col min="967" max="967" width="11.7109375" style="9" customWidth="1"/>
    <col min="968" max="968" width="10.7109375" customWidth="1"/>
    <col min="969" max="969" width="11.7109375" style="9" customWidth="1"/>
    <col min="970" max="970" width="10.7109375" customWidth="1"/>
    <col min="971" max="971" width="11.7109375" style="9" customWidth="1"/>
    <col min="972" max="972" width="10.7109375" customWidth="1"/>
    <col min="973" max="973" width="11.7109375" style="9" customWidth="1"/>
    <col min="974" max="974" width="10.7109375" customWidth="1"/>
    <col min="975" max="975" width="11.7109375" style="9" customWidth="1"/>
    <col min="976" max="976" width="10.7109375" customWidth="1"/>
    <col min="977" max="977" width="11.7109375" style="9" customWidth="1"/>
    <col min="978" max="978" width="10.7109375" customWidth="1"/>
    <col min="979" max="979" width="11.7109375" style="9" customWidth="1"/>
    <col min="980" max="980" width="10.7109375" customWidth="1"/>
    <col min="981" max="981" width="11.7109375" style="9" customWidth="1"/>
    <col min="982" max="982" width="10.7109375" customWidth="1"/>
    <col min="983" max="983" width="11.7109375" style="9" customWidth="1"/>
    <col min="984" max="984" width="10.7109375" customWidth="1"/>
    <col min="985" max="985" width="11.7109375" style="9" customWidth="1"/>
    <col min="986" max="986" width="10.7109375" customWidth="1"/>
    <col min="987" max="987" width="11.7109375" style="9" customWidth="1"/>
    <col min="988" max="988" width="10.7109375" customWidth="1"/>
    <col min="989" max="989" width="11.7109375" style="9" customWidth="1"/>
    <col min="990" max="990" width="10.7109375" customWidth="1"/>
    <col min="991" max="991" width="11.7109375" style="9" customWidth="1"/>
    <col min="992" max="992" width="10.7109375" customWidth="1"/>
    <col min="993" max="993" width="11.7109375" style="9" customWidth="1"/>
    <col min="994" max="994" width="10.7109375" customWidth="1"/>
    <col min="995" max="995" width="11.7109375" style="9" customWidth="1"/>
    <col min="996" max="996" width="10.7109375" customWidth="1"/>
    <col min="997" max="997" width="11.7109375" style="9" customWidth="1"/>
    <col min="998" max="998" width="10.7109375" customWidth="1"/>
    <col min="999" max="999" width="11.7109375" style="9" customWidth="1"/>
    <col min="1000" max="1000" width="10.7109375" customWidth="1"/>
    <col min="1001" max="1001" width="11.7109375" style="9" customWidth="1"/>
    <col min="1002" max="1002" width="10.7109375" customWidth="1"/>
    <col min="1003" max="1003" width="11.7109375" style="9" customWidth="1"/>
    <col min="1004" max="1004" width="10.7109375" customWidth="1"/>
    <col min="1005" max="1005" width="11.7109375" style="9" customWidth="1"/>
    <col min="1006" max="1006" width="10.7109375" customWidth="1"/>
    <col min="1007" max="1007" width="11.7109375" style="9" customWidth="1"/>
    <col min="1008" max="1008" width="10.7109375" customWidth="1"/>
    <col min="1009" max="1009" width="11.7109375" style="9" customWidth="1"/>
    <col min="1010" max="1010" width="10.7109375" customWidth="1"/>
    <col min="1011" max="1011" width="11.7109375" style="9" customWidth="1"/>
    <col min="1012" max="1012" width="10.7109375" customWidth="1"/>
    <col min="1013" max="1013" width="11.7109375" style="9" customWidth="1"/>
    <col min="1014" max="1014" width="10.7109375" customWidth="1"/>
    <col min="1015" max="1015" width="11.7109375" style="9" customWidth="1"/>
    <col min="1016" max="1016" width="10.7109375" customWidth="1"/>
    <col min="1017" max="1017" width="11.7109375" style="9" customWidth="1"/>
    <col min="1018" max="1018" width="10.7109375" customWidth="1"/>
    <col min="1019" max="1019" width="11.7109375" style="9" customWidth="1"/>
    <col min="1020" max="1020" width="10.7109375" customWidth="1"/>
    <col min="1021" max="1021" width="11.7109375" style="9" customWidth="1"/>
    <col min="1022" max="1022" width="10.7109375" customWidth="1"/>
    <col min="1023" max="1023" width="11.7109375" style="9" customWidth="1"/>
    <col min="1024" max="1024" width="10.7109375" customWidth="1"/>
    <col min="1025" max="1025" width="11.7109375" style="9" customWidth="1"/>
    <col min="1026" max="1026" width="10.7109375" customWidth="1"/>
    <col min="1027" max="1027" width="11.7109375" style="9" customWidth="1"/>
    <col min="1028" max="1028" width="10.7109375" customWidth="1"/>
    <col min="1029" max="1029" width="11.7109375" style="9" customWidth="1"/>
    <col min="1030" max="1030" width="10.7109375" customWidth="1"/>
    <col min="1031" max="1031" width="11.7109375" style="9" customWidth="1"/>
    <col min="1032" max="1032" width="10.7109375" customWidth="1"/>
    <col min="1033" max="1033" width="11.7109375" style="9" customWidth="1"/>
    <col min="1034" max="1034" width="10.7109375" customWidth="1"/>
    <col min="1035" max="1035" width="11.7109375" style="9" customWidth="1"/>
    <col min="1036" max="1036" width="10.7109375" customWidth="1"/>
    <col min="1037" max="1037" width="11.7109375" style="9" customWidth="1"/>
    <col min="1038" max="1038" width="10.7109375" customWidth="1"/>
    <col min="1039" max="1039" width="11.7109375" style="9" customWidth="1"/>
    <col min="1040" max="1040" width="10.7109375" customWidth="1"/>
    <col min="1041" max="1041" width="11.7109375" style="9" customWidth="1"/>
    <col min="1042" max="1042" width="10.7109375" customWidth="1"/>
    <col min="1043" max="1043" width="11.7109375" style="9" customWidth="1"/>
    <col min="1044" max="1044" width="10.7109375" customWidth="1"/>
    <col min="1045" max="1045" width="11.7109375" style="9" customWidth="1"/>
    <col min="1046" max="1046" width="10.7109375" customWidth="1"/>
    <col min="1047" max="1047" width="11.7109375" style="9" customWidth="1"/>
    <col min="1048" max="1048" width="10.7109375" customWidth="1"/>
    <col min="1049" max="1049" width="11.7109375" style="9" customWidth="1"/>
    <col min="1050" max="1050" width="10.7109375" customWidth="1"/>
    <col min="1051" max="1051" width="11.7109375" style="9" customWidth="1"/>
    <col min="1052" max="1052" width="10.7109375" customWidth="1"/>
    <col min="1053" max="1053" width="11.7109375" style="9" customWidth="1"/>
    <col min="1054" max="1054" width="10.7109375" customWidth="1"/>
    <col min="1055" max="1055" width="11.7109375" style="9" customWidth="1"/>
    <col min="1056" max="1056" width="10.7109375" customWidth="1"/>
    <col min="1057" max="1057" width="11.7109375" style="9" customWidth="1"/>
    <col min="1058" max="1058" width="10.7109375" customWidth="1"/>
    <col min="1059" max="1059" width="11.7109375" style="9" customWidth="1"/>
    <col min="1060" max="1060" width="10.7109375" customWidth="1"/>
    <col min="1061" max="1061" width="11.7109375" style="9" customWidth="1"/>
    <col min="1062" max="1062" width="10.7109375" customWidth="1"/>
    <col min="1063" max="1063" width="11.7109375" style="9" customWidth="1"/>
    <col min="1064" max="1064" width="10.7109375" customWidth="1"/>
    <col min="1065" max="1065" width="11.7109375" style="9" customWidth="1"/>
    <col min="1066" max="1066" width="10.7109375" customWidth="1"/>
    <col min="1067" max="1067" width="11.7109375" style="9" customWidth="1"/>
    <col min="1068" max="1068" width="10.7109375" customWidth="1"/>
    <col min="1069" max="1069" width="11.7109375" style="9" customWidth="1"/>
    <col min="1070" max="1070" width="10.7109375" customWidth="1"/>
    <col min="1071" max="1071" width="11.7109375" style="9" customWidth="1"/>
    <col min="1072" max="1072" width="10.7109375" customWidth="1"/>
    <col min="1073" max="1073" width="11.7109375" style="9" customWidth="1"/>
    <col min="1074" max="1074" width="10.7109375" customWidth="1"/>
    <col min="1075" max="1075" width="11.7109375" style="9" customWidth="1"/>
    <col min="1076" max="1076" width="10.7109375" customWidth="1"/>
    <col min="1077" max="1077" width="11.7109375" style="9" customWidth="1"/>
    <col min="1078" max="1078" width="10.7109375" customWidth="1"/>
    <col min="1079" max="1079" width="11.7109375" style="9" customWidth="1"/>
    <col min="1080" max="1080" width="10.7109375" customWidth="1"/>
    <col min="1081" max="1081" width="11.7109375" style="9" customWidth="1"/>
    <col min="1082" max="1082" width="10.7109375" customWidth="1"/>
    <col min="1083" max="1083" width="11.7109375" style="9" customWidth="1"/>
    <col min="1084" max="1084" width="10.7109375" customWidth="1"/>
    <col min="1085" max="1085" width="11.7109375" style="9" customWidth="1"/>
    <col min="1086" max="1086" width="10.7109375" customWidth="1"/>
    <col min="1087" max="1087" width="11.7109375" style="9" customWidth="1"/>
    <col min="1088" max="1088" width="10.7109375" customWidth="1"/>
    <col min="1089" max="1089" width="11.7109375" style="9" customWidth="1"/>
    <col min="1090" max="1090" width="10.7109375" customWidth="1"/>
    <col min="1091" max="1091" width="11.7109375" style="9" customWidth="1"/>
    <col min="1092" max="1092" width="10.7109375" customWidth="1"/>
    <col min="1093" max="1093" width="11.7109375" style="9" customWidth="1"/>
    <col min="1094" max="1094" width="10.7109375" customWidth="1"/>
    <col min="1095" max="1095" width="11.7109375" style="9" customWidth="1"/>
    <col min="1096" max="1096" width="10.7109375" customWidth="1"/>
    <col min="1097" max="1097" width="11.7109375" style="9" customWidth="1"/>
    <col min="1098" max="1098" width="10.7109375" customWidth="1"/>
    <col min="1099" max="1099" width="11.7109375" style="9" customWidth="1"/>
    <col min="1100" max="1100" width="10.7109375" customWidth="1"/>
    <col min="1101" max="1101" width="11.7109375" style="9" customWidth="1"/>
    <col min="1102" max="1102" width="10.7109375" customWidth="1"/>
    <col min="1103" max="1103" width="11.7109375" style="9" customWidth="1"/>
    <col min="1104" max="1104" width="10.7109375" customWidth="1"/>
    <col min="1105" max="1105" width="11.7109375" style="9" customWidth="1"/>
    <col min="1106" max="1106" width="10.7109375" customWidth="1"/>
    <col min="1107" max="1107" width="11.7109375" style="9" customWidth="1"/>
    <col min="1108" max="1108" width="10.7109375" customWidth="1"/>
    <col min="1109" max="1109" width="11.7109375" style="9" customWidth="1"/>
    <col min="1110" max="1110" width="10.7109375" customWidth="1"/>
    <col min="1111" max="1111" width="11.7109375" style="9" customWidth="1"/>
    <col min="1112" max="1112" width="10.7109375" customWidth="1"/>
    <col min="1113" max="1113" width="11.7109375" style="9" customWidth="1"/>
    <col min="1114" max="1114" width="10.7109375" customWidth="1"/>
    <col min="1115" max="1115" width="11.7109375" style="9" customWidth="1"/>
    <col min="1116" max="1116" width="10.7109375" customWidth="1"/>
    <col min="1117" max="1117" width="11.7109375" style="9" customWidth="1"/>
    <col min="1118" max="1118" width="10.7109375" customWidth="1"/>
    <col min="1119" max="1119" width="11.7109375" style="9" customWidth="1"/>
    <col min="1120" max="1120" width="10.7109375" customWidth="1"/>
    <col min="1121" max="1121" width="11.7109375" style="9" customWidth="1"/>
    <col min="1122" max="1122" width="10.7109375" customWidth="1"/>
    <col min="1123" max="1123" width="11.7109375" style="9" customWidth="1"/>
    <col min="1124" max="1124" width="10.7109375" customWidth="1"/>
    <col min="1125" max="1125" width="11.7109375" style="9" customWidth="1"/>
    <col min="1126" max="1126" width="10.7109375" customWidth="1"/>
    <col min="1127" max="1127" width="11.7109375" style="9" customWidth="1"/>
    <col min="1128" max="1128" width="10.7109375" customWidth="1"/>
    <col min="1129" max="1129" width="11.7109375" style="9" customWidth="1"/>
    <col min="1130" max="1130" width="10.7109375" customWidth="1"/>
    <col min="1131" max="1131" width="11.7109375" style="9" customWidth="1"/>
    <col min="1132" max="1132" width="10.7109375" customWidth="1"/>
    <col min="1133" max="1133" width="11.7109375" style="9" customWidth="1"/>
    <col min="1134" max="1134" width="10.7109375" customWidth="1"/>
    <col min="1135" max="1135" width="11.7109375" style="9" customWidth="1"/>
    <col min="1136" max="1136" width="10.7109375" customWidth="1"/>
    <col min="1137" max="1137" width="11.7109375" style="9" customWidth="1"/>
    <col min="1138" max="1138" width="10.7109375" customWidth="1"/>
    <col min="1139" max="1139" width="11.7109375" style="9" customWidth="1"/>
    <col min="1140" max="1140" width="10.7109375" customWidth="1"/>
    <col min="1141" max="1141" width="11.7109375" style="9" customWidth="1"/>
    <col min="1142" max="1142" width="10.7109375" customWidth="1"/>
    <col min="1143" max="1143" width="11.7109375" style="9" customWidth="1"/>
    <col min="1144" max="1144" width="10.7109375" customWidth="1"/>
    <col min="1145" max="1145" width="11.7109375" style="9" customWidth="1"/>
    <col min="1146" max="1146" width="10.7109375" customWidth="1"/>
    <col min="1147" max="1147" width="11.7109375" style="9" customWidth="1"/>
    <col min="1148" max="1148" width="10.7109375" customWidth="1"/>
    <col min="1149" max="1149" width="11.7109375" style="9" customWidth="1"/>
    <col min="1150" max="1150" width="10.7109375" customWidth="1"/>
    <col min="1151" max="1151" width="11.7109375" style="9" customWidth="1"/>
    <col min="1152" max="1152" width="10.7109375" customWidth="1"/>
    <col min="1153" max="1153" width="11.7109375" style="9" customWidth="1"/>
    <col min="1154" max="1154" width="10.7109375" customWidth="1"/>
    <col min="1155" max="1155" width="11.7109375" style="9" customWidth="1"/>
    <col min="1156" max="1156" width="10.7109375" customWidth="1"/>
    <col min="1157" max="1157" width="11.7109375" style="9" customWidth="1"/>
    <col min="1158" max="1158" width="10.7109375" customWidth="1"/>
    <col min="1159" max="1159" width="11.7109375" style="9" customWidth="1"/>
    <col min="1160" max="1160" width="10.7109375" customWidth="1"/>
    <col min="1161" max="1161" width="11.7109375" style="9" customWidth="1"/>
    <col min="1162" max="1162" width="10.7109375" customWidth="1"/>
    <col min="1163" max="1163" width="11.7109375" style="9" customWidth="1"/>
    <col min="1164" max="1164" width="10.7109375" customWidth="1"/>
    <col min="1165" max="1165" width="11.7109375" style="9" customWidth="1"/>
    <col min="1166" max="1166" width="10.7109375" customWidth="1"/>
    <col min="1167" max="1167" width="11.7109375" style="9" customWidth="1"/>
    <col min="1168" max="1168" width="10.7109375" customWidth="1"/>
    <col min="1169" max="1169" width="11.7109375" style="9" customWidth="1"/>
    <col min="1170" max="1170" width="10.7109375" customWidth="1"/>
    <col min="1171" max="1171" width="11.7109375" style="9" customWidth="1"/>
    <col min="1172" max="1172" width="10.7109375" customWidth="1"/>
    <col min="1173" max="1173" width="11.7109375" style="9" customWidth="1"/>
    <col min="1174" max="1174" width="10.7109375" customWidth="1"/>
    <col min="1175" max="1175" width="11.7109375" style="9" customWidth="1"/>
    <col min="1176" max="1176" width="10.7109375" customWidth="1"/>
    <col min="1177" max="1177" width="11.7109375" style="9" customWidth="1"/>
    <col min="1178" max="1178" width="10.7109375" customWidth="1"/>
    <col min="1179" max="1179" width="11.7109375" style="9" customWidth="1"/>
    <col min="1180" max="1180" width="10.7109375" customWidth="1"/>
    <col min="1181" max="1181" width="11.7109375" style="9" customWidth="1"/>
    <col min="1182" max="1182" width="10.7109375" customWidth="1"/>
    <col min="1183" max="1183" width="11.7109375" style="9" customWidth="1"/>
    <col min="1184" max="1184" width="10.7109375" customWidth="1"/>
    <col min="1185" max="1185" width="11.7109375" style="9" customWidth="1"/>
    <col min="1186" max="1186" width="10.7109375" customWidth="1"/>
    <col min="1187" max="1187" width="11.7109375" style="9" customWidth="1"/>
    <col min="1188" max="1188" width="10.7109375" customWidth="1"/>
    <col min="1189" max="1189" width="11.7109375" style="9" customWidth="1"/>
    <col min="1190" max="1190" width="10.7109375" customWidth="1"/>
    <col min="1191" max="1191" width="11.7109375" style="9" customWidth="1"/>
    <col min="1192" max="1192" width="10.7109375" customWidth="1"/>
    <col min="1193" max="1193" width="11.7109375" style="9" customWidth="1"/>
    <col min="1194" max="1194" width="10.7109375" customWidth="1"/>
    <col min="1195" max="1195" width="11.7109375" style="9" customWidth="1"/>
    <col min="1196" max="1196" width="10.7109375" customWidth="1"/>
    <col min="1197" max="1197" width="11.7109375" style="9" customWidth="1"/>
    <col min="1198" max="1198" width="10.7109375" customWidth="1"/>
    <col min="1199" max="1199" width="11.7109375" style="9" customWidth="1"/>
    <col min="1200" max="1200" width="10.7109375" customWidth="1"/>
    <col min="1201" max="1201" width="11.7109375" style="9" customWidth="1"/>
    <col min="1202" max="1202" width="10.7109375" customWidth="1"/>
    <col min="1203" max="1203" width="11.7109375" style="9" customWidth="1"/>
    <col min="1204" max="1204" width="10.7109375" customWidth="1"/>
    <col min="1205" max="1205" width="11.7109375" style="9" customWidth="1"/>
    <col min="1206" max="1206" width="10.7109375" customWidth="1"/>
    <col min="1207" max="1207" width="11.7109375" style="9" customWidth="1"/>
    <col min="1208" max="1208" width="10.7109375" customWidth="1"/>
    <col min="1209" max="1209" width="11.7109375" style="9" customWidth="1"/>
    <col min="1210" max="1210" width="10.7109375" customWidth="1"/>
    <col min="1211" max="1211" width="11.7109375" style="9" customWidth="1"/>
    <col min="1212" max="1212" width="10.7109375" customWidth="1"/>
    <col min="1213" max="1213" width="11.7109375" style="9" customWidth="1"/>
    <col min="1214" max="1214" width="10.7109375" customWidth="1"/>
    <col min="1215" max="1215" width="11.7109375" style="9" customWidth="1"/>
    <col min="1216" max="1216" width="10.7109375" customWidth="1"/>
    <col min="1217" max="1217" width="11.7109375" style="9" customWidth="1"/>
    <col min="1218" max="1218" width="10.7109375" customWidth="1"/>
    <col min="1219" max="1219" width="11.7109375" style="9" customWidth="1"/>
    <col min="1220" max="1220" width="10.7109375" customWidth="1"/>
    <col min="1221" max="1221" width="11.7109375" style="9" customWidth="1"/>
    <col min="1222" max="1222" width="10.7109375" customWidth="1"/>
    <col min="1223" max="1223" width="11.7109375" style="9" customWidth="1"/>
    <col min="1224" max="1224" width="10.7109375" customWidth="1"/>
    <col min="1225" max="1225" width="11.7109375" style="9" customWidth="1"/>
    <col min="1226" max="1226" width="10.7109375" customWidth="1"/>
    <col min="1227" max="1227" width="11.7109375" style="9" customWidth="1"/>
    <col min="1228" max="1228" width="10.7109375" customWidth="1"/>
    <col min="1229" max="1229" width="11.7109375" style="9" customWidth="1"/>
    <col min="1230" max="1230" width="10.7109375" customWidth="1"/>
    <col min="1231" max="1231" width="11.7109375" style="9" customWidth="1"/>
    <col min="1232" max="1232" width="10.7109375" customWidth="1"/>
    <col min="1233" max="1233" width="11.7109375" style="9" customWidth="1"/>
    <col min="1234" max="1234" width="10.7109375" customWidth="1"/>
    <col min="1235" max="1235" width="11.7109375" style="9" customWidth="1"/>
    <col min="1236" max="1236" width="10.7109375" customWidth="1"/>
    <col min="1237" max="1237" width="11.7109375" style="9" customWidth="1"/>
    <col min="1238" max="1238" width="10.7109375" customWidth="1"/>
    <col min="1239" max="1239" width="11.7109375" style="9" customWidth="1"/>
    <col min="1240" max="1240" width="10.7109375" customWidth="1"/>
    <col min="1241" max="1241" width="11.7109375" style="9" customWidth="1"/>
    <col min="1242" max="1242" width="10.7109375" customWidth="1"/>
    <col min="1243" max="1243" width="11.7109375" style="9" customWidth="1"/>
    <col min="1244" max="1244" width="10.7109375" customWidth="1"/>
    <col min="1245" max="1245" width="11.7109375" style="9" customWidth="1"/>
    <col min="1246" max="1246" width="10.7109375" customWidth="1"/>
    <col min="1247" max="1247" width="11.7109375" style="9" customWidth="1"/>
    <col min="1248" max="1248" width="10.7109375" customWidth="1"/>
    <col min="1249" max="1249" width="11.7109375" style="9" customWidth="1"/>
    <col min="1250" max="1250" width="10.7109375" customWidth="1"/>
    <col min="1251" max="1251" width="11.7109375" style="9" customWidth="1"/>
    <col min="1252" max="1252" width="10.7109375" customWidth="1"/>
    <col min="1253" max="1253" width="11.7109375" style="9" customWidth="1"/>
    <col min="1254" max="1254" width="10.7109375" customWidth="1"/>
    <col min="1255" max="1255" width="11.7109375" style="9" customWidth="1"/>
    <col min="1256" max="1256" width="10.7109375" customWidth="1"/>
    <col min="1257" max="1257" width="11.7109375" style="9" customWidth="1"/>
    <col min="1258" max="1258" width="10.7109375" customWidth="1"/>
    <col min="1259" max="1259" width="11.7109375" style="9" customWidth="1"/>
    <col min="1260" max="1260" width="10.7109375" customWidth="1"/>
    <col min="1261" max="1261" width="11.7109375" style="9" customWidth="1"/>
    <col min="1262" max="1262" width="10.7109375" customWidth="1"/>
    <col min="1263" max="1263" width="11.7109375" style="9" customWidth="1"/>
    <col min="1264" max="1264" width="10.7109375" customWidth="1"/>
    <col min="1265" max="1265" width="11.7109375" style="9" customWidth="1"/>
    <col min="1266" max="1266" width="10.7109375" customWidth="1"/>
    <col min="1267" max="1267" width="11.7109375" style="9" customWidth="1"/>
    <col min="1268" max="1268" width="10.7109375" customWidth="1"/>
    <col min="1269" max="1269" width="11.7109375" style="9" customWidth="1"/>
    <col min="1270" max="1270" width="10.7109375" customWidth="1"/>
    <col min="1271" max="1271" width="11.7109375" style="9" customWidth="1"/>
    <col min="1272" max="1272" width="10.7109375" customWidth="1"/>
    <col min="1273" max="1273" width="11.7109375" style="9" customWidth="1"/>
    <col min="1274" max="1274" width="10.7109375" customWidth="1"/>
    <col min="1275" max="1275" width="11.7109375" style="9" customWidth="1"/>
    <col min="1276" max="1276" width="10.7109375" customWidth="1"/>
    <col min="1277" max="1277" width="11.7109375" style="9" customWidth="1"/>
    <col min="1278" max="1278" width="10.7109375" customWidth="1"/>
    <col min="1279" max="1279" width="11.7109375" style="9" customWidth="1"/>
    <col min="1280" max="1280" width="10.7109375" customWidth="1"/>
    <col min="1281" max="1281" width="11.7109375" style="9" customWidth="1"/>
    <col min="1282" max="1282" width="10.7109375" customWidth="1"/>
    <col min="1283" max="1283" width="11.7109375" style="9" customWidth="1"/>
    <col min="1284" max="1284" width="10.7109375" customWidth="1"/>
    <col min="1285" max="1285" width="11.7109375" style="9" customWidth="1"/>
    <col min="1286" max="1286" width="10.7109375" customWidth="1"/>
    <col min="1287" max="1287" width="11.7109375" style="9" customWidth="1"/>
    <col min="1288" max="1288" width="10.7109375" customWidth="1"/>
    <col min="1289" max="1289" width="11.7109375" style="9" customWidth="1"/>
    <col min="1290" max="1290" width="10.7109375" customWidth="1"/>
    <col min="1291" max="1291" width="11.7109375" style="9" customWidth="1"/>
    <col min="1292" max="1292" width="10.7109375" customWidth="1"/>
    <col min="1293" max="1293" width="11.7109375" style="9" customWidth="1"/>
    <col min="1294" max="1294" width="10.7109375" customWidth="1"/>
    <col min="1295" max="1295" width="11.7109375" style="9" customWidth="1"/>
    <col min="1296" max="1296" width="10.7109375" customWidth="1"/>
    <col min="1297" max="1297" width="11.7109375" style="9" customWidth="1"/>
    <col min="1298" max="1298" width="10.7109375" customWidth="1"/>
    <col min="1299" max="1299" width="11.7109375" style="9" customWidth="1"/>
    <col min="1300" max="1300" width="10.7109375" customWidth="1"/>
    <col min="1301" max="1301" width="11.7109375" style="9" customWidth="1"/>
    <col min="1302" max="1302" width="10.7109375" customWidth="1"/>
    <col min="1303" max="1303" width="11.7109375" style="9" customWidth="1"/>
    <col min="1304" max="1304" width="10.7109375" customWidth="1"/>
    <col min="1305" max="1305" width="11.7109375" style="9" customWidth="1"/>
    <col min="1306" max="1306" width="10.7109375" customWidth="1"/>
    <col min="1307" max="1307" width="11.7109375" style="9" customWidth="1"/>
    <col min="1308" max="1308" width="10.7109375" customWidth="1"/>
    <col min="1309" max="1309" width="11.7109375" style="9" customWidth="1"/>
    <col min="1310" max="1310" width="10.7109375" customWidth="1"/>
    <col min="1311" max="1311" width="11.7109375" style="9" customWidth="1"/>
    <col min="1312" max="1312" width="10.7109375" customWidth="1"/>
    <col min="1313" max="1313" width="11.7109375" style="9" customWidth="1"/>
    <col min="1314" max="1314" width="10.7109375" customWidth="1"/>
    <col min="1315" max="1315" width="11.7109375" style="9" customWidth="1"/>
    <col min="1316" max="1316" width="10.7109375" customWidth="1"/>
    <col min="1317" max="1317" width="11.7109375" style="9" customWidth="1"/>
    <col min="1318" max="1318" width="10.7109375" customWidth="1"/>
    <col min="1319" max="1319" width="11.7109375" style="9" customWidth="1"/>
    <col min="1320" max="1320" width="10.7109375" customWidth="1"/>
    <col min="1321" max="1321" width="11.7109375" style="9" customWidth="1"/>
    <col min="1322" max="1322" width="10.7109375" customWidth="1"/>
    <col min="1323" max="1323" width="11.7109375" style="9" customWidth="1"/>
    <col min="1324" max="1324" width="10.7109375" customWidth="1"/>
    <col min="1325" max="1325" width="11.7109375" style="9" customWidth="1"/>
    <col min="1326" max="1326" width="10.7109375" customWidth="1"/>
    <col min="1327" max="1327" width="11.7109375" style="9" customWidth="1"/>
    <col min="1328" max="1328" width="10.7109375" customWidth="1"/>
    <col min="1329" max="1329" width="11.7109375" style="9" customWidth="1"/>
    <col min="1330" max="1330" width="10.7109375" customWidth="1"/>
    <col min="1331" max="1331" width="11.7109375" style="9" customWidth="1"/>
    <col min="1332" max="1332" width="10.7109375" customWidth="1"/>
    <col min="1333" max="1333" width="11.7109375" style="9" customWidth="1"/>
    <col min="1334" max="1334" width="10.7109375" customWidth="1"/>
    <col min="1335" max="1335" width="11.7109375" style="9" customWidth="1"/>
    <col min="1336" max="1336" width="10.7109375" customWidth="1"/>
    <col min="1337" max="1337" width="11.7109375" style="9" customWidth="1"/>
    <col min="1338" max="1338" width="10.7109375" customWidth="1"/>
    <col min="1339" max="1339" width="11.7109375" style="9" customWidth="1"/>
    <col min="1340" max="1340" width="10.7109375" customWidth="1"/>
    <col min="1341" max="1341" width="11.7109375" style="9" customWidth="1"/>
    <col min="1342" max="1342" width="10.7109375" customWidth="1"/>
    <col min="1343" max="1343" width="11.7109375" style="9" customWidth="1"/>
    <col min="1344" max="1344" width="10.7109375" customWidth="1"/>
    <col min="1345" max="1345" width="11.7109375" style="9" customWidth="1"/>
    <col min="1346" max="1346" width="10.7109375" customWidth="1"/>
    <col min="1347" max="1347" width="11.7109375" style="9" customWidth="1"/>
    <col min="1348" max="1348" width="10.7109375" customWidth="1"/>
    <col min="1349" max="1349" width="11.7109375" style="9" customWidth="1"/>
    <col min="1350" max="1350" width="10.7109375" customWidth="1"/>
    <col min="1351" max="1351" width="11.7109375" style="9" customWidth="1"/>
    <col min="1352" max="1352" width="10.7109375" customWidth="1"/>
    <col min="1353" max="1353" width="11.7109375" style="9" customWidth="1"/>
    <col min="1354" max="1354" width="10.7109375" customWidth="1"/>
    <col min="1355" max="1355" width="11.7109375" style="9" customWidth="1"/>
    <col min="1356" max="1356" width="10.7109375" customWidth="1"/>
    <col min="1357" max="1357" width="11.7109375" style="9" customWidth="1"/>
    <col min="1358" max="1358" width="10.7109375" customWidth="1"/>
    <col min="1359" max="1359" width="11.7109375" style="9" customWidth="1"/>
    <col min="1360" max="1360" width="10.7109375" customWidth="1"/>
    <col min="1361" max="1361" width="11.7109375" style="9" customWidth="1"/>
    <col min="1362" max="1362" width="10.7109375" customWidth="1"/>
    <col min="1363" max="1363" width="11.7109375" style="9" customWidth="1"/>
    <col min="1364" max="1364" width="10.7109375" customWidth="1"/>
    <col min="1365" max="1365" width="11.7109375" style="9" customWidth="1"/>
    <col min="1366" max="1366" width="10.7109375" customWidth="1"/>
    <col min="1367" max="1367" width="11.7109375" style="9" customWidth="1"/>
    <col min="1368" max="1368" width="10.7109375" customWidth="1"/>
    <col min="1369" max="1369" width="11.7109375" style="9" customWidth="1"/>
    <col min="1370" max="1370" width="10.7109375" customWidth="1"/>
    <col min="1371" max="1371" width="11.7109375" style="9" customWidth="1"/>
    <col min="1372" max="1372" width="10.7109375" customWidth="1"/>
    <col min="1373" max="1373" width="11.7109375" style="9" customWidth="1"/>
    <col min="1374" max="1374" width="10.7109375" customWidth="1"/>
    <col min="1375" max="1375" width="11.7109375" style="9" customWidth="1"/>
    <col min="1376" max="1376" width="10.7109375" customWidth="1"/>
    <col min="1377" max="1377" width="11.7109375" style="9" customWidth="1"/>
    <col min="1378" max="1378" width="10.7109375" customWidth="1"/>
    <col min="1379" max="1379" width="11.7109375" style="9" customWidth="1"/>
    <col min="1380" max="1380" width="10.7109375" customWidth="1"/>
    <col min="1381" max="1381" width="11.7109375" style="9" customWidth="1"/>
    <col min="1382" max="1382" width="10.7109375" customWidth="1"/>
    <col min="1383" max="1383" width="11.7109375" style="9" customWidth="1"/>
    <col min="1384" max="1384" width="10.7109375" customWidth="1"/>
    <col min="1385" max="1385" width="11.7109375" style="9" customWidth="1"/>
    <col min="1386" max="1386" width="10.7109375" customWidth="1"/>
    <col min="1387" max="1387" width="11.7109375" style="9" customWidth="1"/>
    <col min="1388" max="1388" width="10.7109375" customWidth="1"/>
    <col min="1389" max="1389" width="11.7109375" style="9" customWidth="1"/>
    <col min="1390" max="1390" width="10.7109375" customWidth="1"/>
    <col min="1391" max="1391" width="11.7109375" style="9" customWidth="1"/>
    <col min="1392" max="1392" width="10.7109375" customWidth="1"/>
    <col min="1393" max="1393" width="11.7109375" style="9" customWidth="1"/>
    <col min="1394" max="1394" width="10.7109375" customWidth="1"/>
    <col min="1395" max="1395" width="11.7109375" style="9" customWidth="1"/>
    <col min="1396" max="1396" width="10.7109375" customWidth="1"/>
    <col min="1397" max="1397" width="11.7109375" style="9" customWidth="1"/>
    <col min="1398" max="1398" width="10.7109375" customWidth="1"/>
    <col min="1399" max="1399" width="11.7109375" style="9" customWidth="1"/>
    <col min="1400" max="1400" width="10.7109375" customWidth="1"/>
    <col min="1401" max="1401" width="11.7109375" style="9" customWidth="1"/>
    <col min="1402" max="1402" width="10.7109375" customWidth="1"/>
    <col min="1403" max="1403" width="11.7109375" style="9" customWidth="1"/>
    <col min="1404" max="1404" width="10.7109375" customWidth="1"/>
    <col min="1405" max="1405" width="11.7109375" style="9" customWidth="1"/>
    <col min="1406" max="1406" width="10.7109375" customWidth="1"/>
    <col min="1407" max="1407" width="11.7109375" style="9" customWidth="1"/>
    <col min="1408" max="1408" width="10.7109375" customWidth="1"/>
    <col min="1409" max="1409" width="11.7109375" style="9" customWidth="1"/>
    <col min="1410" max="1410" width="10.7109375" customWidth="1"/>
    <col min="1411" max="1411" width="11.7109375" style="9" customWidth="1"/>
    <col min="1412" max="1412" width="10.7109375" customWidth="1"/>
    <col min="1413" max="1413" width="11.7109375" style="9" customWidth="1"/>
    <col min="1414" max="1414" width="10.7109375" customWidth="1"/>
    <col min="1415" max="1415" width="11.7109375" style="9" customWidth="1"/>
    <col min="1416" max="1416" width="10.7109375" customWidth="1"/>
    <col min="1417" max="1417" width="11.7109375" style="9" customWidth="1"/>
    <col min="1418" max="1418" width="10.7109375" customWidth="1"/>
    <col min="1419" max="1419" width="11.7109375" style="9" customWidth="1"/>
    <col min="1420" max="1420" width="10.7109375" customWidth="1"/>
    <col min="1421" max="1421" width="11.7109375" style="9" customWidth="1"/>
    <col min="1422" max="1422" width="10.7109375" customWidth="1"/>
    <col min="1423" max="1423" width="11.7109375" style="9" customWidth="1"/>
    <col min="1424" max="1424" width="10.7109375" customWidth="1"/>
    <col min="1425" max="1425" width="11.7109375" style="9" customWidth="1"/>
    <col min="1426" max="1426" width="10.7109375" customWidth="1"/>
    <col min="1427" max="1427" width="11.7109375" style="9" customWidth="1"/>
    <col min="1428" max="1428" width="10.7109375" customWidth="1"/>
    <col min="1429" max="1429" width="11.7109375" style="9" customWidth="1"/>
    <col min="1430" max="1430" width="10.7109375" customWidth="1"/>
    <col min="1431" max="1431" width="11.7109375" style="9" customWidth="1"/>
    <col min="1432" max="1432" width="10.7109375" customWidth="1"/>
    <col min="1433" max="1433" width="11.7109375" style="9" customWidth="1"/>
    <col min="1434" max="1434" width="10.7109375" customWidth="1"/>
    <col min="1435" max="1435" width="11.7109375" style="9" customWidth="1"/>
    <col min="1436" max="1436" width="10.7109375" customWidth="1"/>
    <col min="1437" max="1437" width="11.7109375" style="9" customWidth="1"/>
    <col min="1438" max="1438" width="10.7109375" customWidth="1"/>
    <col min="1439" max="1439" width="11.7109375" style="9" customWidth="1"/>
    <col min="1440" max="1440" width="10.7109375" customWidth="1"/>
    <col min="1441" max="1441" width="11.7109375" style="9" customWidth="1"/>
    <col min="1442" max="1442" width="10.7109375" customWidth="1"/>
    <col min="1443" max="1443" width="11.7109375" style="9" customWidth="1"/>
    <col min="1444" max="1444" width="10.7109375" customWidth="1"/>
    <col min="1445" max="1445" width="11.7109375" style="9" customWidth="1"/>
    <col min="1446" max="1446" width="10.7109375" customWidth="1"/>
    <col min="1447" max="1447" width="11.7109375" style="9" customWidth="1"/>
    <col min="1448" max="1448" width="10.7109375" customWidth="1"/>
    <col min="1449" max="1449" width="11.7109375" style="9" customWidth="1"/>
    <col min="1450" max="1450" width="10.7109375" customWidth="1"/>
    <col min="1451" max="1451" width="11.7109375" style="9" customWidth="1"/>
    <col min="1452" max="1452" width="10.7109375" customWidth="1"/>
    <col min="1453" max="1453" width="11.7109375" style="9" customWidth="1"/>
    <col min="1454" max="1454" width="10.7109375" customWidth="1"/>
    <col min="1455" max="1455" width="11.7109375" style="9" customWidth="1"/>
    <col min="1456" max="1456" width="10.7109375" customWidth="1"/>
    <col min="1457" max="1457" width="11.7109375" style="9" customWidth="1"/>
    <col min="1458" max="1458" width="10.7109375" customWidth="1"/>
    <col min="1459" max="1459" width="11.7109375" style="9" customWidth="1"/>
    <col min="1460" max="1460" width="10.7109375" customWidth="1"/>
    <col min="1461" max="1461" width="11.7109375" style="9" customWidth="1"/>
    <col min="1462" max="1462" width="10.7109375" customWidth="1"/>
    <col min="1463" max="1463" width="11.7109375" style="9" customWidth="1"/>
    <col min="1464" max="1464" width="10.7109375" customWidth="1"/>
    <col min="1465" max="1465" width="11.7109375" style="9" customWidth="1"/>
    <col min="1466" max="1466" width="10.7109375" customWidth="1"/>
    <col min="1467" max="1467" width="11.7109375" style="9" customWidth="1"/>
    <col min="1468" max="1468" width="10.7109375" customWidth="1"/>
    <col min="1469" max="1469" width="11.7109375" style="9" customWidth="1"/>
    <col min="1470" max="1470" width="10.7109375" customWidth="1"/>
    <col min="1471" max="1471" width="11.7109375" style="9" customWidth="1"/>
    <col min="1472" max="1472" width="10.7109375" customWidth="1"/>
    <col min="1473" max="1473" width="11.7109375" style="9" customWidth="1"/>
    <col min="1474" max="1474" width="10.7109375" customWidth="1"/>
    <col min="1475" max="1475" width="11.7109375" style="9" customWidth="1"/>
    <col min="1476" max="1476" width="10.7109375" customWidth="1"/>
    <col min="1477" max="1477" width="11.7109375" style="9" customWidth="1"/>
    <col min="1478" max="1478" width="10.7109375" customWidth="1"/>
    <col min="1479" max="1479" width="11.7109375" style="9" customWidth="1"/>
    <col min="1480" max="1480" width="10.7109375" customWidth="1"/>
    <col min="1481" max="1481" width="11.7109375" style="9" customWidth="1"/>
    <col min="1482" max="1482" width="10.7109375" customWidth="1"/>
    <col min="1483" max="1483" width="11.7109375" style="9" customWidth="1"/>
    <col min="1484" max="1484" width="10.7109375" customWidth="1"/>
    <col min="1485" max="1485" width="11.7109375" style="9" customWidth="1"/>
    <col min="1486" max="1486" width="10.7109375" customWidth="1"/>
    <col min="1487" max="1487" width="11.7109375" style="9" customWidth="1"/>
    <col min="1488" max="1488" width="10.7109375" customWidth="1"/>
    <col min="1489" max="1489" width="11.7109375" style="9" customWidth="1"/>
    <col min="1490" max="1490" width="10.7109375" customWidth="1"/>
    <col min="1491" max="1491" width="11.7109375" style="9" customWidth="1"/>
    <col min="1492" max="1492" width="10.7109375" customWidth="1"/>
    <col min="1493" max="1493" width="11.7109375" style="9" customWidth="1"/>
    <col min="1494" max="1494" width="10.7109375" customWidth="1"/>
    <col min="1495" max="1495" width="11.7109375" style="9" customWidth="1"/>
    <col min="1496" max="1496" width="10.7109375" customWidth="1"/>
    <col min="1497" max="1497" width="11.7109375" style="9" customWidth="1"/>
    <col min="1498" max="1498" width="10.7109375" customWidth="1"/>
    <col min="1499" max="1499" width="11.7109375" style="9" customWidth="1"/>
    <col min="1500" max="1500" width="10.7109375" customWidth="1"/>
    <col min="1501" max="1501" width="11.7109375" style="9" customWidth="1"/>
    <col min="1502" max="1502" width="10.7109375" customWidth="1"/>
    <col min="1503" max="1503" width="11.7109375" style="9" customWidth="1"/>
    <col min="1504" max="1504" width="10.7109375" customWidth="1"/>
    <col min="1505" max="1505" width="11.7109375" style="9" customWidth="1"/>
    <col min="1506" max="1506" width="10.7109375" customWidth="1"/>
    <col min="1507" max="1507" width="11.7109375" style="9" customWidth="1"/>
    <col min="1508" max="1508" width="10.7109375" customWidth="1"/>
    <col min="1509" max="1509" width="11.7109375" style="9" customWidth="1"/>
    <col min="1510" max="1510" width="10.7109375" customWidth="1"/>
    <col min="1511" max="1511" width="11.7109375" style="9" customWidth="1"/>
    <col min="1512" max="1512" width="10.7109375" customWidth="1"/>
    <col min="1513" max="1513" width="11.7109375" style="9" customWidth="1"/>
    <col min="1514" max="1514" width="10.7109375" customWidth="1"/>
    <col min="1515" max="1515" width="11.7109375" style="9" customWidth="1"/>
    <col min="1516" max="1516" width="10.7109375" customWidth="1"/>
    <col min="1517" max="1517" width="11.7109375" style="9" customWidth="1"/>
    <col min="1518" max="1518" width="10.7109375" customWidth="1"/>
    <col min="1519" max="1519" width="11.7109375" style="9" customWidth="1"/>
    <col min="1520" max="1520" width="10.7109375" customWidth="1"/>
    <col min="1521" max="1521" width="11.7109375" style="9" customWidth="1"/>
    <col min="1522" max="1522" width="10.7109375" customWidth="1"/>
    <col min="1523" max="1523" width="11.7109375" style="9" customWidth="1"/>
    <col min="1524" max="1524" width="10.7109375" customWidth="1"/>
    <col min="1525" max="1525" width="11.7109375" style="9" customWidth="1"/>
    <col min="1526" max="1526" width="10.7109375" customWidth="1"/>
    <col min="1527" max="1527" width="11.7109375" style="9" customWidth="1"/>
    <col min="1528" max="1528" width="10.7109375" customWidth="1"/>
    <col min="1529" max="1529" width="11.7109375" style="9" customWidth="1"/>
    <col min="1530" max="1530" width="10.7109375" customWidth="1"/>
    <col min="1531" max="1531" width="11.7109375" style="9" customWidth="1"/>
    <col min="1532" max="1532" width="10.7109375" customWidth="1"/>
    <col min="1533" max="1533" width="11.7109375" style="9" customWidth="1"/>
    <col min="1534" max="1534" width="10.7109375" customWidth="1"/>
    <col min="1535" max="1535" width="11.7109375" style="9" customWidth="1"/>
    <col min="1536" max="1536" width="10.7109375" customWidth="1"/>
    <col min="1537" max="1537" width="11.7109375" style="9" customWidth="1"/>
    <col min="1538" max="1538" width="10.7109375" customWidth="1"/>
    <col min="1539" max="1539" width="11.7109375" style="9" customWidth="1"/>
    <col min="1540" max="1540" width="10.7109375" customWidth="1"/>
    <col min="1541" max="1541" width="11.7109375" style="9" customWidth="1"/>
    <col min="1542" max="1542" width="10.7109375" customWidth="1"/>
    <col min="1543" max="1543" width="11.7109375" style="9" customWidth="1"/>
    <col min="1544" max="1544" width="10.7109375" customWidth="1"/>
    <col min="1545" max="1545" width="11.7109375" style="9" customWidth="1"/>
    <col min="1546" max="1546" width="10.7109375" customWidth="1"/>
    <col min="1547" max="1547" width="11.7109375" style="9" customWidth="1"/>
    <col min="1548" max="1548" width="10.7109375" customWidth="1"/>
    <col min="1549" max="1549" width="11.7109375" style="9" customWidth="1"/>
    <col min="1550" max="1550" width="10.7109375" customWidth="1"/>
    <col min="1551" max="1551" width="11.7109375" style="9" customWidth="1"/>
    <col min="1552" max="1552" width="10.7109375" customWidth="1"/>
    <col min="1553" max="1553" width="11.7109375" style="9" customWidth="1"/>
    <col min="1554" max="1554" width="10.7109375" customWidth="1"/>
    <col min="1555" max="1555" width="11.7109375" style="9" customWidth="1"/>
    <col min="1556" max="1556" width="10.7109375" customWidth="1"/>
    <col min="1557" max="1557" width="11.7109375" style="9" customWidth="1"/>
    <col min="1558" max="1558" width="10.7109375" customWidth="1"/>
    <col min="1559" max="1559" width="11.7109375" style="9" customWidth="1"/>
    <col min="1560" max="1560" width="10.7109375" customWidth="1"/>
    <col min="1561" max="1561" width="11.7109375" style="9" customWidth="1"/>
    <col min="1562" max="1562" width="10.7109375" customWidth="1"/>
    <col min="1563" max="1563" width="11.7109375" style="9" customWidth="1"/>
    <col min="1564" max="1564" width="10.7109375" customWidth="1"/>
    <col min="1565" max="1565" width="11.7109375" style="9" customWidth="1"/>
    <col min="1566" max="1566" width="10.7109375" customWidth="1"/>
    <col min="1567" max="1567" width="11.7109375" style="9" customWidth="1"/>
    <col min="1568" max="1568" width="10.7109375" customWidth="1"/>
    <col min="1569" max="1569" width="11.7109375" style="9" customWidth="1"/>
    <col min="1570" max="1570" width="10.7109375" customWidth="1"/>
    <col min="1571" max="1571" width="11.7109375" style="9" customWidth="1"/>
    <col min="1572" max="1572" width="10.7109375" customWidth="1"/>
    <col min="1573" max="1573" width="11.7109375" style="9" customWidth="1"/>
    <col min="1574" max="1574" width="10.7109375" customWidth="1"/>
    <col min="1575" max="1575" width="11.7109375" style="9" customWidth="1"/>
    <col min="1576" max="1576" width="10.7109375" customWidth="1"/>
    <col min="1577" max="1577" width="11.7109375" style="9" customWidth="1"/>
    <col min="1578" max="1578" width="10.7109375" customWidth="1"/>
    <col min="1579" max="1579" width="11.7109375" style="9" customWidth="1"/>
    <col min="1580" max="1580" width="10.7109375" customWidth="1"/>
    <col min="1581" max="1581" width="11.7109375" style="9" customWidth="1"/>
    <col min="1582" max="1582" width="10.7109375" customWidth="1"/>
    <col min="1583" max="1583" width="11.7109375" style="9" customWidth="1"/>
    <col min="1584" max="1584" width="10.7109375" customWidth="1"/>
    <col min="1585" max="1585" width="11.7109375" style="9" customWidth="1"/>
    <col min="1586" max="1586" width="10.7109375" customWidth="1"/>
    <col min="1587" max="1587" width="11.7109375" style="9" customWidth="1"/>
    <col min="1588" max="1588" width="10.7109375" customWidth="1"/>
    <col min="1589" max="1589" width="11.7109375" style="9" customWidth="1"/>
    <col min="1590" max="1590" width="10.7109375" customWidth="1"/>
    <col min="1591" max="1591" width="11.7109375" style="9" customWidth="1"/>
    <col min="1592" max="1592" width="10.7109375" customWidth="1"/>
    <col min="1593" max="1593" width="11.7109375" style="9" customWidth="1"/>
    <col min="1594" max="1594" width="10.7109375" customWidth="1"/>
    <col min="1595" max="1595" width="11.7109375" style="9" customWidth="1"/>
    <col min="1596" max="1596" width="10.7109375" customWidth="1"/>
    <col min="1597" max="1597" width="11.7109375" style="9" customWidth="1"/>
    <col min="1598" max="1598" width="10.7109375" customWidth="1"/>
    <col min="1599" max="1599" width="11.7109375" style="9" customWidth="1"/>
    <col min="1600" max="1600" width="10.7109375" customWidth="1"/>
    <col min="1601" max="1601" width="11.7109375" style="9" customWidth="1"/>
    <col min="1602" max="1602" width="10.7109375" customWidth="1"/>
    <col min="1603" max="1603" width="11.7109375" style="9" customWidth="1"/>
    <col min="1604" max="1604" width="10.7109375" customWidth="1"/>
    <col min="1605" max="1605" width="11.7109375" style="9" customWidth="1"/>
    <col min="1606" max="1606" width="10.7109375" customWidth="1"/>
    <col min="1607" max="1607" width="11.7109375" style="9" customWidth="1"/>
    <col min="1608" max="1608" width="10.7109375" customWidth="1"/>
    <col min="1609" max="1609" width="11.7109375" style="9" customWidth="1"/>
    <col min="1610" max="1610" width="10.7109375" customWidth="1"/>
    <col min="1611" max="1611" width="11.7109375" style="9" customWidth="1"/>
    <col min="1612" max="1612" width="10.7109375" customWidth="1"/>
    <col min="1613" max="1613" width="11.7109375" style="9" customWidth="1"/>
    <col min="1614" max="1614" width="10.7109375" customWidth="1"/>
    <col min="1615" max="1615" width="11.7109375" style="9" customWidth="1"/>
    <col min="1616" max="1616" width="10.7109375" customWidth="1"/>
    <col min="1617" max="1617" width="11.7109375" style="9" customWidth="1"/>
    <col min="1618" max="1618" width="10.7109375" customWidth="1"/>
    <col min="1619" max="1619" width="11.7109375" style="9" customWidth="1"/>
    <col min="1620" max="1620" width="10.7109375" customWidth="1"/>
    <col min="1621" max="1621" width="11.7109375" style="9" customWidth="1"/>
    <col min="1622" max="1622" width="10.7109375" customWidth="1"/>
    <col min="1623" max="1623" width="11.7109375" style="9" customWidth="1"/>
    <col min="1624" max="1624" width="10.7109375" customWidth="1"/>
    <col min="1625" max="1625" width="11.7109375" style="9" customWidth="1"/>
    <col min="1626" max="1626" width="10.7109375" customWidth="1"/>
    <col min="1627" max="1627" width="11.7109375" style="9" customWidth="1"/>
    <col min="1628" max="1628" width="10.7109375" customWidth="1"/>
    <col min="1629" max="1629" width="11.7109375" style="9" customWidth="1"/>
    <col min="1630" max="1630" width="10.7109375" customWidth="1"/>
    <col min="1631" max="1631" width="11.7109375" style="9" customWidth="1"/>
    <col min="1632" max="1632" width="10.7109375" customWidth="1"/>
    <col min="1633" max="1633" width="11.7109375" style="9" customWidth="1"/>
    <col min="1634" max="1634" width="10.7109375" customWidth="1"/>
    <col min="1635" max="1635" width="11.7109375" style="9" customWidth="1"/>
    <col min="1636" max="1636" width="10.7109375" customWidth="1"/>
    <col min="1637" max="1637" width="11.7109375" style="9" customWidth="1"/>
    <col min="1638" max="1638" width="10.7109375" customWidth="1"/>
    <col min="1639" max="1639" width="11.7109375" style="9" customWidth="1"/>
    <col min="1640" max="1640" width="10.7109375" customWidth="1"/>
    <col min="1641" max="1641" width="11.7109375" style="9" customWidth="1"/>
    <col min="1642" max="1642" width="10.7109375" customWidth="1"/>
    <col min="1643" max="1643" width="11.7109375" style="9" customWidth="1"/>
    <col min="1644" max="1644" width="10.7109375" customWidth="1"/>
    <col min="1645" max="1645" width="11.7109375" style="9" customWidth="1"/>
    <col min="1646" max="1646" width="10.7109375" customWidth="1"/>
    <col min="1647" max="1647" width="11.7109375" style="9" customWidth="1"/>
    <col min="1648" max="1648" width="10.7109375" customWidth="1"/>
    <col min="1649" max="1649" width="11.7109375" style="9" customWidth="1"/>
    <col min="1650" max="1650" width="10.7109375" customWidth="1"/>
    <col min="1651" max="1651" width="11.7109375" style="9" customWidth="1"/>
    <col min="1652" max="1652" width="10.7109375" customWidth="1"/>
    <col min="1653" max="1653" width="11.7109375" style="9" customWidth="1"/>
    <col min="1654" max="1654" width="10.7109375" customWidth="1"/>
    <col min="1655" max="1655" width="11.7109375" style="9" customWidth="1"/>
    <col min="1656" max="1656" width="10.7109375" customWidth="1"/>
    <col min="1657" max="1657" width="11.7109375" style="9" customWidth="1"/>
    <col min="1658" max="1658" width="10.7109375" customWidth="1"/>
    <col min="1659" max="1659" width="11.7109375" style="9" customWidth="1"/>
    <col min="1660" max="1660" width="10.7109375" customWidth="1"/>
    <col min="1661" max="1661" width="11.7109375" style="9" customWidth="1"/>
    <col min="1662" max="1662" width="10.7109375" customWidth="1"/>
    <col min="1663" max="1663" width="11.7109375" style="9" customWidth="1"/>
    <col min="1664" max="1664" width="10.7109375" customWidth="1"/>
    <col min="1665" max="1665" width="11.7109375" style="9" customWidth="1"/>
    <col min="1666" max="1666" width="10.7109375" customWidth="1"/>
    <col min="1667" max="1667" width="11.7109375" style="9" customWidth="1"/>
    <col min="1668" max="1668" width="10.7109375" customWidth="1"/>
    <col min="1669" max="1669" width="11.7109375" style="9" customWidth="1"/>
    <col min="1670" max="1670" width="10.7109375" customWidth="1"/>
    <col min="1671" max="1671" width="11.7109375" style="9" customWidth="1"/>
    <col min="1672" max="1672" width="10.7109375" customWidth="1"/>
    <col min="1673" max="1673" width="11.7109375" style="9" customWidth="1"/>
    <col min="1674" max="1674" width="10.7109375" customWidth="1"/>
    <col min="1675" max="1675" width="11.7109375" style="9" customWidth="1"/>
    <col min="1676" max="1676" width="10.7109375" customWidth="1"/>
    <col min="1677" max="1677" width="11.7109375" style="9" customWidth="1"/>
    <col min="1678" max="1678" width="10.7109375" customWidth="1"/>
    <col min="1679" max="1679" width="11.7109375" style="9" customWidth="1"/>
    <col min="1680" max="1680" width="10.7109375" customWidth="1"/>
    <col min="1681" max="1681" width="11.7109375" style="9" customWidth="1"/>
    <col min="1682" max="1682" width="10.7109375" customWidth="1"/>
    <col min="1683" max="1683" width="11.7109375" style="9" customWidth="1"/>
    <col min="1684" max="1684" width="10.7109375" customWidth="1"/>
    <col min="1685" max="1685" width="11.7109375" style="9" customWidth="1"/>
    <col min="1686" max="1686" width="10.7109375" customWidth="1"/>
    <col min="1687" max="1687" width="11.7109375" style="9" customWidth="1"/>
    <col min="1688" max="1688" width="10.7109375" customWidth="1"/>
    <col min="1689" max="1689" width="11.7109375" style="9" customWidth="1"/>
    <col min="1690" max="1690" width="10.7109375" customWidth="1"/>
    <col min="1691" max="1691" width="11.7109375" style="9" customWidth="1"/>
    <col min="1692" max="1692" width="10.7109375" customWidth="1"/>
    <col min="1693" max="1693" width="11.7109375" style="9" customWidth="1"/>
    <col min="1694" max="1694" width="10.7109375" customWidth="1"/>
    <col min="1695" max="1695" width="11.7109375" style="9" customWidth="1"/>
    <col min="1696" max="1696" width="10.7109375" customWidth="1"/>
    <col min="1697" max="1697" width="11.7109375" style="9" customWidth="1"/>
    <col min="1698" max="1698" width="10.7109375" customWidth="1"/>
    <col min="1699" max="1699" width="11.7109375" style="9" customWidth="1"/>
    <col min="1700" max="1700" width="10.7109375" customWidth="1"/>
    <col min="1701" max="1701" width="11.7109375" style="9" customWidth="1"/>
    <col min="1702" max="1702" width="10.7109375" customWidth="1"/>
    <col min="1703" max="1703" width="11.7109375" style="9" customWidth="1"/>
    <col min="1704" max="1704" width="10.7109375" customWidth="1"/>
    <col min="1705" max="1705" width="11.7109375" style="9" customWidth="1"/>
    <col min="1706" max="1706" width="10.7109375" customWidth="1"/>
    <col min="1707" max="1707" width="11.7109375" style="9" customWidth="1"/>
    <col min="1708" max="1708" width="10.7109375" customWidth="1"/>
    <col min="1709" max="1709" width="11.7109375" style="9" customWidth="1"/>
    <col min="1710" max="1710" width="10.7109375" customWidth="1"/>
    <col min="1711" max="1711" width="11.7109375" style="9" customWidth="1"/>
    <col min="1712" max="1712" width="10.7109375" customWidth="1"/>
    <col min="1713" max="1713" width="11.7109375" style="9" customWidth="1"/>
    <col min="1714" max="1714" width="10.7109375" customWidth="1"/>
    <col min="1715" max="1715" width="11.7109375" style="9" customWidth="1"/>
    <col min="1716" max="1716" width="10.7109375" customWidth="1"/>
    <col min="1717" max="1717" width="11.7109375" style="9" customWidth="1"/>
    <col min="1718" max="1718" width="10.7109375" customWidth="1"/>
    <col min="1719" max="1719" width="11.7109375" style="9" customWidth="1"/>
    <col min="1720" max="1720" width="10.7109375" customWidth="1"/>
    <col min="1721" max="1721" width="11.7109375" style="9" customWidth="1"/>
    <col min="1722" max="1722" width="10.7109375" customWidth="1"/>
    <col min="1723" max="1723" width="11.7109375" style="9" customWidth="1"/>
    <col min="1724" max="1724" width="10.7109375" customWidth="1"/>
    <col min="1725" max="1725" width="11.7109375" style="9" customWidth="1"/>
    <col min="1726" max="1726" width="10.7109375" customWidth="1"/>
    <col min="1727" max="1727" width="11.7109375" style="9" customWidth="1"/>
    <col min="1728" max="1728" width="10.7109375" customWidth="1"/>
    <col min="1729" max="1729" width="11.7109375" style="9" customWidth="1"/>
    <col min="1730" max="1730" width="10.7109375" customWidth="1"/>
    <col min="1731" max="1731" width="11.7109375" style="9" customWidth="1"/>
    <col min="1732" max="1732" width="10.7109375" customWidth="1"/>
    <col min="1733" max="1733" width="11.7109375" style="9" customWidth="1"/>
    <col min="1734" max="1734" width="10.7109375" customWidth="1"/>
    <col min="1735" max="1735" width="11.7109375" style="9" customWidth="1"/>
    <col min="1736" max="1736" width="10.7109375" customWidth="1"/>
    <col min="1737" max="1737" width="11.7109375" style="9" customWidth="1"/>
    <col min="1738" max="1738" width="10.7109375" customWidth="1"/>
    <col min="1739" max="1739" width="11.7109375" style="9" customWidth="1"/>
    <col min="1740" max="1740" width="10.7109375" customWidth="1"/>
    <col min="1741" max="1741" width="11.7109375" style="9" customWidth="1"/>
    <col min="1742" max="1742" width="10.7109375" customWidth="1"/>
    <col min="1743" max="1743" width="11.7109375" style="9" customWidth="1"/>
    <col min="1744" max="1744" width="10.7109375" customWidth="1"/>
    <col min="1745" max="1745" width="11.7109375" style="9" customWidth="1"/>
    <col min="1746" max="1746" width="10.7109375" customWidth="1"/>
    <col min="1747" max="1747" width="11.7109375" style="9" customWidth="1"/>
    <col min="1748" max="1748" width="10.7109375" customWidth="1"/>
    <col min="1749" max="1749" width="11.7109375" style="9" customWidth="1"/>
    <col min="1750" max="1750" width="10.7109375" customWidth="1"/>
    <col min="1751" max="1751" width="11.7109375" style="9" customWidth="1"/>
    <col min="1752" max="1752" width="10.7109375" customWidth="1"/>
    <col min="1753" max="1753" width="11.7109375" style="9" customWidth="1"/>
    <col min="1754" max="1754" width="10.7109375" customWidth="1"/>
    <col min="1755" max="1755" width="11.7109375" style="9" customWidth="1"/>
    <col min="1756" max="1756" width="10.7109375" customWidth="1"/>
    <col min="1757" max="1757" width="11.7109375" style="9" customWidth="1"/>
    <col min="1758" max="1758" width="10.7109375" customWidth="1"/>
    <col min="1759" max="1759" width="11.7109375" style="9" customWidth="1"/>
    <col min="1760" max="1760" width="10.7109375" customWidth="1"/>
    <col min="1761" max="1761" width="11.7109375" style="9" customWidth="1"/>
    <col min="1762" max="1762" width="10.7109375" customWidth="1"/>
    <col min="1763" max="1763" width="11.7109375" style="9" customWidth="1"/>
    <col min="1764" max="1764" width="10.7109375" customWidth="1"/>
    <col min="1765" max="1765" width="11.7109375" style="9" customWidth="1"/>
    <col min="1766" max="1766" width="10.7109375" customWidth="1"/>
    <col min="1767" max="1767" width="11.7109375" style="9" customWidth="1"/>
    <col min="1768" max="1768" width="10.7109375" customWidth="1"/>
    <col min="1769" max="1769" width="11.7109375" style="9" customWidth="1"/>
    <col min="1770" max="1770" width="10.7109375" customWidth="1"/>
    <col min="1771" max="1771" width="11.7109375" style="9" customWidth="1"/>
    <col min="1772" max="1772" width="10.7109375" customWidth="1"/>
    <col min="1773" max="1773" width="11.7109375" style="9" customWidth="1"/>
    <col min="1774" max="1774" width="10.7109375" customWidth="1"/>
    <col min="1775" max="1775" width="11.7109375" style="9" customWidth="1"/>
    <col min="1776" max="1776" width="10.7109375" customWidth="1"/>
    <col min="1777" max="1777" width="11.7109375" style="9" customWidth="1"/>
    <col min="1778" max="1778" width="10.7109375" customWidth="1"/>
    <col min="1779" max="1779" width="11.7109375" style="9" customWidth="1"/>
    <col min="1780" max="1780" width="10.7109375" customWidth="1"/>
    <col min="1781" max="1781" width="11.7109375" style="9" customWidth="1"/>
    <col min="1782" max="1782" width="10.7109375" customWidth="1"/>
    <col min="1783" max="1783" width="11.7109375" style="9" customWidth="1"/>
    <col min="1784" max="1784" width="10.7109375" customWidth="1"/>
    <col min="1785" max="1785" width="11.7109375" style="9" customWidth="1"/>
    <col min="1786" max="1786" width="10.7109375" customWidth="1"/>
    <col min="1787" max="1787" width="11.7109375" style="9" customWidth="1"/>
    <col min="1788" max="1788" width="10.7109375" customWidth="1"/>
    <col min="1789" max="1789" width="11.7109375" style="9" customWidth="1"/>
    <col min="1790" max="1790" width="10.7109375" customWidth="1"/>
    <col min="1791" max="1791" width="11.7109375" style="9" customWidth="1"/>
    <col min="1792" max="1792" width="10.7109375" customWidth="1"/>
    <col min="1793" max="1793" width="11.7109375" style="9" customWidth="1"/>
    <col min="1794" max="1794" width="10.7109375" customWidth="1"/>
    <col min="1795" max="1795" width="11.7109375" style="9" customWidth="1"/>
    <col min="1796" max="1796" width="10.7109375" customWidth="1"/>
    <col min="1797" max="1797" width="11.7109375" style="9" customWidth="1"/>
    <col min="1798" max="1798" width="10.7109375" customWidth="1"/>
    <col min="1799" max="1799" width="11.7109375" style="9" customWidth="1"/>
    <col min="1800" max="1800" width="10.7109375" customWidth="1"/>
    <col min="1801" max="1801" width="11.7109375" style="9" customWidth="1"/>
    <col min="1802" max="1802" width="10.7109375" customWidth="1"/>
    <col min="1803" max="1803" width="11.7109375" style="9" customWidth="1"/>
    <col min="1804" max="1804" width="10.7109375" customWidth="1"/>
    <col min="1805" max="1805" width="11.7109375" style="9" customWidth="1"/>
    <col min="1806" max="1806" width="10.7109375" customWidth="1"/>
    <col min="1807" max="1807" width="11.7109375" style="9" customWidth="1"/>
    <col min="1808" max="1808" width="10.7109375" customWidth="1"/>
    <col min="1809" max="1809" width="11.7109375" style="9" customWidth="1"/>
    <col min="1810" max="1810" width="10.7109375" customWidth="1"/>
    <col min="1811" max="1811" width="11.7109375" style="9" customWidth="1"/>
    <col min="1812" max="1812" width="10.7109375" customWidth="1"/>
    <col min="1813" max="1813" width="11.7109375" style="9" customWidth="1"/>
    <col min="1814" max="1814" width="10.7109375" customWidth="1"/>
    <col min="1815" max="1815" width="11.7109375" style="9" customWidth="1"/>
    <col min="1816" max="1816" width="10.7109375" customWidth="1"/>
    <col min="1817" max="1817" width="11.7109375" style="9" customWidth="1"/>
    <col min="1818" max="1818" width="10.7109375" customWidth="1"/>
    <col min="1819" max="1819" width="11.7109375" style="9" customWidth="1"/>
    <col min="1820" max="1820" width="10.7109375" customWidth="1"/>
    <col min="1821" max="1821" width="11.7109375" style="9" customWidth="1"/>
    <col min="1822" max="1822" width="10.7109375" customWidth="1"/>
    <col min="1823" max="1823" width="11.7109375" style="9" customWidth="1"/>
    <col min="1824" max="1824" width="10.7109375" customWidth="1"/>
    <col min="1825" max="1825" width="11.7109375" style="9" customWidth="1"/>
    <col min="1826" max="1826" width="10.7109375" customWidth="1"/>
    <col min="1827" max="1827" width="11.7109375" style="9" customWidth="1"/>
    <col min="1828" max="1828" width="10.7109375" customWidth="1"/>
    <col min="1829" max="1829" width="11.7109375" style="9" customWidth="1"/>
    <col min="1830" max="1830" width="10.7109375" customWidth="1"/>
    <col min="1831" max="1831" width="11.7109375" style="9" customWidth="1"/>
    <col min="1832" max="1832" width="10.7109375" customWidth="1"/>
    <col min="1833" max="1833" width="11.7109375" style="9" customWidth="1"/>
    <col min="1834" max="1834" width="10.7109375" customWidth="1"/>
    <col min="1835" max="1835" width="11.7109375" style="9" customWidth="1"/>
    <col min="1836" max="1836" width="10.7109375" customWidth="1"/>
    <col min="1837" max="1837" width="11.7109375" style="9" customWidth="1"/>
    <col min="1838" max="1838" width="10.7109375" customWidth="1"/>
    <col min="1839" max="1839" width="11.7109375" style="9" customWidth="1"/>
    <col min="1840" max="1840" width="10.7109375" customWidth="1"/>
    <col min="1841" max="1841" width="11.7109375" style="9" customWidth="1"/>
    <col min="1842" max="1842" width="10.7109375" customWidth="1"/>
    <col min="1843" max="1843" width="11.7109375" style="9" customWidth="1"/>
    <col min="1844" max="1844" width="10.7109375" customWidth="1"/>
    <col min="1845" max="1845" width="11.7109375" style="9" customWidth="1"/>
    <col min="1846" max="1846" width="10.7109375" customWidth="1"/>
    <col min="1847" max="1847" width="11.7109375" style="9" customWidth="1"/>
    <col min="1848" max="1848" width="10.7109375" customWidth="1"/>
    <col min="1849" max="1849" width="11.7109375" style="9" customWidth="1"/>
    <col min="1850" max="1850" width="10.7109375" customWidth="1"/>
    <col min="1851" max="1851" width="11.7109375" style="9" customWidth="1"/>
    <col min="1852" max="1852" width="10.7109375" customWidth="1"/>
    <col min="1853" max="1853" width="11.7109375" style="9" customWidth="1"/>
    <col min="1854" max="1854" width="10.7109375" customWidth="1"/>
    <col min="1855" max="1855" width="11.7109375" style="9" customWidth="1"/>
    <col min="1856" max="1856" width="10.7109375" customWidth="1"/>
    <col min="1857" max="1857" width="11.7109375" style="9" customWidth="1"/>
    <col min="1858" max="1858" width="10.7109375" customWidth="1"/>
    <col min="1859" max="1859" width="11.7109375" style="9" customWidth="1"/>
    <col min="1860" max="1860" width="10.7109375" customWidth="1"/>
    <col min="1861" max="1861" width="11.7109375" style="9" customWidth="1"/>
    <col min="1862" max="1862" width="10.7109375" customWidth="1"/>
    <col min="1863" max="1863" width="11.7109375" style="9" customWidth="1"/>
    <col min="1864" max="1864" width="10.7109375" customWidth="1"/>
    <col min="1865" max="1865" width="11.7109375" style="9" customWidth="1"/>
    <col min="1866" max="1866" width="10.7109375" customWidth="1"/>
    <col min="1867" max="1867" width="11.7109375" style="9" customWidth="1"/>
    <col min="1868" max="1868" width="10.7109375" customWidth="1"/>
    <col min="1869" max="1869" width="11.7109375" style="9" customWidth="1"/>
    <col min="1870" max="1870" width="10.7109375" customWidth="1"/>
    <col min="1871" max="1871" width="11.7109375" style="9" customWidth="1"/>
    <col min="1872" max="1872" width="10.7109375" customWidth="1"/>
    <col min="1873" max="1873" width="11.7109375" style="9" customWidth="1"/>
    <col min="1874" max="1874" width="10.7109375" customWidth="1"/>
    <col min="1875" max="1875" width="11.7109375" style="9" customWidth="1"/>
    <col min="1876" max="1876" width="10.7109375" customWidth="1"/>
    <col min="1877" max="1877" width="11.7109375" style="9" customWidth="1"/>
    <col min="1878" max="1878" width="10.7109375" customWidth="1"/>
    <col min="1879" max="1879" width="11.7109375" style="9" customWidth="1"/>
    <col min="1880" max="1880" width="10.7109375" customWidth="1"/>
    <col min="1881" max="1881" width="11.7109375" style="9" customWidth="1"/>
    <col min="1882" max="1882" width="10.7109375" customWidth="1"/>
    <col min="1883" max="1883" width="11.7109375" style="9" customWidth="1"/>
    <col min="1884" max="1884" width="10.7109375" customWidth="1"/>
    <col min="1885" max="1885" width="11.7109375" style="9" customWidth="1"/>
    <col min="1886" max="1886" width="10.7109375" customWidth="1"/>
    <col min="1887" max="1887" width="11.7109375" style="9" customWidth="1"/>
    <col min="1888" max="1888" width="10.7109375" customWidth="1"/>
    <col min="1889" max="1889" width="11.7109375" style="9" customWidth="1"/>
    <col min="1890" max="1890" width="10.7109375" customWidth="1"/>
    <col min="1891" max="1891" width="11.7109375" style="9" customWidth="1"/>
    <col min="1892" max="1892" width="10.7109375" customWidth="1"/>
    <col min="1893" max="1893" width="11.7109375" style="9" customWidth="1"/>
    <col min="1894" max="1894" width="10.7109375" customWidth="1"/>
    <col min="1895" max="1895" width="11.7109375" style="9" customWidth="1"/>
    <col min="1896" max="1896" width="10.7109375" customWidth="1"/>
    <col min="1897" max="1897" width="11.7109375" style="9" customWidth="1"/>
    <col min="1898" max="1898" width="10.7109375" customWidth="1"/>
    <col min="1899" max="1899" width="11.7109375" style="9" customWidth="1"/>
    <col min="1900" max="1900" width="10.7109375" customWidth="1"/>
    <col min="1901" max="1901" width="11.7109375" style="9" customWidth="1"/>
    <col min="1902" max="1902" width="10.7109375" customWidth="1"/>
    <col min="1903" max="1903" width="11.7109375" style="9" customWidth="1"/>
    <col min="1904" max="1904" width="10.7109375" customWidth="1"/>
    <col min="1905" max="1905" width="11.7109375" style="9" customWidth="1"/>
    <col min="1906" max="1906" width="10.7109375" customWidth="1"/>
    <col min="1907" max="1907" width="11.7109375" style="9" customWidth="1"/>
    <col min="1908" max="1908" width="10.7109375" customWidth="1"/>
    <col min="1909" max="1909" width="11.7109375" style="9" customWidth="1"/>
    <col min="1910" max="1910" width="10.7109375" customWidth="1"/>
    <col min="1911" max="1911" width="11.7109375" style="9" customWidth="1"/>
    <col min="1912" max="1912" width="10.7109375" customWidth="1"/>
    <col min="1913" max="1913" width="11.7109375" style="9" customWidth="1"/>
    <col min="1914" max="1914" width="10.7109375" customWidth="1"/>
    <col min="1915" max="1915" width="11.7109375" style="9" customWidth="1"/>
    <col min="1916" max="1916" width="10.7109375" customWidth="1"/>
    <col min="1917" max="1917" width="11.7109375" style="9" customWidth="1"/>
    <col min="1918" max="1918" width="10.7109375" customWidth="1"/>
    <col min="1919" max="1919" width="11.7109375" style="9" customWidth="1"/>
    <col min="1920" max="1920" width="10.7109375" customWidth="1"/>
    <col min="1921" max="1921" width="11.7109375" style="9" customWidth="1"/>
    <col min="1922" max="1922" width="10.7109375" customWidth="1"/>
    <col min="1923" max="1923" width="11.7109375" style="9" customWidth="1"/>
    <col min="1924" max="1924" width="10.7109375" customWidth="1"/>
    <col min="1925" max="1925" width="11.7109375" style="9" customWidth="1"/>
    <col min="1926" max="1926" width="10.7109375" customWidth="1"/>
    <col min="1927" max="1927" width="11.7109375" style="9" customWidth="1"/>
    <col min="1928" max="1928" width="10.7109375" customWidth="1"/>
    <col min="1929" max="1929" width="11.7109375" style="9" customWidth="1"/>
    <col min="1930" max="1930" width="10.7109375" customWidth="1"/>
    <col min="1931" max="1931" width="11.7109375" style="9" customWidth="1"/>
    <col min="1932" max="1932" width="10.7109375" customWidth="1"/>
    <col min="1933" max="1933" width="11.7109375" style="9" customWidth="1"/>
    <col min="1934" max="1934" width="10.7109375" customWidth="1"/>
    <col min="1935" max="1935" width="11.7109375" style="9" customWidth="1"/>
    <col min="1936" max="1936" width="10.7109375" customWidth="1"/>
    <col min="1937" max="1937" width="11.7109375" style="9" customWidth="1"/>
    <col min="1938" max="1938" width="10.7109375" customWidth="1"/>
    <col min="1939" max="1939" width="11.7109375" style="9" customWidth="1"/>
    <col min="1940" max="1940" width="10.7109375" customWidth="1"/>
    <col min="1941" max="1941" width="11.7109375" style="9" customWidth="1"/>
    <col min="1942" max="1942" width="10.7109375" customWidth="1"/>
    <col min="1943" max="1943" width="11.7109375" style="9" customWidth="1"/>
    <col min="1944" max="1944" width="10.7109375" customWidth="1"/>
    <col min="1945" max="1945" width="11.7109375" style="9" customWidth="1"/>
    <col min="1946" max="1946" width="10.7109375" customWidth="1"/>
    <col min="1947" max="1947" width="11.7109375" style="9" customWidth="1"/>
    <col min="1948" max="1948" width="10.7109375" customWidth="1"/>
    <col min="1949" max="1949" width="11.7109375" style="9" customWidth="1"/>
    <col min="1950" max="1950" width="10.7109375" customWidth="1"/>
    <col min="1951" max="1951" width="11.7109375" style="9" customWidth="1"/>
    <col min="1952" max="1952" width="10.7109375" customWidth="1"/>
    <col min="1953" max="1953" width="11.7109375" style="9" customWidth="1"/>
    <col min="1954" max="1954" width="10.7109375" customWidth="1"/>
    <col min="1955" max="1955" width="11.7109375" style="9" customWidth="1"/>
    <col min="1956" max="1956" width="10.7109375" customWidth="1"/>
    <col min="1957" max="1957" width="11.7109375" style="9" customWidth="1"/>
    <col min="1958" max="1958" width="10.7109375" customWidth="1"/>
    <col min="1959" max="1959" width="11.7109375" style="9" customWidth="1"/>
    <col min="1960" max="1960" width="10.7109375" customWidth="1"/>
    <col min="1961" max="1961" width="11.7109375" style="9" customWidth="1"/>
    <col min="1962" max="1962" width="10.7109375" customWidth="1"/>
    <col min="1963" max="1963" width="11.7109375" style="9" customWidth="1"/>
    <col min="1964" max="1964" width="10.7109375" customWidth="1"/>
    <col min="1965" max="1965" width="11.7109375" style="9" customWidth="1"/>
    <col min="1966" max="1966" width="10.7109375" customWidth="1"/>
    <col min="1967" max="1967" width="11.7109375" style="9" customWidth="1"/>
    <col min="1968" max="1968" width="10.7109375" customWidth="1"/>
    <col min="1969" max="1969" width="11.7109375" style="9" customWidth="1"/>
    <col min="1970" max="1970" width="10.7109375" customWidth="1"/>
    <col min="1971" max="1971" width="11.7109375" style="9" customWidth="1"/>
    <col min="1972" max="1972" width="10.7109375" customWidth="1"/>
    <col min="1973" max="1973" width="11.7109375" style="9" customWidth="1"/>
    <col min="1974" max="1974" width="10.7109375" customWidth="1"/>
    <col min="1975" max="1975" width="11.7109375" style="9" customWidth="1"/>
    <col min="1976" max="1976" width="10.7109375" customWidth="1"/>
    <col min="1977" max="1977" width="11.7109375" style="9" customWidth="1"/>
    <col min="1978" max="1978" width="10.7109375" customWidth="1"/>
    <col min="1979" max="1979" width="11.7109375" style="9" customWidth="1"/>
    <col min="1980" max="1980" width="10.7109375" customWidth="1"/>
    <col min="1981" max="1981" width="11.7109375" style="9" customWidth="1"/>
    <col min="1982" max="1982" width="10.7109375" customWidth="1"/>
    <col min="1983" max="1983" width="11.7109375" style="9" customWidth="1"/>
    <col min="1984" max="1984" width="10.7109375" customWidth="1"/>
    <col min="1985" max="1985" width="11.7109375" style="9" customWidth="1"/>
    <col min="1986" max="1986" width="10.7109375" customWidth="1"/>
    <col min="1987" max="1987" width="11.7109375" style="9" customWidth="1"/>
    <col min="1988" max="1988" width="10.7109375" customWidth="1"/>
    <col min="1989" max="1989" width="11.7109375" style="9" customWidth="1"/>
    <col min="1990" max="1990" width="10.7109375" customWidth="1"/>
    <col min="1991" max="1991" width="11.7109375" style="9" customWidth="1"/>
    <col min="1992" max="1992" width="10.7109375" customWidth="1"/>
    <col min="1993" max="1993" width="11.7109375" style="9" customWidth="1"/>
    <col min="1994" max="1994" width="10.7109375" customWidth="1"/>
    <col min="1995" max="1995" width="11.7109375" style="9" customWidth="1"/>
    <col min="1996" max="1996" width="10.7109375" customWidth="1"/>
    <col min="1997" max="1997" width="11.7109375" style="9" customWidth="1"/>
    <col min="1998" max="1998" width="10.7109375" customWidth="1"/>
    <col min="1999" max="1999" width="11.7109375" style="9" customWidth="1"/>
    <col min="2000" max="2000" width="10.7109375" customWidth="1"/>
    <col min="2001" max="2001" width="11.7109375" style="9" customWidth="1"/>
    <col min="2002" max="2002" width="10.7109375" customWidth="1"/>
    <col min="2003" max="2003" width="11.7109375" style="9" customWidth="1"/>
    <col min="2004" max="2004" width="10.7109375" customWidth="1"/>
    <col min="2005" max="2005" width="11.7109375" style="9" customWidth="1"/>
    <col min="2006" max="2006" width="10.7109375" customWidth="1"/>
    <col min="2007" max="2007" width="11.7109375" style="9" customWidth="1"/>
    <col min="2008" max="2008" width="10.7109375" customWidth="1"/>
    <col min="2009" max="2009" width="11.7109375" style="9" customWidth="1"/>
    <col min="2010" max="2010" width="10.7109375" customWidth="1"/>
    <col min="2011" max="2011" width="11.7109375" style="9" customWidth="1"/>
    <col min="2012" max="2012" width="10.7109375" customWidth="1"/>
    <col min="2013" max="2013" width="11.7109375" style="9" customWidth="1"/>
    <col min="2014" max="2014" width="10.7109375" customWidth="1"/>
    <col min="2015" max="2015" width="11.7109375" style="9" customWidth="1"/>
    <col min="2016" max="2016" width="10.7109375" customWidth="1"/>
    <col min="2017" max="2017" width="11.7109375" style="9" customWidth="1"/>
    <col min="2018" max="2018" width="10.7109375" customWidth="1"/>
    <col min="2019" max="2019" width="11.7109375" style="9" customWidth="1"/>
    <col min="2020" max="2020" width="10.7109375" customWidth="1"/>
    <col min="2021" max="2021" width="11.7109375" style="9" customWidth="1"/>
    <col min="2022" max="2022" width="10.7109375" customWidth="1"/>
    <col min="2023" max="2023" width="11.7109375" style="9" customWidth="1"/>
    <col min="2024" max="2024" width="10.7109375" customWidth="1"/>
    <col min="2025" max="2025" width="11.7109375" style="9" customWidth="1"/>
    <col min="2026" max="2026" width="10.7109375" customWidth="1"/>
    <col min="2027" max="2027" width="11.7109375" style="9" customWidth="1"/>
    <col min="2028" max="2028" width="10.7109375" customWidth="1"/>
    <col min="2029" max="2029" width="11.7109375" style="9" customWidth="1"/>
    <col min="2030" max="2030" width="10.7109375" customWidth="1"/>
    <col min="2031" max="2031" width="11.7109375" style="9" customWidth="1"/>
    <col min="2032" max="2032" width="10.7109375" customWidth="1"/>
    <col min="2033" max="2033" width="11.7109375" style="9" customWidth="1"/>
    <col min="2034" max="2034" width="10.7109375" customWidth="1"/>
    <col min="2035" max="2035" width="11.7109375" style="9" customWidth="1"/>
    <col min="2036" max="2036" width="10.7109375" customWidth="1"/>
    <col min="2037" max="2037" width="11.7109375" style="9" customWidth="1"/>
    <col min="2038" max="2038" width="10.7109375" customWidth="1"/>
    <col min="2039" max="2039" width="11.7109375" style="9" customWidth="1"/>
    <col min="2040" max="2040" width="10.7109375" customWidth="1"/>
    <col min="2041" max="2041" width="11.7109375" style="9" customWidth="1"/>
    <col min="2042" max="2042" width="10.7109375" customWidth="1"/>
    <col min="2043" max="2043" width="11.7109375" style="9" customWidth="1"/>
    <col min="2044" max="2044" width="10.7109375" customWidth="1"/>
    <col min="2045" max="2045" width="11.7109375" style="9" customWidth="1"/>
    <col min="2046" max="2046" width="10.7109375" customWidth="1"/>
    <col min="2047" max="2047" width="11.7109375" style="9" customWidth="1"/>
    <col min="2048" max="2048" width="10.7109375" customWidth="1"/>
    <col min="2049" max="2049" width="11.7109375" style="9" customWidth="1"/>
    <col min="2050" max="2050" width="10.7109375" customWidth="1"/>
    <col min="2051" max="2051" width="11.7109375" style="9" customWidth="1"/>
    <col min="2052" max="2052" width="10.7109375" customWidth="1"/>
    <col min="2053" max="2053" width="11.7109375" style="9" customWidth="1"/>
    <col min="2054" max="2054" width="10.7109375" customWidth="1"/>
    <col min="2055" max="2055" width="11.7109375" style="9" customWidth="1"/>
    <col min="2056" max="2056" width="10.7109375" customWidth="1"/>
    <col min="2057" max="2057" width="11.7109375" style="9" customWidth="1"/>
    <col min="2058" max="2058" width="10.7109375" customWidth="1"/>
    <col min="2059" max="2059" width="11.7109375" style="9" customWidth="1"/>
    <col min="2060" max="2060" width="10.7109375" customWidth="1"/>
    <col min="2061" max="2061" width="11.7109375" style="9" customWidth="1"/>
    <col min="2062" max="2062" width="10.7109375" customWidth="1"/>
    <col min="2063" max="2063" width="11.7109375" style="9" customWidth="1"/>
    <col min="2064" max="2064" width="10.7109375" customWidth="1"/>
    <col min="2065" max="2065" width="11.7109375" style="9" customWidth="1"/>
    <col min="2066" max="2066" width="10.7109375" customWidth="1"/>
    <col min="2067" max="2067" width="11.7109375" style="9" customWidth="1"/>
    <col min="2068" max="2068" width="10.7109375" customWidth="1"/>
    <col min="2069" max="2069" width="11.7109375" style="9" customWidth="1"/>
    <col min="2070" max="2070" width="10.7109375" customWidth="1"/>
    <col min="2071" max="2071" width="11.7109375" style="9" customWidth="1"/>
    <col min="2072" max="2072" width="10.7109375" customWidth="1"/>
    <col min="2073" max="2073" width="11.7109375" style="9" customWidth="1"/>
    <col min="2074" max="2074" width="10.7109375" customWidth="1"/>
    <col min="2075" max="2075" width="11.7109375" style="9" customWidth="1"/>
    <col min="2076" max="2076" width="10.7109375" customWidth="1"/>
    <col min="2077" max="2077" width="11.7109375" style="9" customWidth="1"/>
    <col min="2078" max="2078" width="10.7109375" customWidth="1"/>
    <col min="2079" max="2079" width="11.7109375" style="9" customWidth="1"/>
    <col min="2080" max="2080" width="10.7109375" customWidth="1"/>
    <col min="2081" max="2081" width="11.7109375" style="9" customWidth="1"/>
    <col min="2082" max="2082" width="10.7109375" customWidth="1"/>
    <col min="2083" max="2083" width="11.7109375" style="9" customWidth="1"/>
    <col min="2084" max="2084" width="10.7109375" customWidth="1"/>
    <col min="2085" max="2085" width="11.7109375" style="9" customWidth="1"/>
    <col min="2086" max="2086" width="10.7109375" customWidth="1"/>
    <col min="2087" max="2087" width="11.7109375" style="9" customWidth="1"/>
    <col min="2088" max="2088" width="10.7109375" customWidth="1"/>
    <col min="2089" max="2089" width="11.7109375" style="9" customWidth="1"/>
    <col min="2090" max="2090" width="10.7109375" customWidth="1"/>
    <col min="2091" max="2091" width="11.7109375" style="9" customWidth="1"/>
    <col min="2092" max="2092" width="10.7109375" customWidth="1"/>
    <col min="2093" max="2093" width="11.7109375" style="9" customWidth="1"/>
    <col min="2094" max="2094" width="10.7109375" customWidth="1"/>
    <col min="2095" max="2095" width="11.7109375" style="9" customWidth="1"/>
    <col min="2096" max="2096" width="10.7109375" customWidth="1"/>
    <col min="2097" max="2097" width="11.7109375" style="9" customWidth="1"/>
    <col min="2098" max="2098" width="10.7109375" customWidth="1"/>
    <col min="2099" max="2099" width="11.7109375" style="9" customWidth="1"/>
    <col min="2100" max="2100" width="10.7109375" customWidth="1"/>
    <col min="2101" max="2101" width="11.7109375" style="9" customWidth="1"/>
    <col min="2102" max="2102" width="10.7109375" customWidth="1"/>
    <col min="2103" max="2103" width="11.7109375" style="9" customWidth="1"/>
    <col min="2104" max="2104" width="10.7109375" customWidth="1"/>
    <col min="2105" max="2105" width="11.7109375" style="9" customWidth="1"/>
    <col min="2106" max="2106" width="10.7109375" customWidth="1"/>
    <col min="2107" max="2107" width="11.7109375" style="9" customWidth="1"/>
    <col min="2108" max="2108" width="10.7109375" customWidth="1"/>
    <col min="2109" max="2109" width="11.7109375" style="9" customWidth="1"/>
    <col min="2110" max="2110" width="10.7109375" customWidth="1"/>
    <col min="2111" max="2111" width="11.7109375" style="9" customWidth="1"/>
    <col min="2112" max="2112" width="10.7109375" customWidth="1"/>
    <col min="2113" max="2113" width="11.7109375" style="9" customWidth="1"/>
    <col min="2114" max="2114" width="10.7109375" customWidth="1"/>
    <col min="2115" max="2115" width="11.7109375" style="9" customWidth="1"/>
    <col min="2116" max="2116" width="10.7109375" customWidth="1"/>
    <col min="2117" max="2117" width="11.7109375" style="9" customWidth="1"/>
    <col min="2118" max="2118" width="10.7109375" customWidth="1"/>
    <col min="2119" max="2119" width="11.7109375" style="9" customWidth="1"/>
    <col min="2120" max="2120" width="10.7109375" customWidth="1"/>
    <col min="2121" max="2121" width="11.7109375" style="9" customWidth="1"/>
    <col min="2122" max="2122" width="10.7109375" customWidth="1"/>
    <col min="2123" max="2123" width="11.7109375" style="9" customWidth="1"/>
    <col min="2124" max="2124" width="10.7109375" customWidth="1"/>
    <col min="2125" max="2125" width="11.7109375" style="9" customWidth="1"/>
    <col min="2126" max="2126" width="10.7109375" customWidth="1"/>
    <col min="2127" max="2127" width="11.7109375" style="9" customWidth="1"/>
    <col min="2128" max="2128" width="10.7109375" customWidth="1"/>
    <col min="2129" max="2129" width="11.7109375" style="9" customWidth="1"/>
    <col min="2130" max="2130" width="10.7109375" customWidth="1"/>
    <col min="2131" max="2131" width="11.7109375" style="9" customWidth="1"/>
    <col min="2132" max="2132" width="10.7109375" customWidth="1"/>
    <col min="2133" max="2133" width="11.7109375" style="9" customWidth="1"/>
    <col min="2134" max="2134" width="10.7109375" customWidth="1"/>
    <col min="2135" max="2135" width="11.7109375" style="9" customWidth="1"/>
    <col min="2136" max="2136" width="10.7109375" customWidth="1"/>
    <col min="2137" max="2137" width="11.7109375" style="9" customWidth="1"/>
    <col min="2138" max="2138" width="10.7109375" customWidth="1"/>
    <col min="2139" max="2139" width="11.7109375" style="9" customWidth="1"/>
    <col min="2140" max="2140" width="10.7109375" customWidth="1"/>
    <col min="2141" max="2141" width="11.7109375" style="9" customWidth="1"/>
    <col min="2142" max="2142" width="10.7109375" customWidth="1"/>
    <col min="2143" max="2143" width="11.7109375" style="9" customWidth="1"/>
    <col min="2144" max="2144" width="10.7109375" customWidth="1"/>
    <col min="2145" max="2145" width="11.7109375" style="9" customWidth="1"/>
    <col min="2146" max="2146" width="10.7109375" customWidth="1"/>
    <col min="2147" max="2147" width="11.7109375" style="9" customWidth="1"/>
    <col min="2148" max="2148" width="10.7109375" customWidth="1"/>
    <col min="2149" max="2149" width="11.7109375" style="9" customWidth="1"/>
    <col min="2150" max="2150" width="10.7109375" customWidth="1"/>
    <col min="2151" max="2151" width="11.7109375" style="9" customWidth="1"/>
    <col min="2152" max="2152" width="10.7109375" customWidth="1"/>
    <col min="2153" max="2153" width="11.7109375" style="9" customWidth="1"/>
    <col min="2154" max="2154" width="10.7109375" customWidth="1"/>
    <col min="2155" max="2155" width="11.7109375" style="9" customWidth="1"/>
    <col min="2156" max="2156" width="10.7109375" customWidth="1"/>
    <col min="2157" max="2157" width="11.7109375" style="9" customWidth="1"/>
    <col min="2158" max="2158" width="10.7109375" customWidth="1"/>
    <col min="2159" max="2159" width="11.7109375" style="9" customWidth="1"/>
    <col min="2160" max="2160" width="10.7109375" customWidth="1"/>
    <col min="2161" max="2161" width="11.7109375" style="9" customWidth="1"/>
    <col min="2162" max="2162" width="10.7109375" customWidth="1"/>
    <col min="2163" max="2163" width="11.7109375" style="9" customWidth="1"/>
    <col min="2164" max="2164" width="10.7109375" customWidth="1"/>
    <col min="2165" max="2165" width="11.7109375" style="9" customWidth="1"/>
    <col min="2166" max="2166" width="10.7109375" customWidth="1"/>
    <col min="2167" max="2167" width="11.7109375" style="9" customWidth="1"/>
    <col min="2168" max="2168" width="10.7109375" customWidth="1"/>
    <col min="2169" max="2169" width="11.7109375" style="9" customWidth="1"/>
    <col min="2170" max="2170" width="10.7109375" customWidth="1"/>
    <col min="2171" max="2171" width="11.7109375" style="9" customWidth="1"/>
    <col min="2172" max="2172" width="10.7109375" customWidth="1"/>
    <col min="2173" max="2173" width="11.7109375" style="9" customWidth="1"/>
    <col min="2174" max="2174" width="10.7109375" customWidth="1"/>
    <col min="2175" max="2175" width="11.7109375" style="9" customWidth="1"/>
    <col min="2176" max="2176" width="10.7109375" customWidth="1"/>
    <col min="2177" max="2177" width="11.7109375" style="9" customWidth="1"/>
    <col min="2178" max="2178" width="10.7109375" customWidth="1"/>
    <col min="2179" max="2179" width="11.7109375" style="9" customWidth="1"/>
    <col min="2180" max="2180" width="10.7109375" customWidth="1"/>
    <col min="2181" max="2181" width="11.7109375" style="9" customWidth="1"/>
    <col min="2182" max="2182" width="10.7109375" customWidth="1"/>
    <col min="2183" max="2183" width="11.7109375" style="9" customWidth="1"/>
    <col min="2184" max="2184" width="10.7109375" customWidth="1"/>
    <col min="2185" max="2185" width="11.7109375" style="9" customWidth="1"/>
    <col min="2186" max="2186" width="10.7109375" customWidth="1"/>
    <col min="2187" max="2187" width="11.7109375" style="9" customWidth="1"/>
    <col min="2188" max="2188" width="10.7109375" customWidth="1"/>
    <col min="2189" max="2189" width="11.7109375" style="9" customWidth="1"/>
    <col min="2190" max="2190" width="10.7109375" customWidth="1"/>
    <col min="2191" max="2191" width="11.7109375" style="9" customWidth="1"/>
    <col min="2192" max="2192" width="10.7109375" customWidth="1"/>
    <col min="2193" max="2193" width="11.7109375" style="9" customWidth="1"/>
    <col min="2194" max="2194" width="10.7109375" customWidth="1"/>
    <col min="2195" max="2195" width="11.7109375" style="9" customWidth="1"/>
    <col min="2196" max="2196" width="10.7109375" customWidth="1"/>
    <col min="2197" max="2197" width="11.7109375" style="9" customWidth="1"/>
    <col min="2198" max="2198" width="10.7109375" customWidth="1"/>
    <col min="2199" max="2199" width="11.7109375" style="9" customWidth="1"/>
    <col min="2200" max="2200" width="10.7109375" customWidth="1"/>
    <col min="2201" max="2201" width="11.7109375" style="9" customWidth="1"/>
    <col min="2202" max="2202" width="10.7109375" customWidth="1"/>
    <col min="2203" max="2203" width="11.7109375" style="9" customWidth="1"/>
    <col min="2204" max="2204" width="10.7109375" customWidth="1"/>
    <col min="2205" max="2205" width="11.7109375" style="9" customWidth="1"/>
    <col min="2206" max="2206" width="10.7109375" customWidth="1"/>
    <col min="2207" max="2207" width="11.7109375" style="9" customWidth="1"/>
    <col min="2208" max="2208" width="10.7109375" customWidth="1"/>
    <col min="2209" max="2209" width="11.7109375" style="9" customWidth="1"/>
    <col min="2210" max="2210" width="10.7109375" customWidth="1"/>
    <col min="2211" max="2211" width="11.7109375" style="9" customWidth="1"/>
    <col min="2212" max="2212" width="10.7109375" customWidth="1"/>
    <col min="2213" max="2213" width="11.7109375" style="9" customWidth="1"/>
    <col min="2214" max="2214" width="10.7109375" customWidth="1"/>
    <col min="2215" max="2215" width="11.7109375" style="9" customWidth="1"/>
    <col min="2216" max="2216" width="10.7109375" customWidth="1"/>
    <col min="2217" max="2217" width="11.7109375" style="9" customWidth="1"/>
    <col min="2218" max="2218" width="10.7109375" customWidth="1"/>
    <col min="2219" max="2219" width="11.7109375" style="9" customWidth="1"/>
    <col min="2220" max="2220" width="10.7109375" customWidth="1"/>
    <col min="2221" max="2221" width="11.7109375" style="9" customWidth="1"/>
    <col min="2222" max="2222" width="10.7109375" customWidth="1"/>
    <col min="2223" max="2223" width="11.7109375" style="9" customWidth="1"/>
    <col min="2224" max="2224" width="10.7109375" customWidth="1"/>
    <col min="2225" max="2225" width="11.7109375" style="9" customWidth="1"/>
    <col min="2226" max="2226" width="10.7109375" customWidth="1"/>
    <col min="2227" max="2227" width="11.7109375" style="9" customWidth="1"/>
    <col min="2228" max="2228" width="10.7109375" customWidth="1"/>
    <col min="2229" max="2229" width="11.7109375" style="9" customWidth="1"/>
    <col min="2230" max="2230" width="10.7109375" customWidth="1"/>
    <col min="2231" max="2231" width="11.7109375" style="9" customWidth="1"/>
    <col min="2232" max="2232" width="10.7109375" customWidth="1"/>
    <col min="2233" max="2233" width="11.7109375" style="9" customWidth="1"/>
    <col min="2234" max="2234" width="10.7109375" customWidth="1"/>
    <col min="2235" max="2235" width="11.7109375" style="9" customWidth="1"/>
    <col min="2236" max="2236" width="10.7109375" customWidth="1"/>
    <col min="2237" max="2237" width="11.7109375" style="9" customWidth="1"/>
    <col min="2238" max="2238" width="10.7109375" customWidth="1"/>
    <col min="2239" max="2239" width="11.7109375" style="9" customWidth="1"/>
    <col min="2240" max="2240" width="10.7109375" customWidth="1"/>
    <col min="2241" max="2241" width="11.7109375" style="9" customWidth="1"/>
    <col min="2242" max="2242" width="10.7109375" customWidth="1"/>
    <col min="2243" max="2243" width="11.7109375" style="9" customWidth="1"/>
    <col min="2244" max="2244" width="10.7109375" customWidth="1"/>
    <col min="2245" max="2245" width="11.7109375" style="9" customWidth="1"/>
    <col min="2246" max="2246" width="10.7109375" customWidth="1"/>
    <col min="2247" max="2247" width="11.7109375" style="9" customWidth="1"/>
    <col min="2248" max="2248" width="10.7109375" customWidth="1"/>
    <col min="2249" max="2249" width="11.7109375" style="9" customWidth="1"/>
    <col min="2250" max="2250" width="10.7109375" customWidth="1"/>
    <col min="2251" max="2251" width="11.7109375" style="9" customWidth="1"/>
    <col min="2252" max="2252" width="10.7109375" customWidth="1"/>
    <col min="2253" max="2253" width="11.7109375" style="9" customWidth="1"/>
    <col min="2254" max="2254" width="10.7109375" customWidth="1"/>
    <col min="2255" max="2255" width="11.7109375" style="9" customWidth="1"/>
    <col min="2256" max="2256" width="10.7109375" customWidth="1"/>
    <col min="2257" max="2257" width="11.7109375" style="9" customWidth="1"/>
    <col min="2258" max="2258" width="10.7109375" customWidth="1"/>
    <col min="2259" max="2259" width="11.7109375" style="9" customWidth="1"/>
    <col min="2260" max="2260" width="10.7109375" customWidth="1"/>
    <col min="2261" max="2261" width="11.7109375" style="9" customWidth="1"/>
    <col min="2262" max="2262" width="10.7109375" customWidth="1"/>
    <col min="2263" max="2263" width="11.7109375" style="9" customWidth="1"/>
    <col min="2264" max="2264" width="10.7109375" customWidth="1"/>
    <col min="2265" max="2265" width="11.7109375" style="9" customWidth="1"/>
    <col min="2266" max="2266" width="10.7109375" customWidth="1"/>
    <col min="2267" max="2267" width="11.7109375" style="9" customWidth="1"/>
    <col min="2268" max="2268" width="10.7109375" customWidth="1"/>
    <col min="2269" max="2269" width="11.7109375" style="9" customWidth="1"/>
    <col min="2270" max="2270" width="10.7109375" customWidth="1"/>
    <col min="2271" max="2271" width="11.7109375" style="9" customWidth="1"/>
    <col min="2272" max="2272" width="10.7109375" customWidth="1"/>
    <col min="2273" max="2273" width="11.7109375" style="9" customWidth="1"/>
    <col min="2274" max="2274" width="10.7109375" customWidth="1"/>
    <col min="2275" max="2275" width="11.7109375" style="9" customWidth="1"/>
    <col min="2276" max="2276" width="10.7109375" customWidth="1"/>
    <col min="2277" max="2277" width="11.7109375" style="9" customWidth="1"/>
    <col min="2278" max="2278" width="10.7109375" customWidth="1"/>
    <col min="2279" max="2279" width="11.7109375" style="9" customWidth="1"/>
    <col min="2280" max="2280" width="10.7109375" customWidth="1"/>
    <col min="2281" max="2281" width="11.7109375" style="9" customWidth="1"/>
    <col min="2282" max="2282" width="10.7109375" customWidth="1"/>
    <col min="2283" max="2283" width="11.7109375" style="9" customWidth="1"/>
    <col min="2284" max="2284" width="10.7109375" customWidth="1"/>
    <col min="2285" max="2285" width="11.7109375" style="9" customWidth="1"/>
    <col min="2286" max="2286" width="10.7109375" customWidth="1"/>
    <col min="2287" max="2287" width="11.7109375" style="9" customWidth="1"/>
    <col min="2288" max="2288" width="10.7109375" customWidth="1"/>
    <col min="2289" max="2289" width="11.7109375" style="9" customWidth="1"/>
    <col min="2290" max="2290" width="10.7109375" customWidth="1"/>
    <col min="2291" max="2291" width="11.7109375" style="9" customWidth="1"/>
    <col min="2292" max="2292" width="10.7109375" customWidth="1"/>
    <col min="2293" max="2293" width="11.7109375" style="9" customWidth="1"/>
    <col min="2294" max="2294" width="10.7109375" customWidth="1"/>
    <col min="2295" max="2295" width="11.7109375" style="9" customWidth="1"/>
    <col min="2296" max="2296" width="10.7109375" customWidth="1"/>
    <col min="2297" max="2297" width="11.7109375" style="9" customWidth="1"/>
    <col min="2298" max="2298" width="10.7109375" customWidth="1"/>
    <col min="2299" max="2299" width="11.7109375" style="9" customWidth="1"/>
    <col min="2300" max="2300" width="10.7109375" customWidth="1"/>
    <col min="2301" max="2301" width="11.7109375" style="9" customWidth="1"/>
    <col min="2302" max="2302" width="10.7109375" customWidth="1"/>
    <col min="2303" max="2303" width="11.7109375" style="9" customWidth="1"/>
    <col min="2304" max="2304" width="10.7109375" customWidth="1"/>
    <col min="2305" max="2305" width="11.7109375" style="9" customWidth="1"/>
    <col min="2306" max="2306" width="10.7109375" customWidth="1"/>
    <col min="2307" max="2307" width="11.7109375" style="9" customWidth="1"/>
    <col min="2308" max="2308" width="10.7109375" customWidth="1"/>
    <col min="2309" max="2309" width="11.7109375" style="9" customWidth="1"/>
    <col min="2310" max="2310" width="10.7109375" customWidth="1"/>
    <col min="2311" max="2311" width="11.7109375" style="9" customWidth="1"/>
    <col min="2312" max="2312" width="10.7109375" customWidth="1"/>
    <col min="2313" max="2313" width="11.7109375" style="9" customWidth="1"/>
    <col min="2314" max="2314" width="10.7109375" customWidth="1"/>
    <col min="2315" max="2315" width="11.7109375" style="9" customWidth="1"/>
    <col min="2316" max="2316" width="10.7109375" customWidth="1"/>
    <col min="2317" max="2317" width="11.7109375" style="9" customWidth="1"/>
    <col min="2318" max="2318" width="10.7109375" customWidth="1"/>
    <col min="2319" max="2319" width="11.7109375" style="9" customWidth="1"/>
    <col min="2320" max="2320" width="10.7109375" customWidth="1"/>
    <col min="2321" max="2321" width="11.7109375" style="9" customWidth="1"/>
    <col min="2322" max="2322" width="10.7109375" customWidth="1"/>
    <col min="2323" max="2323" width="11.7109375" style="9" customWidth="1"/>
    <col min="2324" max="2324" width="10.7109375" customWidth="1"/>
    <col min="2325" max="2325" width="11.7109375" style="9" customWidth="1"/>
    <col min="2326" max="2326" width="10.7109375" customWidth="1"/>
    <col min="2327" max="2327" width="11.7109375" style="9" customWidth="1"/>
    <col min="2328" max="2328" width="10.7109375" customWidth="1"/>
    <col min="2329" max="2329" width="11.7109375" style="9" customWidth="1"/>
    <col min="2330" max="2330" width="10.7109375" customWidth="1"/>
    <col min="2331" max="2331" width="11.7109375" style="9" customWidth="1"/>
    <col min="2332" max="2332" width="10.7109375" customWidth="1"/>
    <col min="2333" max="2333" width="11.7109375" style="9" customWidth="1"/>
    <col min="2334" max="2334" width="10.7109375" customWidth="1"/>
    <col min="2335" max="2335" width="11.7109375" style="9" customWidth="1"/>
    <col min="2336" max="2336" width="10.7109375" customWidth="1"/>
    <col min="2337" max="2337" width="11.7109375" style="9" customWidth="1"/>
    <col min="2338" max="2338" width="10.7109375" customWidth="1"/>
    <col min="2339" max="2339" width="11.7109375" style="9" customWidth="1"/>
    <col min="2340" max="2340" width="10.7109375" customWidth="1"/>
    <col min="2341" max="2341" width="11.7109375" style="9" customWidth="1"/>
    <col min="2342" max="2342" width="10.7109375" customWidth="1"/>
    <col min="2343" max="2343" width="11.7109375" style="9" customWidth="1"/>
    <col min="2344" max="2344" width="10.7109375" customWidth="1"/>
    <col min="2345" max="2345" width="11.7109375" style="9" customWidth="1"/>
    <col min="2346" max="2346" width="10.7109375" customWidth="1"/>
    <col min="2347" max="2347" width="11.7109375" style="9" customWidth="1"/>
    <col min="2348" max="2348" width="10.7109375" customWidth="1"/>
    <col min="2349" max="2349" width="11.7109375" style="9" customWidth="1"/>
    <col min="2350" max="2350" width="10.7109375" customWidth="1"/>
    <col min="2351" max="2351" width="11.7109375" style="9" customWidth="1"/>
    <col min="2352" max="2352" width="10.7109375" customWidth="1"/>
    <col min="2353" max="2353" width="11.7109375" style="9" customWidth="1"/>
    <col min="2354" max="2354" width="10.7109375" customWidth="1"/>
    <col min="2355" max="2355" width="11.7109375" style="9" customWidth="1"/>
    <col min="2356" max="2356" width="10.7109375" customWidth="1"/>
    <col min="2357" max="2357" width="11.7109375" style="9" customWidth="1"/>
    <col min="2358" max="2358" width="10.7109375" customWidth="1"/>
    <col min="2359" max="2359" width="11.7109375" style="9" customWidth="1"/>
    <col min="2360" max="2360" width="10.7109375" customWidth="1"/>
    <col min="2361" max="2361" width="11.7109375" style="9" customWidth="1"/>
    <col min="2362" max="2362" width="10.7109375" customWidth="1"/>
    <col min="2363" max="2363" width="11.7109375" style="9" customWidth="1"/>
    <col min="2364" max="2364" width="10.7109375" customWidth="1"/>
    <col min="2365" max="2365" width="11.7109375" style="9" customWidth="1"/>
    <col min="2366" max="2366" width="10.7109375" customWidth="1"/>
    <col min="2367" max="2367" width="11.7109375" style="9" customWidth="1"/>
    <col min="2368" max="2368" width="10.7109375" customWidth="1"/>
    <col min="2369" max="2369" width="11.7109375" style="9" customWidth="1"/>
    <col min="2370" max="2370" width="10.7109375" customWidth="1"/>
    <col min="2371" max="2371" width="11.7109375" style="9" customWidth="1"/>
    <col min="2372" max="2372" width="10.7109375" customWidth="1"/>
    <col min="2373" max="2373" width="11.7109375" style="9" customWidth="1"/>
    <col min="2374" max="2374" width="10.7109375" customWidth="1"/>
    <col min="2375" max="2375" width="11.7109375" style="9" customWidth="1"/>
    <col min="2376" max="2376" width="10.7109375" customWidth="1"/>
    <col min="2377" max="2377" width="11.7109375" style="9" customWidth="1"/>
    <col min="2378" max="2378" width="10.7109375" customWidth="1"/>
    <col min="2379" max="2379" width="11.7109375" style="9" customWidth="1"/>
    <col min="2380" max="2380" width="10.7109375" customWidth="1"/>
    <col min="2381" max="2381" width="11.7109375" style="9" customWidth="1"/>
    <col min="2382" max="2382" width="10.7109375" customWidth="1"/>
    <col min="2383" max="2383" width="11.7109375" style="9" customWidth="1"/>
    <col min="2384" max="2384" width="10.7109375" customWidth="1"/>
    <col min="2385" max="2385" width="11.7109375" style="9" customWidth="1"/>
    <col min="2386" max="2386" width="10.7109375" customWidth="1"/>
    <col min="2387" max="2387" width="11.7109375" style="9" customWidth="1"/>
    <col min="2388" max="2388" width="10.7109375" customWidth="1"/>
    <col min="2389" max="2389" width="11.7109375" style="9" customWidth="1"/>
    <col min="2390" max="2390" width="10.7109375" customWidth="1"/>
    <col min="2391" max="2391" width="11.7109375" style="9" customWidth="1"/>
    <col min="2392" max="2392" width="10.7109375" customWidth="1"/>
    <col min="2393" max="2393" width="11.7109375" style="9" customWidth="1"/>
    <col min="2394" max="2394" width="10.7109375" customWidth="1"/>
    <col min="2395" max="2395" width="11.7109375" style="9" customWidth="1"/>
    <col min="2396" max="2396" width="10.7109375" customWidth="1"/>
    <col min="2397" max="2397" width="11.7109375" style="9" customWidth="1"/>
    <col min="2398" max="2398" width="10.7109375" customWidth="1"/>
    <col min="2399" max="2399" width="11.7109375" style="9" customWidth="1"/>
    <col min="2400" max="2400" width="10.7109375" customWidth="1"/>
    <col min="2401" max="2401" width="11.7109375" style="9" customWidth="1"/>
    <col min="2402" max="2402" width="10.7109375" customWidth="1"/>
    <col min="2403" max="2403" width="11.7109375" style="9" customWidth="1"/>
    <col min="2404" max="2404" width="10.7109375" customWidth="1"/>
    <col min="2405" max="2405" width="11.7109375" style="9" customWidth="1"/>
    <col min="2406" max="2406" width="10.7109375" customWidth="1"/>
    <col min="2407" max="2407" width="11.7109375" style="9" customWidth="1"/>
    <col min="2408" max="2408" width="10.7109375" customWidth="1"/>
    <col min="2409" max="2409" width="11.7109375" style="9" customWidth="1"/>
    <col min="2410" max="2410" width="10.7109375" customWidth="1"/>
    <col min="2411" max="2411" width="11.7109375" style="9" customWidth="1"/>
    <col min="2412" max="2412" width="10.7109375" customWidth="1"/>
    <col min="2413" max="2413" width="11.7109375" style="9" customWidth="1"/>
    <col min="2414" max="2414" width="10.7109375" customWidth="1"/>
    <col min="2415" max="2415" width="11.7109375" style="9" customWidth="1"/>
    <col min="2416" max="2416" width="10.7109375" customWidth="1"/>
    <col min="2417" max="2417" width="11.7109375" style="9" customWidth="1"/>
    <col min="2418" max="2418" width="10.7109375" customWidth="1"/>
    <col min="2419" max="2419" width="11.7109375" style="9" customWidth="1"/>
    <col min="2420" max="2420" width="10.7109375" customWidth="1"/>
    <col min="2421" max="2421" width="11.7109375" style="9" customWidth="1"/>
    <col min="2422" max="2422" width="10.7109375" customWidth="1"/>
    <col min="2423" max="2423" width="11.7109375" style="9" customWidth="1"/>
    <col min="2424" max="2424" width="10.7109375" customWidth="1"/>
    <col min="2425" max="2425" width="11.7109375" style="9" customWidth="1"/>
    <col min="2426" max="2426" width="10.7109375" customWidth="1"/>
    <col min="2427" max="2427" width="11.7109375" style="9" customWidth="1"/>
    <col min="2428" max="2428" width="10.7109375" customWidth="1"/>
    <col min="2429" max="2429" width="11.7109375" style="9" customWidth="1"/>
    <col min="2430" max="2430" width="10.7109375" customWidth="1"/>
    <col min="2431" max="2431" width="11.7109375" style="9" customWidth="1"/>
    <col min="2432" max="2432" width="10.7109375" customWidth="1"/>
    <col min="2433" max="2433" width="11.7109375" style="9" customWidth="1"/>
    <col min="2434" max="2434" width="10.7109375" customWidth="1"/>
    <col min="2435" max="2435" width="11.7109375" style="9" customWidth="1"/>
    <col min="2436" max="2436" width="10.7109375" customWidth="1"/>
    <col min="2437" max="2437" width="11.7109375" style="9" customWidth="1"/>
    <col min="2438" max="2438" width="10.7109375" customWidth="1"/>
    <col min="2439" max="2439" width="11.7109375" style="9" customWidth="1"/>
    <col min="2440" max="2440" width="10.7109375" customWidth="1"/>
    <col min="2441" max="2441" width="11.7109375" style="9" customWidth="1"/>
    <col min="2442" max="2442" width="10.7109375" customWidth="1"/>
    <col min="2443" max="2443" width="11.7109375" style="9" customWidth="1"/>
    <col min="2444" max="2444" width="10.7109375" customWidth="1"/>
    <col min="2445" max="2445" width="11.7109375" style="9" customWidth="1"/>
    <col min="2446" max="2446" width="10.7109375" customWidth="1"/>
    <col min="2447" max="2447" width="11.7109375" style="9" customWidth="1"/>
    <col min="2448" max="2448" width="10.7109375" customWidth="1"/>
    <col min="2449" max="2449" width="11.7109375" style="9" customWidth="1"/>
    <col min="2450" max="2450" width="10.7109375" customWidth="1"/>
    <col min="2451" max="2451" width="11.7109375" style="9" customWidth="1"/>
    <col min="2452" max="2452" width="10.7109375" customWidth="1"/>
    <col min="2453" max="2453" width="11.7109375" style="9" customWidth="1"/>
    <col min="2454" max="2454" width="10.7109375" customWidth="1"/>
    <col min="2455" max="2455" width="11.7109375" style="9" customWidth="1"/>
    <col min="2456" max="2456" width="10.7109375" customWidth="1"/>
    <col min="2457" max="2457" width="11.7109375" style="9" customWidth="1"/>
    <col min="2458" max="2458" width="10.7109375" customWidth="1"/>
    <col min="2459" max="2459" width="11.7109375" style="9" customWidth="1"/>
    <col min="2460" max="2460" width="10.7109375" customWidth="1"/>
    <col min="2461" max="2461" width="11.7109375" style="9" customWidth="1"/>
    <col min="2462" max="2462" width="10.7109375" customWidth="1"/>
    <col min="2463" max="2463" width="11.7109375" style="9" customWidth="1"/>
    <col min="2464" max="2464" width="10.7109375" customWidth="1"/>
    <col min="2465" max="2465" width="11.7109375" style="9" customWidth="1"/>
    <col min="2466" max="2466" width="10.7109375" customWidth="1"/>
    <col min="2467" max="2467" width="11.7109375" style="9" customWidth="1"/>
    <col min="2468" max="2468" width="10.7109375" customWidth="1"/>
    <col min="2469" max="2469" width="11.7109375" style="9" customWidth="1"/>
    <col min="2470" max="2470" width="10.7109375" customWidth="1"/>
    <col min="2471" max="2471" width="11.7109375" style="9" customWidth="1"/>
    <col min="2472" max="2472" width="10.7109375" customWidth="1"/>
    <col min="2473" max="2473" width="11.7109375" style="9" customWidth="1"/>
    <col min="2474" max="2474" width="10.7109375" customWidth="1"/>
    <col min="2475" max="2475" width="11.7109375" style="9" customWidth="1"/>
    <col min="2476" max="2476" width="10.7109375" customWidth="1"/>
    <col min="2477" max="2477" width="11.7109375" style="9" customWidth="1"/>
    <col min="2478" max="2478" width="10.7109375" customWidth="1"/>
    <col min="2479" max="2479" width="11.7109375" style="9" customWidth="1"/>
    <col min="2480" max="2480" width="10.7109375" customWidth="1"/>
    <col min="2481" max="2481" width="11.7109375" style="9" customWidth="1"/>
    <col min="2482" max="2482" width="10.7109375" customWidth="1"/>
    <col min="2483" max="2483" width="11.7109375" style="9" customWidth="1"/>
    <col min="2484" max="2484" width="10.7109375" customWidth="1"/>
    <col min="2485" max="2485" width="11.7109375" style="9" customWidth="1"/>
    <col min="2486" max="2486" width="10.7109375" customWidth="1"/>
    <col min="2487" max="2487" width="11.7109375" style="9" customWidth="1"/>
    <col min="2488" max="2488" width="10.7109375" customWidth="1"/>
    <col min="2489" max="2489" width="11.7109375" style="9" customWidth="1"/>
    <col min="2490" max="2490" width="10.7109375" customWidth="1"/>
    <col min="2491" max="2491" width="11.7109375" style="9" customWidth="1"/>
    <col min="2492" max="2492" width="10.7109375" customWidth="1"/>
    <col min="2493" max="2493" width="11.7109375" style="9" customWidth="1"/>
    <col min="2494" max="2494" width="10.7109375" customWidth="1"/>
    <col min="2495" max="2495" width="11.7109375" style="9" customWidth="1"/>
    <col min="2496" max="2496" width="10.7109375" customWidth="1"/>
    <col min="2497" max="2497" width="11.7109375" style="9" customWidth="1"/>
    <col min="2498" max="2498" width="10.7109375" customWidth="1"/>
    <col min="2499" max="2499" width="11.7109375" style="9" customWidth="1"/>
    <col min="2500" max="2500" width="10.7109375" customWidth="1"/>
    <col min="2501" max="2501" width="11.7109375" style="9" customWidth="1"/>
    <col min="2502" max="2502" width="10.7109375" customWidth="1"/>
    <col min="2503" max="2503" width="11.7109375" style="9" customWidth="1"/>
    <col min="2504" max="2504" width="10.7109375" customWidth="1"/>
    <col min="2505" max="2505" width="11.7109375" style="9" customWidth="1"/>
    <col min="2506" max="2506" width="10.7109375" customWidth="1"/>
    <col min="2507" max="2507" width="11.7109375" style="9" customWidth="1"/>
    <col min="2508" max="2508" width="10.7109375" customWidth="1"/>
    <col min="2509" max="2509" width="11.7109375" style="9" customWidth="1"/>
    <col min="2510" max="2510" width="10.7109375" customWidth="1"/>
    <col min="2511" max="2511" width="11.7109375" style="9" customWidth="1"/>
    <col min="2512" max="2512" width="10.7109375" customWidth="1"/>
    <col min="2513" max="2513" width="11.7109375" style="9" customWidth="1"/>
    <col min="2514" max="2514" width="10.7109375" customWidth="1"/>
    <col min="2515" max="2515" width="11.7109375" style="9" customWidth="1"/>
    <col min="2516" max="2516" width="10.7109375" customWidth="1"/>
    <col min="2517" max="2517" width="11.7109375" style="9" customWidth="1"/>
    <col min="2518" max="2518" width="10.7109375" customWidth="1"/>
    <col min="2519" max="2519" width="11.7109375" style="9" customWidth="1"/>
    <col min="2520" max="2520" width="10.7109375" customWidth="1"/>
    <col min="2521" max="2521" width="11.7109375" style="9" customWidth="1"/>
    <col min="2522" max="2522" width="10.7109375" customWidth="1"/>
    <col min="2523" max="2523" width="11.7109375" style="9" customWidth="1"/>
    <col min="2524" max="2524" width="10.7109375" customWidth="1"/>
    <col min="2525" max="2525" width="11.7109375" style="9" customWidth="1"/>
    <col min="2526" max="2526" width="10.7109375" customWidth="1"/>
    <col min="2527" max="2527" width="11.7109375" style="9" customWidth="1"/>
    <col min="2528" max="2528" width="10.7109375" customWidth="1"/>
    <col min="2529" max="2529" width="11.7109375" style="9" customWidth="1"/>
    <col min="2530" max="2530" width="10.7109375" customWidth="1"/>
    <col min="2531" max="2531" width="11.7109375" style="9" customWidth="1"/>
    <col min="2532" max="2532" width="10.7109375" customWidth="1"/>
    <col min="2533" max="2533" width="11.7109375" style="9" customWidth="1"/>
    <col min="2534" max="2534" width="10.7109375" customWidth="1"/>
    <col min="2535" max="2535" width="11.7109375" style="9" customWidth="1"/>
    <col min="2536" max="2536" width="10.7109375" customWidth="1"/>
    <col min="2537" max="2537" width="11.7109375" style="9" customWidth="1"/>
    <col min="2538" max="2538" width="10.7109375" customWidth="1"/>
    <col min="2539" max="2539" width="11.7109375" style="9" customWidth="1"/>
    <col min="2540" max="2540" width="10.7109375" customWidth="1"/>
    <col min="2541" max="2541" width="11.7109375" style="9" customWidth="1"/>
    <col min="2542" max="2542" width="10.7109375" customWidth="1"/>
    <col min="2543" max="2543" width="11.7109375" style="9" customWidth="1"/>
    <col min="2544" max="2544" width="10.7109375" customWidth="1"/>
    <col min="2545" max="2545" width="11.7109375" style="9" customWidth="1"/>
    <col min="2546" max="2546" width="10.7109375" customWidth="1"/>
    <col min="2547" max="2547" width="11.7109375" style="9" customWidth="1"/>
    <col min="2548" max="2548" width="10.7109375" customWidth="1"/>
    <col min="2549" max="2549" width="11.7109375" style="9" customWidth="1"/>
    <col min="2550" max="2550" width="10.7109375" customWidth="1"/>
    <col min="2551" max="2551" width="11.7109375" style="9" customWidth="1"/>
    <col min="2552" max="2552" width="10.7109375" customWidth="1"/>
    <col min="2553" max="2553" width="11.7109375" style="9" customWidth="1"/>
    <col min="2554" max="2554" width="10.7109375" customWidth="1"/>
    <col min="2555" max="2555" width="11.7109375" style="9" customWidth="1"/>
    <col min="2556" max="2556" width="10.7109375" customWidth="1"/>
    <col min="2557" max="2557" width="11.7109375" style="9" customWidth="1"/>
    <col min="2558" max="2558" width="10.7109375" customWidth="1"/>
    <col min="2559" max="2559" width="11.7109375" style="9" customWidth="1"/>
    <col min="2560" max="2560" width="10.7109375" customWidth="1"/>
    <col min="2561" max="2561" width="11.7109375" style="9" customWidth="1"/>
    <col min="2562" max="2562" width="10.7109375" customWidth="1"/>
    <col min="2563" max="2563" width="11.7109375" style="9" customWidth="1"/>
    <col min="2564" max="2564" width="10.7109375" customWidth="1"/>
    <col min="2565" max="2565" width="11.7109375" style="9" customWidth="1"/>
    <col min="2566" max="2566" width="10.7109375" customWidth="1"/>
    <col min="2567" max="2567" width="11.7109375" style="9" customWidth="1"/>
    <col min="2568" max="2568" width="10.7109375" customWidth="1"/>
    <col min="2569" max="2569" width="11.7109375" style="9" customWidth="1"/>
    <col min="2570" max="2570" width="10.7109375" customWidth="1"/>
    <col min="2571" max="2571" width="11.7109375" style="9" customWidth="1"/>
    <col min="2572" max="2572" width="10.7109375" customWidth="1"/>
    <col min="2573" max="2573" width="11.7109375" style="9" customWidth="1"/>
    <col min="2574" max="2574" width="10.7109375" customWidth="1"/>
    <col min="2575" max="2575" width="11.7109375" style="9" customWidth="1"/>
    <col min="2576" max="2576" width="10.7109375" customWidth="1"/>
    <col min="2577" max="2577" width="11.7109375" style="9" customWidth="1"/>
    <col min="2578" max="2578" width="10.7109375" customWidth="1"/>
    <col min="2579" max="2579" width="11.7109375" style="9" customWidth="1"/>
    <col min="2580" max="2580" width="10.7109375" customWidth="1"/>
    <col min="2581" max="2581" width="11.7109375" style="9" customWidth="1"/>
    <col min="2582" max="2582" width="10.7109375" customWidth="1"/>
    <col min="2583" max="2583" width="11.7109375" style="9" customWidth="1"/>
    <col min="2584" max="2584" width="10.7109375" customWidth="1"/>
    <col min="2585" max="2585" width="11.7109375" style="9" customWidth="1"/>
    <col min="2586" max="2586" width="10.7109375" customWidth="1"/>
    <col min="2587" max="2587" width="11.7109375" style="9" customWidth="1"/>
    <col min="2588" max="2588" width="10.7109375" customWidth="1"/>
    <col min="2589" max="2589" width="11.7109375" style="9" customWidth="1"/>
    <col min="2590" max="2590" width="10.7109375" customWidth="1"/>
    <col min="2591" max="2591" width="11.7109375" style="9" customWidth="1"/>
    <col min="2592" max="2592" width="10.7109375" customWidth="1"/>
    <col min="2593" max="2593" width="11.7109375" style="9" customWidth="1"/>
    <col min="2594" max="2594" width="10.7109375" customWidth="1"/>
    <col min="2595" max="2595" width="11.7109375" style="9" customWidth="1"/>
    <col min="2596" max="2596" width="10.7109375" customWidth="1"/>
    <col min="2597" max="2597" width="11.7109375" style="9" customWidth="1"/>
    <col min="2598" max="2598" width="10.7109375" customWidth="1"/>
    <col min="2599" max="2599" width="11.7109375" style="9" customWidth="1"/>
    <col min="2600" max="2600" width="10.7109375" customWidth="1"/>
    <col min="2601" max="2601" width="11.7109375" style="9" customWidth="1"/>
    <col min="2602" max="2602" width="10.7109375" customWidth="1"/>
    <col min="2603" max="2603" width="11.7109375" style="9" customWidth="1"/>
    <col min="2604" max="2604" width="10.7109375" customWidth="1"/>
    <col min="2605" max="2605" width="11.7109375" style="9" customWidth="1"/>
    <col min="2606" max="2606" width="10.7109375" customWidth="1"/>
    <col min="2607" max="2607" width="11.7109375" style="9" customWidth="1"/>
    <col min="2608" max="2608" width="10.7109375" customWidth="1"/>
    <col min="2609" max="2609" width="11.7109375" style="9" customWidth="1"/>
    <col min="2610" max="2610" width="10.7109375" customWidth="1"/>
    <col min="2611" max="2611" width="11.7109375" style="9" customWidth="1"/>
    <col min="2612" max="2612" width="10.7109375" customWidth="1"/>
    <col min="2613" max="2613" width="11.7109375" style="9" customWidth="1"/>
    <col min="2614" max="2614" width="10.7109375" customWidth="1"/>
    <col min="2615" max="2615" width="11.7109375" style="9" customWidth="1"/>
    <col min="2616" max="2616" width="10.7109375" customWidth="1"/>
    <col min="2617" max="2617" width="11.7109375" style="9" customWidth="1"/>
    <col min="2618" max="2618" width="10.7109375" customWidth="1"/>
    <col min="2619" max="2619" width="11.7109375" style="9" customWidth="1"/>
    <col min="2620" max="2620" width="10.7109375" customWidth="1"/>
    <col min="2621" max="2621" width="11.7109375" style="9" customWidth="1"/>
    <col min="2622" max="2622" width="10.7109375" customWidth="1"/>
    <col min="2623" max="2623" width="11.7109375" style="9" customWidth="1"/>
    <col min="2624" max="2624" width="10.7109375" customWidth="1"/>
    <col min="2625" max="2625" width="11.7109375" style="9" customWidth="1"/>
    <col min="2626" max="2626" width="10.7109375" customWidth="1"/>
    <col min="2627" max="2627" width="11.7109375" style="9" customWidth="1"/>
    <col min="2628" max="2628" width="10.7109375" customWidth="1"/>
    <col min="2629" max="2629" width="11.7109375" style="9" customWidth="1"/>
    <col min="2630" max="2630" width="10.7109375" customWidth="1"/>
    <col min="2631" max="2631" width="11.7109375" style="9" customWidth="1"/>
    <col min="2632" max="2632" width="10.7109375" customWidth="1"/>
    <col min="2633" max="2633" width="11.7109375" style="9" customWidth="1"/>
    <col min="2634" max="2634" width="10.7109375" customWidth="1"/>
    <col min="2635" max="2635" width="11.7109375" style="9" customWidth="1"/>
    <col min="2636" max="2636" width="10.7109375" customWidth="1"/>
    <col min="2637" max="2637" width="11.7109375" style="9" customWidth="1"/>
    <col min="2638" max="2638" width="10.7109375" customWidth="1"/>
    <col min="2639" max="2639" width="11.7109375" style="9" customWidth="1"/>
    <col min="2640" max="2640" width="10.7109375" customWidth="1"/>
    <col min="2641" max="2641" width="11.7109375" style="9" customWidth="1"/>
    <col min="2642" max="2642" width="10.7109375" customWidth="1"/>
    <col min="2643" max="2643" width="11.7109375" style="9" customWidth="1"/>
    <col min="2644" max="2644" width="10.7109375" customWidth="1"/>
    <col min="2645" max="2645" width="11.7109375" style="9" customWidth="1"/>
    <col min="2646" max="2646" width="10.7109375" customWidth="1"/>
    <col min="2647" max="2647" width="11.7109375" style="9" customWidth="1"/>
    <col min="2648" max="2648" width="10.7109375" customWidth="1"/>
    <col min="2649" max="2649" width="11.7109375" style="9" customWidth="1"/>
    <col min="2650" max="2650" width="10.7109375" customWidth="1"/>
    <col min="2651" max="2651" width="11.7109375" style="9" customWidth="1"/>
    <col min="2652" max="2652" width="10.7109375" customWidth="1"/>
    <col min="2653" max="2653" width="11.7109375" style="9" customWidth="1"/>
    <col min="2654" max="2654" width="10.7109375" customWidth="1"/>
    <col min="2655" max="2655" width="11.7109375" style="9" customWidth="1"/>
    <col min="2656" max="2656" width="10.7109375" customWidth="1"/>
    <col min="2657" max="2657" width="11.7109375" style="9" customWidth="1"/>
    <col min="2658" max="2658" width="10.7109375" customWidth="1"/>
    <col min="2659" max="2659" width="11.7109375" style="9" customWidth="1"/>
    <col min="2660" max="2660" width="10.7109375" customWidth="1"/>
    <col min="2661" max="2661" width="11.7109375" style="9" customWidth="1"/>
    <col min="2662" max="2662" width="10.7109375" customWidth="1"/>
    <col min="2663" max="2663" width="11.7109375" style="9" customWidth="1"/>
    <col min="2664" max="2664" width="10.7109375" customWidth="1"/>
    <col min="2665" max="2665" width="11.7109375" style="9" customWidth="1"/>
    <col min="2666" max="2666" width="10.7109375" customWidth="1"/>
    <col min="2667" max="2667" width="11.7109375" style="9" customWidth="1"/>
    <col min="2668" max="2668" width="10.7109375" customWidth="1"/>
    <col min="2669" max="2669" width="11.7109375" style="9" customWidth="1"/>
    <col min="2670" max="2670" width="10.7109375" customWidth="1"/>
    <col min="2671" max="2671" width="11.7109375" style="9" customWidth="1"/>
    <col min="2672" max="2672" width="10.7109375" customWidth="1"/>
    <col min="2673" max="2673" width="11.7109375" style="9" customWidth="1"/>
    <col min="2674" max="2674" width="10.7109375" customWidth="1"/>
    <col min="2675" max="2675" width="11.7109375" style="9" customWidth="1"/>
    <col min="2676" max="2676" width="10.7109375" customWidth="1"/>
    <col min="2677" max="2677" width="11.7109375" style="9" customWidth="1"/>
    <col min="2678" max="2678" width="10.7109375" customWidth="1"/>
    <col min="2679" max="2679" width="11.7109375" style="9" customWidth="1"/>
    <col min="2680" max="2680" width="10.7109375" customWidth="1"/>
    <col min="2681" max="2681" width="11.7109375" style="9" customWidth="1"/>
    <col min="2682" max="2682" width="10.7109375" customWidth="1"/>
    <col min="2683" max="2683" width="11.7109375" style="9" customWidth="1"/>
    <col min="2684" max="2684" width="10.7109375" customWidth="1"/>
    <col min="2685" max="2685" width="11.7109375" style="9" customWidth="1"/>
    <col min="2686" max="2686" width="10.7109375" customWidth="1"/>
    <col min="2687" max="2687" width="11.7109375" style="9" customWidth="1"/>
    <col min="2688" max="2688" width="10.7109375" customWidth="1"/>
    <col min="2689" max="2689" width="11.7109375" style="9" customWidth="1"/>
    <col min="2690" max="2690" width="10.7109375" customWidth="1"/>
    <col min="2691" max="2691" width="11.7109375" style="9" customWidth="1"/>
    <col min="2692" max="2692" width="10.7109375" customWidth="1"/>
    <col min="2693" max="2693" width="11.7109375" style="9" customWidth="1"/>
    <col min="2694" max="2694" width="10.7109375" customWidth="1"/>
    <col min="2695" max="2695" width="11.7109375" style="9" customWidth="1"/>
    <col min="2696" max="2696" width="10.7109375" customWidth="1"/>
    <col min="2697" max="2697" width="11.7109375" style="9" customWidth="1"/>
    <col min="2698" max="2698" width="10.7109375" customWidth="1"/>
    <col min="2699" max="2699" width="11.7109375" style="9" customWidth="1"/>
    <col min="2700" max="2700" width="10.7109375" customWidth="1"/>
    <col min="2701" max="2701" width="11.7109375" style="9" customWidth="1"/>
    <col min="2702" max="2702" width="10.7109375" customWidth="1"/>
    <col min="2703" max="2703" width="11.7109375" style="9" customWidth="1"/>
    <col min="2704" max="2704" width="10.7109375" customWidth="1"/>
    <col min="2705" max="2705" width="11.7109375" style="9" customWidth="1"/>
    <col min="2706" max="2706" width="10.7109375" customWidth="1"/>
    <col min="2707" max="2707" width="11.7109375" style="9" customWidth="1"/>
    <col min="2708" max="2708" width="10.7109375" customWidth="1"/>
    <col min="2709" max="2709" width="11.7109375" style="9" customWidth="1"/>
    <col min="2710" max="2710" width="10.7109375" customWidth="1"/>
    <col min="2711" max="2711" width="11.7109375" style="9" customWidth="1"/>
    <col min="2712" max="2712" width="10.7109375" customWidth="1"/>
    <col min="2713" max="2713" width="11.7109375" style="9" customWidth="1"/>
    <col min="2714" max="2714" width="10.7109375" customWidth="1"/>
    <col min="2715" max="2715" width="11.7109375" style="9" customWidth="1"/>
    <col min="2716" max="2716" width="10.7109375" customWidth="1"/>
    <col min="2717" max="2717" width="11.7109375" style="9" customWidth="1"/>
    <col min="2718" max="2718" width="10.7109375" customWidth="1"/>
    <col min="2719" max="2719" width="11.7109375" style="9" customWidth="1"/>
    <col min="2720" max="2720" width="10.7109375" customWidth="1"/>
    <col min="2721" max="2721" width="11.7109375" style="9" customWidth="1"/>
    <col min="2722" max="2722" width="10.7109375" customWidth="1"/>
    <col min="2723" max="2723" width="11.7109375" style="9" customWidth="1"/>
    <col min="2724" max="2724" width="10.7109375" customWidth="1"/>
    <col min="2725" max="2725" width="11.7109375" style="9" customWidth="1"/>
    <col min="2726" max="2726" width="10.7109375" customWidth="1"/>
    <col min="2727" max="2727" width="11.7109375" style="9" customWidth="1"/>
    <col min="2728" max="2728" width="10.7109375" customWidth="1"/>
    <col min="2729" max="2729" width="11.7109375" style="9" customWidth="1"/>
    <col min="2730" max="2730" width="10.7109375" customWidth="1"/>
    <col min="2731" max="2731" width="11.7109375" style="9" customWidth="1"/>
    <col min="2732" max="2732" width="10.7109375" customWidth="1"/>
    <col min="2733" max="2733" width="11.7109375" style="9" customWidth="1"/>
    <col min="2734" max="2734" width="10.7109375" customWidth="1"/>
    <col min="2735" max="2735" width="11.7109375" style="9" customWidth="1"/>
    <col min="2736" max="2736" width="10.7109375" customWidth="1"/>
    <col min="2737" max="2737" width="11.7109375" style="9" customWidth="1"/>
    <col min="2738" max="2738" width="10.7109375" customWidth="1"/>
    <col min="2739" max="2739" width="11.7109375" style="9" customWidth="1"/>
    <col min="2740" max="2740" width="10.7109375" customWidth="1"/>
    <col min="2741" max="2741" width="11.7109375" style="9" customWidth="1"/>
    <col min="2742" max="2742" width="10.7109375" customWidth="1"/>
    <col min="2743" max="2743" width="11.7109375" style="9" customWidth="1"/>
    <col min="2744" max="2744" width="10.7109375" customWidth="1"/>
    <col min="2745" max="2745" width="11.7109375" style="9" customWidth="1"/>
    <col min="2746" max="2746" width="10.7109375" customWidth="1"/>
    <col min="2747" max="2747" width="11.7109375" style="9" customWidth="1"/>
    <col min="2748" max="2748" width="10.7109375" customWidth="1"/>
    <col min="2749" max="2749" width="11.7109375" style="9" customWidth="1"/>
    <col min="2750" max="2750" width="10.7109375" customWidth="1"/>
    <col min="2751" max="2751" width="11.7109375" style="9" customWidth="1"/>
    <col min="2752" max="2752" width="10.7109375" customWidth="1"/>
    <col min="2753" max="2753" width="11.7109375" style="9" customWidth="1"/>
    <col min="2754" max="2754" width="10.7109375" customWidth="1"/>
    <col min="2755" max="2755" width="11.7109375" style="9" customWidth="1"/>
    <col min="2756" max="2756" width="10.7109375" customWidth="1"/>
    <col min="2757" max="2757" width="11.7109375" style="9" customWidth="1"/>
    <col min="2758" max="2758" width="10.7109375" customWidth="1"/>
    <col min="2759" max="2759" width="11.7109375" style="9" customWidth="1"/>
    <col min="2760" max="2760" width="10.7109375" customWidth="1"/>
    <col min="2761" max="2761" width="11.7109375" style="9" customWidth="1"/>
    <col min="2762" max="2762" width="10.7109375" customWidth="1"/>
    <col min="2763" max="2763" width="11.7109375" style="9" customWidth="1"/>
    <col min="2764" max="2764" width="10.7109375" customWidth="1"/>
    <col min="2765" max="2765" width="11.7109375" style="9" customWidth="1"/>
    <col min="2766" max="2766" width="10.7109375" customWidth="1"/>
    <col min="2767" max="2767" width="11.7109375" style="9" customWidth="1"/>
    <col min="2768" max="2768" width="10.7109375" customWidth="1"/>
    <col min="2769" max="2769" width="11.7109375" style="9" customWidth="1"/>
    <col min="2770" max="2770" width="10.7109375" customWidth="1"/>
    <col min="2771" max="2771" width="11.7109375" style="9" customWidth="1"/>
    <col min="2772" max="2772" width="10.7109375" customWidth="1"/>
    <col min="2773" max="2773" width="11.7109375" style="9" customWidth="1"/>
    <col min="2774" max="2774" width="10.7109375" customWidth="1"/>
    <col min="2775" max="2775" width="11.7109375" style="9" customWidth="1"/>
    <col min="2776" max="2776" width="10.7109375" customWidth="1"/>
    <col min="2777" max="2777" width="11.7109375" style="9" customWidth="1"/>
    <col min="2778" max="2778" width="10.7109375" customWidth="1"/>
    <col min="2779" max="2779" width="11.7109375" style="9" customWidth="1"/>
    <col min="2780" max="2780" width="10.7109375" customWidth="1"/>
    <col min="2781" max="2781" width="11.7109375" style="9" customWidth="1"/>
    <col min="2782" max="2782" width="10.7109375" customWidth="1"/>
    <col min="2783" max="2783" width="11.7109375" style="9" customWidth="1"/>
    <col min="2784" max="2784" width="10.7109375" customWidth="1"/>
    <col min="2785" max="2785" width="11.7109375" style="9" customWidth="1"/>
    <col min="2786" max="2786" width="10.7109375" customWidth="1"/>
    <col min="2787" max="2787" width="11.7109375" style="9" customWidth="1"/>
    <col min="2788" max="2788" width="10.7109375" customWidth="1"/>
    <col min="2789" max="2789" width="11.7109375" style="9" customWidth="1"/>
    <col min="2790" max="2790" width="10.7109375" customWidth="1"/>
    <col min="2791" max="2791" width="11.7109375" style="9" customWidth="1"/>
    <col min="2792" max="2792" width="10.7109375" customWidth="1"/>
    <col min="2793" max="2793" width="11.7109375" style="9" customWidth="1"/>
    <col min="2794" max="2794" width="10.7109375" customWidth="1"/>
    <col min="2795" max="2795" width="11.7109375" style="9" customWidth="1"/>
    <col min="2796" max="2796" width="10.7109375" customWidth="1"/>
    <col min="2797" max="2797" width="11.7109375" style="9" customWidth="1"/>
    <col min="2798" max="2798" width="10.7109375" customWidth="1"/>
    <col min="2799" max="2799" width="11.7109375" style="9" customWidth="1"/>
    <col min="2800" max="2800" width="10.7109375" customWidth="1"/>
    <col min="2801" max="2801" width="11.7109375" style="9" customWidth="1"/>
    <col min="2802" max="2802" width="10.7109375" customWidth="1"/>
    <col min="2803" max="2803" width="11.7109375" style="9" customWidth="1"/>
    <col min="2804" max="2804" width="10.7109375" customWidth="1"/>
    <col min="2805" max="2805" width="11.7109375" style="9" customWidth="1"/>
    <col min="2806" max="2806" width="10.7109375" customWidth="1"/>
    <col min="2807" max="2807" width="11.7109375" style="9" customWidth="1"/>
    <col min="2808" max="2808" width="10.7109375" customWidth="1"/>
    <col min="2809" max="2809" width="11.7109375" style="9" customWidth="1"/>
    <col min="2810" max="2810" width="10.7109375" customWidth="1"/>
    <col min="2811" max="2811" width="11.7109375" style="9" customWidth="1"/>
    <col min="2812" max="2812" width="10.7109375" customWidth="1"/>
    <col min="2813" max="2813" width="11.7109375" style="9" customWidth="1"/>
    <col min="2814" max="2814" width="10.7109375" customWidth="1"/>
    <col min="2815" max="2815" width="11.7109375" style="9" customWidth="1"/>
    <col min="2816" max="2816" width="10.7109375" customWidth="1"/>
    <col min="2817" max="2817" width="11.7109375" style="9" customWidth="1"/>
    <col min="2818" max="2818" width="10.7109375" customWidth="1"/>
    <col min="2819" max="2819" width="11.7109375" style="9" customWidth="1"/>
    <col min="2820" max="2820" width="10.7109375" customWidth="1"/>
    <col min="2821" max="2821" width="11.7109375" style="9" customWidth="1"/>
    <col min="2822" max="2822" width="10.7109375" customWidth="1"/>
    <col min="2823" max="2823" width="11.7109375" style="9" customWidth="1"/>
    <col min="2824" max="2824" width="10.7109375" customWidth="1"/>
    <col min="2825" max="2825" width="11.7109375" style="9" customWidth="1"/>
    <col min="2826" max="2826" width="10.7109375" customWidth="1"/>
    <col min="2827" max="2827" width="11.7109375" style="9" customWidth="1"/>
    <col min="2828" max="2828" width="10.7109375" customWidth="1"/>
    <col min="2829" max="2829" width="11.7109375" style="9" customWidth="1"/>
    <col min="2830" max="2830" width="10.7109375" customWidth="1"/>
    <col min="2831" max="2831" width="11.7109375" style="9" customWidth="1"/>
    <col min="2832" max="2832" width="10.7109375" customWidth="1"/>
    <col min="2833" max="2833" width="11.7109375" style="9" customWidth="1"/>
    <col min="2834" max="2834" width="10.7109375" customWidth="1"/>
    <col min="2835" max="2835" width="11.7109375" style="9" customWidth="1"/>
    <col min="2836" max="2836" width="10.7109375" customWidth="1"/>
    <col min="2837" max="2837" width="11.7109375" style="9" customWidth="1"/>
    <col min="2838" max="2838" width="10.7109375" customWidth="1"/>
    <col min="2839" max="2839" width="11.7109375" style="9" customWidth="1"/>
    <col min="2840" max="2840" width="10.7109375" customWidth="1"/>
    <col min="2841" max="2841" width="11.7109375" style="9" customWidth="1"/>
    <col min="2842" max="2842" width="10.7109375" customWidth="1"/>
    <col min="2843" max="2843" width="11.7109375" style="9" customWidth="1"/>
    <col min="2844" max="2844" width="10.7109375" customWidth="1"/>
    <col min="2845" max="2845" width="11.7109375" style="9" customWidth="1"/>
    <col min="2846" max="2846" width="10.7109375" customWidth="1"/>
    <col min="2847" max="2847" width="11.7109375" style="9" customWidth="1"/>
    <col min="2848" max="2848" width="10.7109375" customWidth="1"/>
    <col min="2849" max="2849" width="11.7109375" style="9" customWidth="1"/>
    <col min="2850" max="2850" width="10.7109375" customWidth="1"/>
    <col min="2851" max="2851" width="11.7109375" style="9" customWidth="1"/>
    <col min="2852" max="2852" width="10.7109375" customWidth="1"/>
    <col min="2853" max="2853" width="11.7109375" style="9" customWidth="1"/>
    <col min="2854" max="2854" width="10.7109375" customWidth="1"/>
    <col min="2855" max="2855" width="11.7109375" style="9" customWidth="1"/>
    <col min="2856" max="2856" width="10.7109375" customWidth="1"/>
    <col min="2857" max="2857" width="11.7109375" style="9" customWidth="1"/>
    <col min="2858" max="2858" width="10.7109375" customWidth="1"/>
    <col min="2859" max="2859" width="11.7109375" style="9" customWidth="1"/>
    <col min="2860" max="2860" width="10.7109375" customWidth="1"/>
    <col min="2861" max="2861" width="11.7109375" style="9" customWidth="1"/>
    <col min="2862" max="2862" width="10.7109375" customWidth="1"/>
    <col min="2863" max="2863" width="11.7109375" style="9" customWidth="1"/>
    <col min="2864" max="2864" width="10.7109375" customWidth="1"/>
    <col min="2865" max="2865" width="11.7109375" style="9" customWidth="1"/>
    <col min="2866" max="2866" width="10.7109375" customWidth="1"/>
    <col min="2867" max="2867" width="11.7109375" style="9" customWidth="1"/>
    <col min="2868" max="2868" width="10.7109375" customWidth="1"/>
    <col min="2869" max="2869" width="11.7109375" style="9" customWidth="1"/>
    <col min="2870" max="2870" width="10.7109375" customWidth="1"/>
    <col min="2871" max="2871" width="11.7109375" style="9" customWidth="1"/>
    <col min="2872" max="2872" width="10.7109375" customWidth="1"/>
    <col min="2873" max="2873" width="11.7109375" style="9" customWidth="1"/>
    <col min="2874" max="2874" width="10.7109375" customWidth="1"/>
    <col min="2875" max="2875" width="11.7109375" style="9" customWidth="1"/>
    <col min="2876" max="2876" width="10.7109375" customWidth="1"/>
    <col min="2877" max="2877" width="11.7109375" style="9" customWidth="1"/>
    <col min="2878" max="2878" width="10.7109375" customWidth="1"/>
    <col min="2879" max="2879" width="11.7109375" style="9" customWidth="1"/>
    <col min="2880" max="2880" width="10.7109375" customWidth="1"/>
    <col min="2881" max="2881" width="11.7109375" style="9" customWidth="1"/>
    <col min="2882" max="2882" width="10.7109375" customWidth="1"/>
    <col min="2883" max="2883" width="11.7109375" style="9" customWidth="1"/>
    <col min="2884" max="2884" width="10.7109375" customWidth="1"/>
    <col min="2885" max="2885" width="11.7109375" style="9" customWidth="1"/>
    <col min="2886" max="2886" width="10.7109375" customWidth="1"/>
    <col min="2887" max="2887" width="11.7109375" style="9" customWidth="1"/>
    <col min="2888" max="2888" width="10.7109375" customWidth="1"/>
    <col min="2889" max="2889" width="11.7109375" style="9" customWidth="1"/>
    <col min="2890" max="2890" width="10.7109375" customWidth="1"/>
    <col min="2891" max="2891" width="11.7109375" style="9" customWidth="1"/>
    <col min="2892" max="2892" width="10.7109375" customWidth="1"/>
    <col min="2893" max="2893" width="11.7109375" style="9" customWidth="1"/>
    <col min="2894" max="2894" width="10.7109375" customWidth="1"/>
    <col min="2895" max="2895" width="11.7109375" style="9" customWidth="1"/>
    <col min="2896" max="2896" width="10.7109375" customWidth="1"/>
    <col min="2897" max="2897" width="11.7109375" style="9" customWidth="1"/>
    <col min="2898" max="2898" width="10.7109375" customWidth="1"/>
    <col min="2899" max="2899" width="11.7109375" style="9" customWidth="1"/>
    <col min="2900" max="2900" width="10.7109375" customWidth="1"/>
    <col min="2901" max="2901" width="11.7109375" style="9" customWidth="1"/>
    <col min="2902" max="2902" width="10.7109375" customWidth="1"/>
    <col min="2903" max="2903" width="11.7109375" style="9" customWidth="1"/>
    <col min="2904" max="2904" width="10.7109375" customWidth="1"/>
    <col min="2905" max="2905" width="11.7109375" style="9" customWidth="1"/>
    <col min="2906" max="2906" width="10.7109375" customWidth="1"/>
    <col min="2907" max="2907" width="11.7109375" style="9" customWidth="1"/>
    <col min="2908" max="2908" width="10.7109375" customWidth="1"/>
    <col min="2909" max="2909" width="11.7109375" style="9" customWidth="1"/>
    <col min="2910" max="2910" width="10.7109375" customWidth="1"/>
    <col min="2911" max="2911" width="11.7109375" style="9" customWidth="1"/>
    <col min="2912" max="2912" width="10.7109375" customWidth="1"/>
    <col min="2913" max="2913" width="11.7109375" style="9" customWidth="1"/>
    <col min="2914" max="2914" width="10.7109375" customWidth="1"/>
    <col min="2915" max="2915" width="11.7109375" style="9" customWidth="1"/>
    <col min="2916" max="2916" width="10.7109375" customWidth="1"/>
    <col min="2917" max="2917" width="11.7109375" style="9" customWidth="1"/>
    <col min="2918" max="2918" width="10.7109375" customWidth="1"/>
    <col min="2919" max="2919" width="11.7109375" style="9" customWidth="1"/>
    <col min="2920" max="2920" width="10.7109375" customWidth="1"/>
    <col min="2921" max="2921" width="11.7109375" style="9" customWidth="1"/>
    <col min="2922" max="2922" width="10.7109375" customWidth="1"/>
    <col min="2923" max="2923" width="11.7109375" style="9" customWidth="1"/>
    <col min="2924" max="2924" width="10.7109375" customWidth="1"/>
    <col min="2925" max="2925" width="11.7109375" style="9" customWidth="1"/>
    <col min="2926" max="2926" width="10.7109375" customWidth="1"/>
    <col min="2927" max="2927" width="11.7109375" style="9" customWidth="1"/>
    <col min="2928" max="2928" width="10.7109375" customWidth="1"/>
    <col min="2929" max="2929" width="11.7109375" style="9" customWidth="1"/>
    <col min="2930" max="2930" width="10.7109375" customWidth="1"/>
    <col min="2931" max="2931" width="11.7109375" style="9" customWidth="1"/>
    <col min="2932" max="2932" width="10.7109375" customWidth="1"/>
    <col min="2933" max="2933" width="11.7109375" style="9" customWidth="1"/>
    <col min="2934" max="2934" width="10.7109375" customWidth="1"/>
    <col min="2935" max="2935" width="11.7109375" style="9" customWidth="1"/>
    <col min="2936" max="2936" width="10.7109375" customWidth="1"/>
    <col min="2937" max="2937" width="11.7109375" style="9" customWidth="1"/>
    <col min="2938" max="2938" width="10.7109375" customWidth="1"/>
    <col min="2939" max="2939" width="11.7109375" style="9" customWidth="1"/>
    <col min="2940" max="2940" width="10.7109375" customWidth="1"/>
    <col min="2941" max="2941" width="11.7109375" style="9" customWidth="1"/>
    <col min="2942" max="2942" width="10.7109375" customWidth="1"/>
    <col min="2943" max="2943" width="11.7109375" style="9" customWidth="1"/>
    <col min="2944" max="2944" width="10.7109375" customWidth="1"/>
    <col min="2945" max="2945" width="11.7109375" style="9" customWidth="1"/>
    <col min="2946" max="2946" width="10.7109375" customWidth="1"/>
    <col min="2947" max="2947" width="11.7109375" style="9" customWidth="1"/>
    <col min="2948" max="2948" width="10.7109375" customWidth="1"/>
    <col min="2949" max="2949" width="11.7109375" style="9" customWidth="1"/>
    <col min="2950" max="2950" width="10.7109375" customWidth="1"/>
    <col min="2951" max="2951" width="11.7109375" style="9" customWidth="1"/>
    <col min="2952" max="2952" width="10.7109375" customWidth="1"/>
    <col min="2953" max="2953" width="11.7109375" style="9" customWidth="1"/>
    <col min="2954" max="2954" width="10.7109375" customWidth="1"/>
    <col min="2955" max="2955" width="11.7109375" style="9" customWidth="1"/>
    <col min="2956" max="2956" width="10.7109375" customWidth="1"/>
    <col min="2957" max="2957" width="11.7109375" style="9" customWidth="1"/>
    <col min="2958" max="2958" width="10.7109375" customWidth="1"/>
    <col min="2959" max="2959" width="11.7109375" style="9" customWidth="1"/>
    <col min="2960" max="2960" width="10.7109375" customWidth="1"/>
    <col min="2961" max="2961" width="11.7109375" style="9" customWidth="1"/>
    <col min="2962" max="2962" width="10.7109375" customWidth="1"/>
    <col min="2963" max="2963" width="11.7109375" style="9" customWidth="1"/>
    <col min="2964" max="2964" width="10.7109375" customWidth="1"/>
    <col min="2965" max="2965" width="11.7109375" style="9" customWidth="1"/>
    <col min="2966" max="2966" width="10.7109375" customWidth="1"/>
    <col min="2967" max="2967" width="11.7109375" style="9" customWidth="1"/>
    <col min="2968" max="2968" width="10.7109375" customWidth="1"/>
    <col min="2969" max="2969" width="11.7109375" style="9" customWidth="1"/>
    <col min="2970" max="2970" width="10.7109375" customWidth="1"/>
    <col min="2971" max="2971" width="11.7109375" style="9" customWidth="1"/>
    <col min="2972" max="2972" width="10.7109375" customWidth="1"/>
    <col min="2973" max="2973" width="11.7109375" style="9" customWidth="1"/>
    <col min="2974" max="2974" width="10.7109375" customWidth="1"/>
    <col min="2975" max="2975" width="11.7109375" style="9" customWidth="1"/>
    <col min="2976" max="2976" width="10.7109375" customWidth="1"/>
    <col min="2977" max="2977" width="11.7109375" style="9" customWidth="1"/>
    <col min="2978" max="2978" width="10.7109375" customWidth="1"/>
    <col min="2979" max="2979" width="11.7109375" style="9" customWidth="1"/>
    <col min="2980" max="2980" width="10.7109375" customWidth="1"/>
    <col min="2981" max="2981" width="11.7109375" style="9" customWidth="1"/>
    <col min="2982" max="2982" width="10.7109375" customWidth="1"/>
    <col min="2983" max="2983" width="11.7109375" style="9" customWidth="1"/>
    <col min="2984" max="2984" width="10.7109375" customWidth="1"/>
    <col min="2985" max="2985" width="11.7109375" style="9" customWidth="1"/>
    <col min="2986" max="2986" width="10.7109375" customWidth="1"/>
    <col min="2987" max="2987" width="11.7109375" style="9" customWidth="1"/>
    <col min="2988" max="2988" width="10.7109375" customWidth="1"/>
    <col min="2989" max="2989" width="11.7109375" style="9" customWidth="1"/>
    <col min="2990" max="2990" width="10.7109375" customWidth="1"/>
    <col min="2991" max="2991" width="11.7109375" style="9" customWidth="1"/>
    <col min="2992" max="2992" width="10.7109375" customWidth="1"/>
    <col min="2993" max="2993" width="11.7109375" style="9" customWidth="1"/>
    <col min="2994" max="2994" width="10.7109375" customWidth="1"/>
    <col min="2995" max="2995" width="11.7109375" style="9" customWidth="1"/>
    <col min="2996" max="2996" width="10.7109375" customWidth="1"/>
    <col min="2997" max="2997" width="11.7109375" style="9" customWidth="1"/>
    <col min="2998" max="2998" width="10.7109375" customWidth="1"/>
    <col min="2999" max="2999" width="11.7109375" style="9" customWidth="1"/>
    <col min="3000" max="3000" width="10.7109375" customWidth="1"/>
    <col min="3001" max="3001" width="11.7109375" style="9" customWidth="1"/>
    <col min="3002" max="3002" width="10.7109375" customWidth="1"/>
    <col min="3003" max="3003" width="11.7109375" style="9" customWidth="1"/>
    <col min="3004" max="3004" width="10.7109375" customWidth="1"/>
    <col min="3005" max="3005" width="11.7109375" style="9" customWidth="1"/>
    <col min="3006" max="3006" width="10.7109375" customWidth="1"/>
    <col min="3007" max="3007" width="11.7109375" style="9" customWidth="1"/>
    <col min="3008" max="3008" width="10.7109375" customWidth="1"/>
    <col min="3009" max="3009" width="11.7109375" style="9" customWidth="1"/>
    <col min="3010" max="3010" width="10.7109375" customWidth="1"/>
    <col min="3011" max="3011" width="11.7109375" style="9" customWidth="1"/>
    <col min="3012" max="3012" width="10.7109375" customWidth="1"/>
    <col min="3013" max="3013" width="11.7109375" style="9" customWidth="1"/>
    <col min="3014" max="3014" width="10.7109375" customWidth="1"/>
    <col min="3015" max="3015" width="11.7109375" style="9" customWidth="1"/>
    <col min="3016" max="3016" width="10.7109375" customWidth="1"/>
    <col min="3017" max="3017" width="11.7109375" style="9" customWidth="1"/>
    <col min="3018" max="3018" width="10.7109375" customWidth="1"/>
    <col min="3019" max="3019" width="11.7109375" style="9" customWidth="1"/>
    <col min="3020" max="3020" width="10.7109375" customWidth="1"/>
    <col min="3021" max="3021" width="11.7109375" style="9" customWidth="1"/>
    <col min="3022" max="3022" width="10.7109375" customWidth="1"/>
    <col min="3023" max="3023" width="11.7109375" style="9" customWidth="1"/>
    <col min="3024" max="3024" width="10.7109375" customWidth="1"/>
    <col min="3025" max="3025" width="11.7109375" style="9" customWidth="1"/>
    <col min="3026" max="3026" width="10.7109375" customWidth="1"/>
    <col min="3027" max="3027" width="11.7109375" style="9" customWidth="1"/>
    <col min="3028" max="3028" width="10.7109375" customWidth="1"/>
    <col min="3029" max="3029" width="11.7109375" style="9" customWidth="1"/>
    <col min="3030" max="3030" width="10.7109375" customWidth="1"/>
    <col min="3031" max="3031" width="11.7109375" style="9" customWidth="1"/>
    <col min="3032" max="3032" width="10.7109375" customWidth="1"/>
    <col min="3033" max="3033" width="11.7109375" style="9" customWidth="1"/>
    <col min="3034" max="3034" width="10.7109375" customWidth="1"/>
    <col min="3035" max="3035" width="11.7109375" style="9" customWidth="1"/>
    <col min="3036" max="3036" width="10.7109375" customWidth="1"/>
    <col min="3037" max="3037" width="11.7109375" style="9" customWidth="1"/>
    <col min="3038" max="3038" width="10.7109375" customWidth="1"/>
    <col min="3039" max="3039" width="11.7109375" style="9" customWidth="1"/>
    <col min="3040" max="3040" width="10.7109375" customWidth="1"/>
    <col min="3041" max="3041" width="11.7109375" style="9" customWidth="1"/>
    <col min="3042" max="3042" width="10.7109375" customWidth="1"/>
    <col min="3043" max="3043" width="11.7109375" style="9" customWidth="1"/>
    <col min="3044" max="3044" width="10.7109375" customWidth="1"/>
    <col min="3045" max="3045" width="11.7109375" style="9" customWidth="1"/>
    <col min="3046" max="3046" width="10.7109375" customWidth="1"/>
    <col min="3047" max="3047" width="11.7109375" style="9" customWidth="1"/>
    <col min="3048" max="3048" width="10.7109375" customWidth="1"/>
    <col min="3049" max="3049" width="11.7109375" style="9" customWidth="1"/>
    <col min="3050" max="3050" width="10.7109375" customWidth="1"/>
    <col min="3051" max="3051" width="11.7109375" style="9" customWidth="1"/>
    <col min="3052" max="3052" width="10.7109375" customWidth="1"/>
    <col min="3053" max="3053" width="11.7109375" style="9" customWidth="1"/>
    <col min="3054" max="3054" width="10.7109375" customWidth="1"/>
    <col min="3055" max="3055" width="11.7109375" style="9" customWidth="1"/>
    <col min="3056" max="3056" width="10.7109375" customWidth="1"/>
    <col min="3057" max="3057" width="11.7109375" style="9" customWidth="1"/>
    <col min="3058" max="3058" width="10.7109375" customWidth="1"/>
    <col min="3059" max="3059" width="11.7109375" style="9" customWidth="1"/>
    <col min="3060" max="3060" width="10.7109375" customWidth="1"/>
    <col min="3061" max="3061" width="11.7109375" style="9" customWidth="1"/>
    <col min="3062" max="3062" width="10.7109375" customWidth="1"/>
    <col min="3063" max="3063" width="11.7109375" style="9" customWidth="1"/>
    <col min="3064" max="3064" width="10.7109375" customWidth="1"/>
    <col min="3065" max="3065" width="11.7109375" style="9" customWidth="1"/>
    <col min="3066" max="3066" width="10.7109375" customWidth="1"/>
    <col min="3067" max="3067" width="11.7109375" style="9" customWidth="1"/>
    <col min="3068" max="3068" width="10.7109375" customWidth="1"/>
    <col min="3069" max="3069" width="11.7109375" style="9" customWidth="1"/>
    <col min="3070" max="3070" width="10.7109375" customWidth="1"/>
    <col min="3071" max="3071" width="11.7109375" style="9" customWidth="1"/>
    <col min="3072" max="3072" width="10.7109375" customWidth="1"/>
    <col min="3073" max="3073" width="11.7109375" style="9" customWidth="1"/>
    <col min="3074" max="3074" width="10.7109375" customWidth="1"/>
    <col min="3075" max="3075" width="11.7109375" style="9" customWidth="1"/>
    <col min="3076" max="3076" width="10.7109375" customWidth="1"/>
    <col min="3077" max="3077" width="11.7109375" style="9" customWidth="1"/>
    <col min="3078" max="3078" width="10.7109375" customWidth="1"/>
    <col min="3079" max="3079" width="11.7109375" style="9" customWidth="1"/>
    <col min="3080" max="3080" width="10.7109375" customWidth="1"/>
    <col min="3081" max="3081" width="11.7109375" style="9" customWidth="1"/>
    <col min="3082" max="3082" width="10.7109375" customWidth="1"/>
    <col min="3083" max="3083" width="11.7109375" style="9" customWidth="1"/>
    <col min="3084" max="3084" width="10.7109375" customWidth="1"/>
    <col min="3085" max="3085" width="11.7109375" style="9" customWidth="1"/>
    <col min="3086" max="3086" width="10.7109375" customWidth="1"/>
    <col min="3087" max="3087" width="11.7109375" style="9" customWidth="1"/>
    <col min="3088" max="3088" width="10.7109375" customWidth="1"/>
    <col min="3089" max="3089" width="11.7109375" style="9" customWidth="1"/>
    <col min="3090" max="3090" width="10.7109375" customWidth="1"/>
    <col min="3091" max="3091" width="11.7109375" style="9" customWidth="1"/>
    <col min="3092" max="3092" width="10.7109375" customWidth="1"/>
    <col min="3093" max="3093" width="11.7109375" style="9" customWidth="1"/>
    <col min="3094" max="3094" width="10.7109375" customWidth="1"/>
    <col min="3095" max="3095" width="11.7109375" style="9" customWidth="1"/>
    <col min="3096" max="3096" width="10.7109375" customWidth="1"/>
    <col min="3097" max="3097" width="11.7109375" style="9" customWidth="1"/>
    <col min="3098" max="3098" width="10.7109375" customWidth="1"/>
    <col min="3099" max="3099" width="11.7109375" style="9" customWidth="1"/>
    <col min="3100" max="3100" width="10.7109375" customWidth="1"/>
    <col min="3101" max="3101" width="11.7109375" style="9" customWidth="1"/>
    <col min="3102" max="3102" width="10.7109375" customWidth="1"/>
    <col min="3103" max="3103" width="11.7109375" style="9" customWidth="1"/>
    <col min="3104" max="3104" width="10.7109375" customWidth="1"/>
    <col min="3105" max="3105" width="11.7109375" style="9" customWidth="1"/>
    <col min="3106" max="3106" width="10.7109375" customWidth="1"/>
    <col min="3107" max="3107" width="11.7109375" style="9" customWidth="1"/>
    <col min="3108" max="3108" width="10.7109375" customWidth="1"/>
    <col min="3109" max="3109" width="11.7109375" style="9" customWidth="1"/>
    <col min="3110" max="3110" width="10.7109375" customWidth="1"/>
    <col min="3111" max="3111" width="11.7109375" style="9" customWidth="1"/>
    <col min="3112" max="3112" width="10.7109375" customWidth="1"/>
    <col min="3113" max="3113" width="11.7109375" style="9" customWidth="1"/>
    <col min="3114" max="3114" width="10.7109375" customWidth="1"/>
    <col min="3115" max="3115" width="11.7109375" style="9" customWidth="1"/>
    <col min="3116" max="3116" width="10.7109375" customWidth="1"/>
    <col min="3117" max="3117" width="11.7109375" style="9" customWidth="1"/>
    <col min="3118" max="3118" width="10.7109375" customWidth="1"/>
    <col min="3119" max="3119" width="11.7109375" style="9" customWidth="1"/>
    <col min="3120" max="3120" width="10.7109375" customWidth="1"/>
    <col min="3121" max="3121" width="11.7109375" style="9" customWidth="1"/>
    <col min="3122" max="3122" width="10.7109375" customWidth="1"/>
    <col min="3123" max="3123" width="11.7109375" style="9" customWidth="1"/>
    <col min="3124" max="3124" width="10.7109375" customWidth="1"/>
    <col min="3125" max="3125" width="11.7109375" style="9" customWidth="1"/>
    <col min="3126" max="3126" width="10.7109375" customWidth="1"/>
    <col min="3127" max="3127" width="11.7109375" style="9" customWidth="1"/>
    <col min="3128" max="3128" width="10.7109375" customWidth="1"/>
    <col min="3129" max="3129" width="11.7109375" style="9" customWidth="1"/>
    <col min="3130" max="3130" width="10.7109375" customWidth="1"/>
    <col min="3131" max="3131" width="11.7109375" style="9" customWidth="1"/>
    <col min="3132" max="3132" width="10.7109375" customWidth="1"/>
    <col min="3133" max="3133" width="11.7109375" style="9" customWidth="1"/>
    <col min="3134" max="3134" width="10.7109375" customWidth="1"/>
    <col min="3135" max="3135" width="11.7109375" style="9" customWidth="1"/>
    <col min="3136" max="3136" width="10.7109375" customWidth="1"/>
    <col min="3137" max="3137" width="11.7109375" style="9" customWidth="1"/>
    <col min="3138" max="3138" width="10.7109375" customWidth="1"/>
    <col min="3139" max="3139" width="11.7109375" style="9" customWidth="1"/>
    <col min="3140" max="3140" width="10.7109375" customWidth="1"/>
    <col min="3141" max="3141" width="11.7109375" style="9" customWidth="1"/>
    <col min="3142" max="3142" width="10.7109375" customWidth="1"/>
    <col min="3143" max="3143" width="11.7109375" style="9" customWidth="1"/>
    <col min="3144" max="3144" width="10.7109375" customWidth="1"/>
    <col min="3145" max="3145" width="11.7109375" style="9" customWidth="1"/>
    <col min="3146" max="3146" width="10.7109375" customWidth="1"/>
    <col min="3147" max="3147" width="11.7109375" style="9" customWidth="1"/>
    <col min="3148" max="3148" width="10.7109375" customWidth="1"/>
    <col min="3149" max="3149" width="11.7109375" style="9" customWidth="1"/>
    <col min="3150" max="3150" width="10.7109375" customWidth="1"/>
    <col min="3151" max="3151" width="11.7109375" style="9" customWidth="1"/>
    <col min="3152" max="3152" width="10.7109375" customWidth="1"/>
    <col min="3153" max="3153" width="11.7109375" style="9" customWidth="1"/>
    <col min="3154" max="3154" width="10.7109375" customWidth="1"/>
    <col min="3155" max="3155" width="11.7109375" style="9" customWidth="1"/>
    <col min="3156" max="3156" width="10.7109375" customWidth="1"/>
    <col min="3157" max="3157" width="11.7109375" style="9" customWidth="1"/>
    <col min="3158" max="3158" width="10.7109375" customWidth="1"/>
    <col min="3159" max="3159" width="11.7109375" style="9" customWidth="1"/>
    <col min="3160" max="3160" width="10.7109375" customWidth="1"/>
    <col min="3161" max="3161" width="11.7109375" style="9" customWidth="1"/>
    <col min="3162" max="3162" width="10.7109375" customWidth="1"/>
    <col min="3163" max="3163" width="11.7109375" style="9" customWidth="1"/>
    <col min="3164" max="3164" width="10.7109375" customWidth="1"/>
    <col min="3165" max="3165" width="11.7109375" style="9" customWidth="1"/>
    <col min="3166" max="3166" width="10.7109375" customWidth="1"/>
    <col min="3167" max="3167" width="11.7109375" style="9" customWidth="1"/>
    <col min="3168" max="3168" width="10.7109375" customWidth="1"/>
    <col min="3169" max="3169" width="11.7109375" style="9" customWidth="1"/>
    <col min="3170" max="3170" width="10.7109375" customWidth="1"/>
    <col min="3171" max="3171" width="11.7109375" style="9" customWidth="1"/>
    <col min="3172" max="3172" width="10.7109375" customWidth="1"/>
    <col min="3173" max="3173" width="11.7109375" style="9" customWidth="1"/>
    <col min="3174" max="3174" width="10.7109375" customWidth="1"/>
    <col min="3175" max="3175" width="11.7109375" style="9" customWidth="1"/>
    <col min="3176" max="3176" width="10.7109375" customWidth="1"/>
    <col min="3177" max="3177" width="11.7109375" style="9" customWidth="1"/>
    <col min="3178" max="3178" width="10.7109375" customWidth="1"/>
    <col min="3179" max="3179" width="11.7109375" style="9" customWidth="1"/>
    <col min="3180" max="3180" width="10.7109375" customWidth="1"/>
    <col min="3181" max="3181" width="11.7109375" style="9" customWidth="1"/>
    <col min="3182" max="3182" width="10.7109375" customWidth="1"/>
    <col min="3183" max="3183" width="11.7109375" style="9" customWidth="1"/>
    <col min="3184" max="3184" width="10.7109375" customWidth="1"/>
    <col min="3185" max="3185" width="11.7109375" style="9" customWidth="1"/>
    <col min="3186" max="3186" width="10.7109375" customWidth="1"/>
    <col min="3187" max="3187" width="11.7109375" style="9" customWidth="1"/>
    <col min="3188" max="3188" width="10.7109375" customWidth="1"/>
    <col min="3189" max="3189" width="11.7109375" style="9" customWidth="1"/>
    <col min="3190" max="3190" width="10.7109375" customWidth="1"/>
    <col min="3191" max="3191" width="11.7109375" style="9" customWidth="1"/>
    <col min="3192" max="3192" width="10.7109375" customWidth="1"/>
    <col min="3193" max="3193" width="11.7109375" style="9" customWidth="1"/>
    <col min="3194" max="3194" width="10.7109375" customWidth="1"/>
    <col min="3195" max="3195" width="11.7109375" style="9" customWidth="1"/>
    <col min="3196" max="3196" width="10.7109375" customWidth="1"/>
    <col min="3197" max="3197" width="11.7109375" style="9" customWidth="1"/>
    <col min="3198" max="3198" width="10.7109375" customWidth="1"/>
    <col min="3199" max="3199" width="11.7109375" style="9" customWidth="1"/>
    <col min="3200" max="3200" width="10.7109375" customWidth="1"/>
    <col min="3201" max="3201" width="11.7109375" style="9" customWidth="1"/>
    <col min="3202" max="3202" width="10.7109375" customWidth="1"/>
    <col min="3203" max="3203" width="11.7109375" style="9" customWidth="1"/>
    <col min="3204" max="3204" width="10.7109375" customWidth="1"/>
    <col min="3205" max="3205" width="11.7109375" style="9" customWidth="1"/>
    <col min="3206" max="3206" width="10.7109375" customWidth="1"/>
    <col min="3207" max="3207" width="11.7109375" style="9" customWidth="1"/>
    <col min="3208" max="3208" width="10.7109375" customWidth="1"/>
    <col min="3209" max="3209" width="11.7109375" style="9" customWidth="1"/>
    <col min="3210" max="3210" width="10.7109375" customWidth="1"/>
    <col min="3211" max="3211" width="11.7109375" style="9" customWidth="1"/>
    <col min="3212" max="3212" width="10.7109375" customWidth="1"/>
    <col min="3213" max="3213" width="11.7109375" style="9" customWidth="1"/>
    <col min="3214" max="3214" width="10.7109375" customWidth="1"/>
    <col min="3215" max="3215" width="11.7109375" style="9" customWidth="1"/>
    <col min="3216" max="3216" width="10.7109375" customWidth="1"/>
    <col min="3217" max="3217" width="11.7109375" style="9" customWidth="1"/>
    <col min="3218" max="3218" width="10.7109375" customWidth="1"/>
    <col min="3219" max="3219" width="11.7109375" style="9" customWidth="1"/>
    <col min="3220" max="3220" width="10.7109375" customWidth="1"/>
    <col min="3221" max="3221" width="11.7109375" style="9" customWidth="1"/>
    <col min="3222" max="3222" width="10.7109375" customWidth="1"/>
    <col min="3223" max="3223" width="11.7109375" style="9" customWidth="1"/>
    <col min="3224" max="3224" width="10.7109375" customWidth="1"/>
    <col min="3225" max="3225" width="11.7109375" style="9" customWidth="1"/>
    <col min="3226" max="3226" width="10.7109375" customWidth="1"/>
    <col min="3227" max="3227" width="11.7109375" style="9" customWidth="1"/>
    <col min="3228" max="3228" width="10.7109375" customWidth="1"/>
    <col min="3229" max="3229" width="11.7109375" style="9" customWidth="1"/>
    <col min="3230" max="3230" width="10.7109375" customWidth="1"/>
    <col min="3231" max="3231" width="11.7109375" style="9" customWidth="1"/>
    <col min="3232" max="3232" width="10.7109375" customWidth="1"/>
    <col min="3233" max="3233" width="11.7109375" style="9" customWidth="1"/>
    <col min="3234" max="3234" width="10.7109375" customWidth="1"/>
    <col min="3235" max="3235" width="11.7109375" style="9" customWidth="1"/>
    <col min="3236" max="3236" width="10.7109375" customWidth="1"/>
    <col min="3237" max="3237" width="11.7109375" style="9" customWidth="1"/>
    <col min="3238" max="3238" width="10.7109375" customWidth="1"/>
    <col min="3239" max="3239" width="11.7109375" style="9" customWidth="1"/>
    <col min="3240" max="3240" width="10.7109375" customWidth="1"/>
    <col min="3241" max="3241" width="11.7109375" style="9" customWidth="1"/>
    <col min="3242" max="3242" width="10.7109375" customWidth="1"/>
    <col min="3243" max="3243" width="11.7109375" style="9" customWidth="1"/>
    <col min="3244" max="3244" width="10.7109375" customWidth="1"/>
    <col min="3245" max="3245" width="11.7109375" style="9" customWidth="1"/>
    <col min="3246" max="3246" width="10.7109375" customWidth="1"/>
    <col min="3247" max="3247" width="11.7109375" style="9" customWidth="1"/>
    <col min="3248" max="3248" width="10.7109375" customWidth="1"/>
    <col min="3249" max="3249" width="11.7109375" style="9" customWidth="1"/>
    <col min="3250" max="3250" width="10.7109375" customWidth="1"/>
    <col min="3251" max="3251" width="11.7109375" style="9" customWidth="1"/>
    <col min="3252" max="3252" width="10.7109375" customWidth="1"/>
    <col min="3253" max="3253" width="11.7109375" style="9" customWidth="1"/>
    <col min="3254" max="3254" width="10.7109375" customWidth="1"/>
    <col min="3255" max="3255" width="11.7109375" style="9" customWidth="1"/>
    <col min="3256" max="3256" width="10.7109375" customWidth="1"/>
    <col min="3257" max="3257" width="11.7109375" style="9" customWidth="1"/>
    <col min="3258" max="3258" width="10.7109375" customWidth="1"/>
    <col min="3259" max="3259" width="11.7109375" style="9" customWidth="1"/>
    <col min="3260" max="3260" width="10.7109375" customWidth="1"/>
    <col min="3261" max="3261" width="11.7109375" style="9" customWidth="1"/>
    <col min="3262" max="3262" width="10.7109375" customWidth="1"/>
    <col min="3263" max="3263" width="11.7109375" style="9" customWidth="1"/>
    <col min="3264" max="3264" width="10.7109375" customWidth="1"/>
    <col min="3265" max="3265" width="11.7109375" style="9" customWidth="1"/>
    <col min="3266" max="3266" width="10.7109375" customWidth="1"/>
    <col min="3267" max="3267" width="11.7109375" style="9" customWidth="1"/>
    <col min="3268" max="3268" width="10.7109375" customWidth="1"/>
    <col min="3269" max="3269" width="11.7109375" style="9" customWidth="1"/>
    <col min="3270" max="3270" width="10.7109375" customWidth="1"/>
    <col min="3271" max="3271" width="11.7109375" style="9" customWidth="1"/>
    <col min="3272" max="3272" width="10.7109375" customWidth="1"/>
    <col min="3273" max="3273" width="11.7109375" style="9" customWidth="1"/>
    <col min="3274" max="3274" width="10.7109375" customWidth="1"/>
    <col min="3275" max="3275" width="11.7109375" style="9" customWidth="1"/>
    <col min="3276" max="3276" width="10.7109375" customWidth="1"/>
    <col min="3277" max="3277" width="11.7109375" style="9" customWidth="1"/>
    <col min="3278" max="3278" width="10.7109375" customWidth="1"/>
    <col min="3279" max="3279" width="11.7109375" style="9" customWidth="1"/>
    <col min="3280" max="3280" width="10.7109375" customWidth="1"/>
    <col min="3281" max="3281" width="11.7109375" style="9" customWidth="1"/>
    <col min="3282" max="3282" width="10.7109375" customWidth="1"/>
    <col min="3283" max="3283" width="11.7109375" style="9" customWidth="1"/>
    <col min="3284" max="3284" width="10.7109375" customWidth="1"/>
    <col min="3285" max="3285" width="11.7109375" style="9" customWidth="1"/>
    <col min="3286" max="3286" width="10.7109375" customWidth="1"/>
    <col min="3287" max="3287" width="11.7109375" style="9" customWidth="1"/>
    <col min="3288" max="3288" width="10.7109375" customWidth="1"/>
    <col min="3289" max="3289" width="11.7109375" style="9" customWidth="1"/>
    <col min="3290" max="3290" width="10.7109375" customWidth="1"/>
    <col min="3291" max="3291" width="11.7109375" style="9" customWidth="1"/>
    <col min="3292" max="3292" width="10.7109375" customWidth="1"/>
    <col min="3293" max="3293" width="11.7109375" style="9" customWidth="1"/>
    <col min="3294" max="3294" width="10.7109375" customWidth="1"/>
    <col min="3295" max="3295" width="11.7109375" style="9" customWidth="1"/>
    <col min="3296" max="3296" width="10.7109375" customWidth="1"/>
    <col min="3297" max="3297" width="11.7109375" style="9" customWidth="1"/>
    <col min="3298" max="3298" width="10.7109375" customWidth="1"/>
    <col min="3299" max="3299" width="11.7109375" style="9" customWidth="1"/>
    <col min="3300" max="3300" width="10.7109375" customWidth="1"/>
    <col min="3301" max="3301" width="11.7109375" style="9" customWidth="1"/>
    <col min="3302" max="3302" width="10.7109375" customWidth="1"/>
    <col min="3303" max="3303" width="11.7109375" style="9" customWidth="1"/>
    <col min="3304" max="3304" width="10.7109375" customWidth="1"/>
    <col min="3305" max="3305" width="11.7109375" style="9" customWidth="1"/>
    <col min="3306" max="3306" width="10.7109375" customWidth="1"/>
    <col min="3307" max="3307" width="11.7109375" style="9" customWidth="1"/>
    <col min="3308" max="3308" width="10.7109375" customWidth="1"/>
    <col min="3309" max="3309" width="11.7109375" style="9" customWidth="1"/>
    <col min="3310" max="3310" width="10.7109375" customWidth="1"/>
    <col min="3311" max="3311" width="11.7109375" style="9" customWidth="1"/>
    <col min="3312" max="3312" width="10.7109375" customWidth="1"/>
    <col min="3313" max="3313" width="11.7109375" style="9" customWidth="1"/>
    <col min="3314" max="3314" width="10.7109375" customWidth="1"/>
    <col min="3315" max="3315" width="11.7109375" style="9" customWidth="1"/>
    <col min="3316" max="3316" width="10.7109375" customWidth="1"/>
    <col min="3317" max="3317" width="11.7109375" style="9" customWidth="1"/>
    <col min="3318" max="3318" width="10.7109375" customWidth="1"/>
    <col min="3319" max="3319" width="11.7109375" style="9" customWidth="1"/>
    <col min="3320" max="3320" width="10.7109375" customWidth="1"/>
    <col min="3321" max="3321" width="11.7109375" style="9" customWidth="1"/>
    <col min="3322" max="3322" width="10.7109375" customWidth="1"/>
    <col min="3323" max="3323" width="11.7109375" style="9" customWidth="1"/>
    <col min="3324" max="3324" width="10.7109375" customWidth="1"/>
    <col min="3325" max="3325" width="11.7109375" style="9" customWidth="1"/>
    <col min="3326" max="3326" width="10.7109375" customWidth="1"/>
    <col min="3327" max="3327" width="11.7109375" style="9" customWidth="1"/>
    <col min="3328" max="3328" width="10.7109375" customWidth="1"/>
    <col min="3329" max="3329" width="11.7109375" style="9" customWidth="1"/>
    <col min="3330" max="3330" width="10.7109375" customWidth="1"/>
    <col min="3331" max="3331" width="11.7109375" style="9" customWidth="1"/>
    <col min="3332" max="3332" width="10.7109375" customWidth="1"/>
    <col min="3333" max="3333" width="11.7109375" style="9" customWidth="1"/>
    <col min="3334" max="3334" width="10.7109375" customWidth="1"/>
    <col min="3335" max="3335" width="11.7109375" style="9" customWidth="1"/>
    <col min="3336" max="3336" width="10.7109375" customWidth="1"/>
    <col min="3337" max="3337" width="11.7109375" style="9" customWidth="1"/>
    <col min="3338" max="3338" width="10.7109375" customWidth="1"/>
    <col min="3339" max="3339" width="11.7109375" style="9" customWidth="1"/>
    <col min="3340" max="3340" width="10.7109375" customWidth="1"/>
    <col min="3341" max="3341" width="11.7109375" style="9" customWidth="1"/>
    <col min="3342" max="3342" width="10.7109375" customWidth="1"/>
    <col min="3343" max="3343" width="11.7109375" style="9" customWidth="1"/>
    <col min="3344" max="3344" width="10.7109375" customWidth="1"/>
    <col min="3345" max="3345" width="11.7109375" style="9" customWidth="1"/>
    <col min="3346" max="3346" width="10.7109375" customWidth="1"/>
    <col min="3347" max="3347" width="11.7109375" style="9" customWidth="1"/>
    <col min="3348" max="3348" width="10.7109375" customWidth="1"/>
    <col min="3349" max="3349" width="11.7109375" style="9" customWidth="1"/>
    <col min="3350" max="3350" width="10.7109375" customWidth="1"/>
    <col min="3351" max="3351" width="11.7109375" style="9" customWidth="1"/>
    <col min="3352" max="3352" width="10.7109375" customWidth="1"/>
    <col min="3353" max="3353" width="11.7109375" style="9" customWidth="1"/>
    <col min="3354" max="3354" width="10.7109375" customWidth="1"/>
    <col min="3355" max="3355" width="11.7109375" style="9" customWidth="1"/>
    <col min="3356" max="3356" width="10.7109375" customWidth="1"/>
    <col min="3357" max="3357" width="11.7109375" style="9" customWidth="1"/>
    <col min="3358" max="3358" width="10.7109375" customWidth="1"/>
    <col min="3359" max="3359" width="11.7109375" style="9" customWidth="1"/>
    <col min="3360" max="3360" width="10.7109375" customWidth="1"/>
    <col min="3361" max="3361" width="11.7109375" style="9" customWidth="1"/>
    <col min="3362" max="3362" width="10.7109375" customWidth="1"/>
    <col min="3363" max="3363" width="11.7109375" style="9" customWidth="1"/>
    <col min="3364" max="3364" width="10.7109375" customWidth="1"/>
    <col min="3365" max="3365" width="11.7109375" style="9" customWidth="1"/>
    <col min="3366" max="3366" width="10.7109375" customWidth="1"/>
    <col min="3367" max="3367" width="11.7109375" style="9" customWidth="1"/>
    <col min="3368" max="3368" width="10.7109375" customWidth="1"/>
    <col min="3369" max="3369" width="11.7109375" style="9" customWidth="1"/>
    <col min="3370" max="3370" width="10.7109375" customWidth="1"/>
    <col min="3371" max="3371" width="11.7109375" style="9" customWidth="1"/>
    <col min="3372" max="3372" width="10.7109375" customWidth="1"/>
    <col min="3373" max="3373" width="11.7109375" style="9" customWidth="1"/>
    <col min="3374" max="3374" width="10.7109375" customWidth="1"/>
    <col min="3375" max="3375" width="11.7109375" style="9" customWidth="1"/>
    <col min="3376" max="3376" width="10.7109375" customWidth="1"/>
    <col min="3377" max="3377" width="11.7109375" style="9" customWidth="1"/>
    <col min="3378" max="3378" width="10.7109375" customWidth="1"/>
    <col min="3379" max="3379" width="11.7109375" style="9" customWidth="1"/>
    <col min="3380" max="3380" width="10.7109375" customWidth="1"/>
    <col min="3381" max="3381" width="11.7109375" style="9" customWidth="1"/>
    <col min="3382" max="3382" width="10.7109375" customWidth="1"/>
    <col min="3383" max="3383" width="11.7109375" style="9" customWidth="1"/>
    <col min="3384" max="3384" width="10.7109375" customWidth="1"/>
    <col min="3385" max="3385" width="11.7109375" style="9" customWidth="1"/>
    <col min="3386" max="3386" width="10.7109375" customWidth="1"/>
    <col min="3387" max="3387" width="11.7109375" style="9" customWidth="1"/>
    <col min="3388" max="3388" width="10.7109375" customWidth="1"/>
    <col min="3389" max="3389" width="11.7109375" style="9" customWidth="1"/>
    <col min="3390" max="3390" width="10.7109375" customWidth="1"/>
    <col min="3391" max="3391" width="11.7109375" style="9" customWidth="1"/>
    <col min="3392" max="3392" width="10.7109375" customWidth="1"/>
    <col min="3393" max="3393" width="11.7109375" style="9" customWidth="1"/>
    <col min="3394" max="3394" width="10.7109375" customWidth="1"/>
    <col min="3395" max="3395" width="11.7109375" style="9" customWidth="1"/>
    <col min="3396" max="3396" width="10.7109375" customWidth="1"/>
    <col min="3397" max="3397" width="11.7109375" style="9" customWidth="1"/>
    <col min="3398" max="3398" width="10.7109375" customWidth="1"/>
    <col min="3399" max="3399" width="11.7109375" style="9" customWidth="1"/>
    <col min="3400" max="3400" width="10.7109375" customWidth="1"/>
    <col min="3401" max="3401" width="11.7109375" style="9" customWidth="1"/>
    <col min="3402" max="3402" width="10.7109375" customWidth="1"/>
    <col min="3403" max="3403" width="11.7109375" style="9" customWidth="1"/>
    <col min="3404" max="3404" width="10.7109375" customWidth="1"/>
    <col min="3405" max="3405" width="11.7109375" style="9" customWidth="1"/>
    <col min="3406" max="3406" width="10.7109375" customWidth="1"/>
    <col min="3407" max="3407" width="11.7109375" style="9" customWidth="1"/>
    <col min="3408" max="3408" width="10.7109375" customWidth="1"/>
    <col min="3409" max="3409" width="11.7109375" style="9" customWidth="1"/>
    <col min="3410" max="3410" width="10.7109375" customWidth="1"/>
    <col min="3411" max="3411" width="11.7109375" style="9" customWidth="1"/>
    <col min="3412" max="3412" width="10.7109375" customWidth="1"/>
    <col min="3413" max="3413" width="11.7109375" style="9" customWidth="1"/>
    <col min="3414" max="3414" width="10.7109375" customWidth="1"/>
    <col min="3415" max="3415" width="11.7109375" style="9" customWidth="1"/>
    <col min="3416" max="3416" width="10.7109375" customWidth="1"/>
    <col min="3417" max="3417" width="11.7109375" style="9" customWidth="1"/>
    <col min="3418" max="3418" width="10.7109375" customWidth="1"/>
    <col min="3419" max="3419" width="11.7109375" style="9" customWidth="1"/>
    <col min="3420" max="3420" width="10.7109375" customWidth="1"/>
    <col min="3421" max="3421" width="11.7109375" style="9" customWidth="1"/>
    <col min="3422" max="3422" width="10.7109375" customWidth="1"/>
    <col min="3423" max="3423" width="11.7109375" style="9" customWidth="1"/>
    <col min="3424" max="3424" width="10.7109375" customWidth="1"/>
    <col min="3425" max="3425" width="11.7109375" style="9" customWidth="1"/>
    <col min="3426" max="3426" width="10.7109375" customWidth="1"/>
    <col min="3427" max="3427" width="11.7109375" style="9" customWidth="1"/>
    <col min="3428" max="3428" width="10.7109375" customWidth="1"/>
    <col min="3429" max="3429" width="11.7109375" style="9" customWidth="1"/>
    <col min="3430" max="3430" width="10.7109375" customWidth="1"/>
    <col min="3431" max="3431" width="11.7109375" style="9" customWidth="1"/>
    <col min="3432" max="3432" width="10.7109375" customWidth="1"/>
    <col min="3433" max="3433" width="11.7109375" style="9" customWidth="1"/>
    <col min="3434" max="3434" width="10.7109375" customWidth="1"/>
    <col min="3435" max="3435" width="11.7109375" style="9" customWidth="1"/>
    <col min="3436" max="3436" width="10.7109375" customWidth="1"/>
    <col min="3437" max="3437" width="11.7109375" style="9" customWidth="1"/>
    <col min="3438" max="3438" width="10.7109375" customWidth="1"/>
    <col min="3439" max="3439" width="11.7109375" style="9" customWidth="1"/>
    <col min="3440" max="3440" width="10.7109375" customWidth="1"/>
    <col min="3441" max="3441" width="11.7109375" style="9" customWidth="1"/>
    <col min="3442" max="3442" width="10.7109375" customWidth="1"/>
    <col min="3443" max="3443" width="11.7109375" style="9" customWidth="1"/>
    <col min="3444" max="3444" width="10.7109375" customWidth="1"/>
    <col min="3445" max="3445" width="11.7109375" style="9" customWidth="1"/>
    <col min="3446" max="3446" width="10.7109375" customWidth="1"/>
    <col min="3447" max="3447" width="11.7109375" style="9" customWidth="1"/>
    <col min="3448" max="3448" width="10.7109375" customWidth="1"/>
    <col min="3449" max="3449" width="11.7109375" style="9" customWidth="1"/>
    <col min="3450" max="3450" width="10.7109375" customWidth="1"/>
    <col min="3451" max="3451" width="11.7109375" style="9" customWidth="1"/>
    <col min="3452" max="3452" width="10.7109375" customWidth="1"/>
    <col min="3453" max="3453" width="11.7109375" style="9" customWidth="1"/>
    <col min="3454" max="3454" width="10.7109375" customWidth="1"/>
    <col min="3455" max="3455" width="11.7109375" style="9" customWidth="1"/>
    <col min="3456" max="3456" width="10.7109375" customWidth="1"/>
    <col min="3457" max="3457" width="11.7109375" style="9" customWidth="1"/>
    <col min="3458" max="3458" width="10.7109375" customWidth="1"/>
    <col min="3459" max="3459" width="11.7109375" style="9" customWidth="1"/>
    <col min="3460" max="3460" width="10.7109375" customWidth="1"/>
    <col min="3461" max="3461" width="11.7109375" style="9" customWidth="1"/>
    <col min="3462" max="3462" width="10.7109375" customWidth="1"/>
    <col min="3463" max="3463" width="11.7109375" style="9" customWidth="1"/>
    <col min="3464" max="3464" width="10.7109375" customWidth="1"/>
    <col min="3465" max="3465" width="11.7109375" style="9" customWidth="1"/>
    <col min="3466" max="3466" width="10.7109375" customWidth="1"/>
    <col min="3467" max="3467" width="11.7109375" style="9" customWidth="1"/>
    <col min="3468" max="3468" width="10.7109375" customWidth="1"/>
    <col min="3469" max="3469" width="11.7109375" style="9" customWidth="1"/>
    <col min="3470" max="3470" width="10.7109375" customWidth="1"/>
    <col min="3471" max="3471" width="11.7109375" style="9" customWidth="1"/>
    <col min="3472" max="3472" width="10.7109375" customWidth="1"/>
    <col min="3473" max="3473" width="11.7109375" style="9" customWidth="1"/>
    <col min="3474" max="3474" width="10.7109375" customWidth="1"/>
    <col min="3475" max="3475" width="11.7109375" style="9" customWidth="1"/>
    <col min="3476" max="3476" width="10.7109375" customWidth="1"/>
    <col min="3477" max="3477" width="11.7109375" style="9" customWidth="1"/>
    <col min="3478" max="3478" width="10.7109375" customWidth="1"/>
    <col min="3479" max="3479" width="11.7109375" style="9" customWidth="1"/>
    <col min="3480" max="3480" width="10.7109375" customWidth="1"/>
    <col min="3481" max="3481" width="11.7109375" style="9" customWidth="1"/>
    <col min="3482" max="3482" width="10.7109375" customWidth="1"/>
    <col min="3483" max="3483" width="11.7109375" style="9" customWidth="1"/>
    <col min="3484" max="3484" width="10.7109375" customWidth="1"/>
    <col min="3485" max="3485" width="11.7109375" style="9" customWidth="1"/>
    <col min="3486" max="3486" width="10.7109375" customWidth="1"/>
    <col min="3487" max="3487" width="11.7109375" style="9" customWidth="1"/>
    <col min="3488" max="3488" width="10.7109375" customWidth="1"/>
    <col min="3489" max="3489" width="11.7109375" style="9" customWidth="1"/>
    <col min="3490" max="3490" width="10.7109375" customWidth="1"/>
    <col min="3491" max="3491" width="11.7109375" style="9" customWidth="1"/>
    <col min="3492" max="3492" width="10.7109375" customWidth="1"/>
    <col min="3493" max="3493" width="11.7109375" style="9" customWidth="1"/>
    <col min="3494" max="3494" width="10.7109375" customWidth="1"/>
    <col min="3495" max="3495" width="11.7109375" style="9" customWidth="1"/>
    <col min="3496" max="3496" width="10.7109375" customWidth="1"/>
    <col min="3497" max="3497" width="11.7109375" style="9" customWidth="1"/>
    <col min="3498" max="3498" width="10.7109375" customWidth="1"/>
    <col min="3499" max="3499" width="11.7109375" style="9" customWidth="1"/>
    <col min="3500" max="3500" width="10.7109375" customWidth="1"/>
    <col min="3501" max="3501" width="11.7109375" style="9" customWidth="1"/>
    <col min="3502" max="3502" width="10.7109375" customWidth="1"/>
    <col min="3503" max="3503" width="11.7109375" style="9" customWidth="1"/>
    <col min="3504" max="3504" width="10.7109375" customWidth="1"/>
    <col min="3505" max="3505" width="11.7109375" style="9" customWidth="1"/>
    <col min="3506" max="3506" width="10.7109375" customWidth="1"/>
    <col min="3507" max="3507" width="11.7109375" style="9" customWidth="1"/>
    <col min="3508" max="3508" width="10.7109375" customWidth="1"/>
    <col min="3509" max="3509" width="11.7109375" style="9" customWidth="1"/>
    <col min="3510" max="3510" width="10.7109375" customWidth="1"/>
    <col min="3511" max="3511" width="11.7109375" style="9" customWidth="1"/>
    <col min="3512" max="3512" width="10.7109375" customWidth="1"/>
    <col min="3513" max="3513" width="11.7109375" style="9" customWidth="1"/>
    <col min="3514" max="3514" width="10.7109375" customWidth="1"/>
    <col min="3515" max="3515" width="11.7109375" style="9" customWidth="1"/>
    <col min="3516" max="3516" width="10.7109375" customWidth="1"/>
    <col min="3517" max="3517" width="11.7109375" style="9" customWidth="1"/>
    <col min="3518" max="3518" width="10.7109375" customWidth="1"/>
    <col min="3519" max="3519" width="11.7109375" style="9" customWidth="1"/>
    <col min="3520" max="3520" width="10.7109375" customWidth="1"/>
    <col min="3521" max="3521" width="11.7109375" style="9" customWidth="1"/>
    <col min="3522" max="3522" width="10.7109375" customWidth="1"/>
    <col min="3523" max="3523" width="11.7109375" style="9" customWidth="1"/>
    <col min="3524" max="3524" width="10.7109375" customWidth="1"/>
    <col min="3525" max="3525" width="11.7109375" style="9" customWidth="1"/>
    <col min="3526" max="3526" width="10.7109375" customWidth="1"/>
    <col min="3527" max="3527" width="11.7109375" style="9" customWidth="1"/>
    <col min="3528" max="3528" width="10.7109375" customWidth="1"/>
    <col min="3529" max="3529" width="11.7109375" style="9" customWidth="1"/>
    <col min="3530" max="3530" width="10.7109375" customWidth="1"/>
    <col min="3531" max="3531" width="11.7109375" style="9" customWidth="1"/>
    <col min="3532" max="3532" width="10.7109375" customWidth="1"/>
    <col min="3533" max="3533" width="11.7109375" style="9" customWidth="1"/>
    <col min="3534" max="3534" width="10.7109375" customWidth="1"/>
    <col min="3535" max="3535" width="11.7109375" style="9" customWidth="1"/>
    <col min="3536" max="3536" width="10.7109375" customWidth="1"/>
    <col min="3537" max="3537" width="11.7109375" style="9" customWidth="1"/>
    <col min="3538" max="3538" width="10.7109375" customWidth="1"/>
    <col min="3539" max="3539" width="11.7109375" style="9" customWidth="1"/>
    <col min="3540" max="3540" width="10.7109375" customWidth="1"/>
    <col min="3541" max="3541" width="11.7109375" style="9" customWidth="1"/>
    <col min="3542" max="3542" width="10.7109375" customWidth="1"/>
    <col min="3543" max="3543" width="11.7109375" style="9" customWidth="1"/>
    <col min="3544" max="3544" width="10.7109375" customWidth="1"/>
    <col min="3545" max="3545" width="11.7109375" style="9" customWidth="1"/>
    <col min="3546" max="3546" width="10.7109375" customWidth="1"/>
    <col min="3547" max="3547" width="11.7109375" style="9" customWidth="1"/>
    <col min="3548" max="3548" width="10.7109375" customWidth="1"/>
    <col min="3549" max="3549" width="11.7109375" style="9" customWidth="1"/>
    <col min="3550" max="3550" width="10.7109375" customWidth="1"/>
    <col min="3551" max="3551" width="11.7109375" style="9" customWidth="1"/>
    <col min="3552" max="3552" width="10.7109375" customWidth="1"/>
    <col min="3553" max="3553" width="11.7109375" style="9" customWidth="1"/>
    <col min="3554" max="3554" width="10.7109375" customWidth="1"/>
    <col min="3555" max="3555" width="11.7109375" style="9" customWidth="1"/>
    <col min="3556" max="3556" width="10.7109375" customWidth="1"/>
    <col min="3557" max="3557" width="11.7109375" style="9" customWidth="1"/>
    <col min="3558" max="3558" width="10.7109375" customWidth="1"/>
    <col min="3559" max="3559" width="11.7109375" style="9" customWidth="1"/>
    <col min="3560" max="3560" width="10.7109375" customWidth="1"/>
    <col min="3561" max="3561" width="11.7109375" style="9" customWidth="1"/>
    <col min="3562" max="3562" width="10.7109375" customWidth="1"/>
    <col min="3563" max="3563" width="11.7109375" style="9" customWidth="1"/>
    <col min="3564" max="3564" width="10.7109375" customWidth="1"/>
    <col min="3565" max="3565" width="11.7109375" style="9" customWidth="1"/>
    <col min="3566" max="3566" width="10.7109375" customWidth="1"/>
    <col min="3567" max="3567" width="11.7109375" style="9" customWidth="1"/>
    <col min="3568" max="3568" width="10.7109375" customWidth="1"/>
    <col min="3569" max="3569" width="11.7109375" style="9" customWidth="1"/>
    <col min="3570" max="3570" width="10.7109375" customWidth="1"/>
    <col min="3571" max="3571" width="11.7109375" style="9" customWidth="1"/>
    <col min="3572" max="3572" width="10.7109375" customWidth="1"/>
    <col min="3573" max="3573" width="11.7109375" style="9" customWidth="1"/>
    <col min="3574" max="3574" width="10.7109375" customWidth="1"/>
    <col min="3575" max="3575" width="11.7109375" style="9" customWidth="1"/>
    <col min="3576" max="3576" width="10.7109375" customWidth="1"/>
    <col min="3577" max="3577" width="11.7109375" style="9" customWidth="1"/>
    <col min="3578" max="3578" width="10.7109375" customWidth="1"/>
    <col min="3579" max="3579" width="11.7109375" style="9" customWidth="1"/>
    <col min="3580" max="3580" width="10.7109375" customWidth="1"/>
    <col min="3581" max="3581" width="11.7109375" style="9" customWidth="1"/>
    <col min="3582" max="3582" width="10.7109375" customWidth="1"/>
    <col min="3583" max="3583" width="11.7109375" style="9" customWidth="1"/>
    <col min="3584" max="3584" width="10.7109375" customWidth="1"/>
    <col min="3585" max="3585" width="11.7109375" style="9" customWidth="1"/>
    <col min="3586" max="3586" width="10.7109375" customWidth="1"/>
    <col min="3587" max="3587" width="11.7109375" style="9" customWidth="1"/>
    <col min="3588" max="3588" width="10.7109375" customWidth="1"/>
    <col min="3589" max="3589" width="11.7109375" style="9" customWidth="1"/>
    <col min="3590" max="3590" width="10.7109375" customWidth="1"/>
    <col min="3591" max="3591" width="11.7109375" style="9" customWidth="1"/>
    <col min="3592" max="3592" width="10.7109375" customWidth="1"/>
    <col min="3593" max="3593" width="11.7109375" style="9" customWidth="1"/>
    <col min="3594" max="3594" width="10.7109375" customWidth="1"/>
    <col min="3595" max="3595" width="11.7109375" style="9" customWidth="1"/>
    <col min="3596" max="3596" width="10.7109375" customWidth="1"/>
    <col min="3597" max="3597" width="11.7109375" style="9" customWidth="1"/>
    <col min="3598" max="3598" width="10.7109375" customWidth="1"/>
    <col min="3599" max="3599" width="11.7109375" style="9" customWidth="1"/>
    <col min="3600" max="3600" width="10.7109375" customWidth="1"/>
    <col min="3601" max="3601" width="11.7109375" style="9" customWidth="1"/>
    <col min="3602" max="3602" width="10.7109375" customWidth="1"/>
    <col min="3603" max="3603" width="11.7109375" style="9" customWidth="1"/>
    <col min="3604" max="3604" width="10.7109375" customWidth="1"/>
    <col min="3605" max="3605" width="11.7109375" style="9" customWidth="1"/>
    <col min="3606" max="3606" width="10.7109375" customWidth="1"/>
    <col min="3607" max="3607" width="11.7109375" style="9" customWidth="1"/>
    <col min="3608" max="3608" width="10.7109375" customWidth="1"/>
    <col min="3609" max="3609" width="11.7109375" style="9" customWidth="1"/>
    <col min="3610" max="3610" width="10.7109375" customWidth="1"/>
    <col min="3611" max="3611" width="11.7109375" style="9" customWidth="1"/>
    <col min="3612" max="3612" width="10.7109375" customWidth="1"/>
    <col min="3613" max="3613" width="11.7109375" style="9" customWidth="1"/>
    <col min="3614" max="3614" width="10.7109375" customWidth="1"/>
    <col min="3615" max="3615" width="11.7109375" style="9" customWidth="1"/>
    <col min="3616" max="3616" width="10.7109375" customWidth="1"/>
    <col min="3617" max="3617" width="11.7109375" style="9" customWidth="1"/>
    <col min="3618" max="3618" width="10.7109375" customWidth="1"/>
    <col min="3619" max="3619" width="11.7109375" style="9" customWidth="1"/>
    <col min="3620" max="3620" width="10.7109375" customWidth="1"/>
    <col min="3621" max="3621" width="11.7109375" style="9" customWidth="1"/>
    <col min="3622" max="3622" width="10.7109375" customWidth="1"/>
    <col min="3623" max="3623" width="11.7109375" style="9" customWidth="1"/>
    <col min="3624" max="3624" width="10.7109375" customWidth="1"/>
    <col min="3625" max="3625" width="11.7109375" style="9" customWidth="1"/>
    <col min="3626" max="3626" width="10.7109375" customWidth="1"/>
    <col min="3627" max="3627" width="11.7109375" style="9" customWidth="1"/>
    <col min="3628" max="3628" width="10.7109375" customWidth="1"/>
    <col min="3629" max="3629" width="11.7109375" style="9" customWidth="1"/>
    <col min="3630" max="3630" width="10.7109375" customWidth="1"/>
    <col min="3631" max="3631" width="11.7109375" style="9" customWidth="1"/>
    <col min="3632" max="3632" width="10.7109375" customWidth="1"/>
    <col min="3633" max="3633" width="11.7109375" style="9" customWidth="1"/>
    <col min="3634" max="3634" width="10.7109375" customWidth="1"/>
    <col min="3635" max="3635" width="11.7109375" style="9" customWidth="1"/>
    <col min="3636" max="3636" width="10.7109375" customWidth="1"/>
    <col min="3637" max="3637" width="11.7109375" style="9" customWidth="1"/>
    <col min="3638" max="3638" width="10.7109375" customWidth="1"/>
    <col min="3639" max="3639" width="11.7109375" style="9" customWidth="1"/>
    <col min="3640" max="3640" width="10.7109375" customWidth="1"/>
    <col min="3641" max="3641" width="11.7109375" style="9" customWidth="1"/>
    <col min="3642" max="3642" width="10.7109375" customWidth="1"/>
    <col min="3643" max="3643" width="11.7109375" style="9" customWidth="1"/>
    <col min="3644" max="3644" width="10.7109375" customWidth="1"/>
    <col min="3645" max="3645" width="11.7109375" style="9" customWidth="1"/>
    <col min="3646" max="3646" width="10.7109375" customWidth="1"/>
    <col min="3647" max="3647" width="11.7109375" style="9" customWidth="1"/>
    <col min="3648" max="3648" width="10.7109375" customWidth="1"/>
    <col min="3649" max="3649" width="11.7109375" style="9" customWidth="1"/>
    <col min="3650" max="3650" width="10.7109375" customWidth="1"/>
    <col min="3651" max="3651" width="11.7109375" style="9" customWidth="1"/>
    <col min="3652" max="3652" width="10.7109375" customWidth="1"/>
    <col min="3653" max="3653" width="11.7109375" style="9" customWidth="1"/>
    <col min="3654" max="3654" width="10.7109375" customWidth="1"/>
    <col min="3655" max="3655" width="11.7109375" style="9" customWidth="1"/>
    <col min="3656" max="3656" width="10.7109375" customWidth="1"/>
    <col min="3657" max="3657" width="11.7109375" style="9" customWidth="1"/>
    <col min="3658" max="3658" width="10.7109375" customWidth="1"/>
    <col min="3659" max="3659" width="11.7109375" style="9" customWidth="1"/>
    <col min="3660" max="3660" width="10.7109375" customWidth="1"/>
    <col min="3661" max="3661" width="11.7109375" style="9" customWidth="1"/>
    <col min="3662" max="3662" width="10.7109375" customWidth="1"/>
    <col min="3663" max="3663" width="11.7109375" style="9" customWidth="1"/>
    <col min="3664" max="3664" width="10.7109375" customWidth="1"/>
    <col min="3665" max="3665" width="11.7109375" style="9" customWidth="1"/>
    <col min="3666" max="3666" width="10.7109375" customWidth="1"/>
    <col min="3667" max="3667" width="11.7109375" style="9" customWidth="1"/>
    <col min="3668" max="3668" width="10.7109375" customWidth="1"/>
    <col min="3669" max="3669" width="11.7109375" style="9" customWidth="1"/>
    <col min="3670" max="3670" width="10.7109375" customWidth="1"/>
    <col min="3671" max="3671" width="11.7109375" style="9" customWidth="1"/>
    <col min="3672" max="3672" width="10.7109375" customWidth="1"/>
    <col min="3673" max="3673" width="11.7109375" style="9" customWidth="1"/>
    <col min="3674" max="3674" width="10.7109375" customWidth="1"/>
    <col min="3675" max="3675" width="11.7109375" style="9" customWidth="1"/>
    <col min="3676" max="3676" width="10.7109375" customWidth="1"/>
    <col min="3677" max="3677" width="11.7109375" style="9" customWidth="1"/>
    <col min="3678" max="3678" width="10.7109375" customWidth="1"/>
    <col min="3679" max="3679" width="11.7109375" style="9" customWidth="1"/>
    <col min="3680" max="3680" width="10.7109375" customWidth="1"/>
    <col min="3681" max="3681" width="11.7109375" style="9" customWidth="1"/>
    <col min="3682" max="3682" width="10.7109375" customWidth="1"/>
    <col min="3683" max="3683" width="11.7109375" style="9" customWidth="1"/>
    <col min="3684" max="3684" width="10.7109375" customWidth="1"/>
    <col min="3685" max="3685" width="11.7109375" style="9" customWidth="1"/>
    <col min="3686" max="3686" width="10.7109375" customWidth="1"/>
    <col min="3687" max="3687" width="11.7109375" style="9" customWidth="1"/>
    <col min="3688" max="3688" width="10.7109375" customWidth="1"/>
    <col min="3689" max="3689" width="11.7109375" style="9" customWidth="1"/>
    <col min="3690" max="3690" width="10.7109375" customWidth="1"/>
    <col min="3691" max="3691" width="11.7109375" style="9" customWidth="1"/>
    <col min="3692" max="3692" width="10.7109375" customWidth="1"/>
    <col min="3693" max="3693" width="11.7109375" style="9" customWidth="1"/>
    <col min="3694" max="3694" width="10.7109375" customWidth="1"/>
    <col min="3695" max="3695" width="11.7109375" style="9" customWidth="1"/>
    <col min="3696" max="3696" width="10.7109375" customWidth="1"/>
    <col min="3697" max="3697" width="11.7109375" style="9" customWidth="1"/>
    <col min="3698" max="3698" width="10.7109375" customWidth="1"/>
    <col min="3699" max="3699" width="11.7109375" style="9" customWidth="1"/>
    <col min="3700" max="3700" width="10.7109375" customWidth="1"/>
    <col min="3701" max="3701" width="11.7109375" style="9" customWidth="1"/>
    <col min="3702" max="3702" width="10.7109375" customWidth="1"/>
    <col min="3703" max="3703" width="11.7109375" style="9" customWidth="1"/>
    <col min="3704" max="3704" width="10.7109375" customWidth="1"/>
    <col min="3705" max="3705" width="11.7109375" style="9" customWidth="1"/>
    <col min="3706" max="3706" width="10.7109375" customWidth="1"/>
    <col min="3707" max="3707" width="11.7109375" style="9" customWidth="1"/>
    <col min="3708" max="3708" width="10.7109375" customWidth="1"/>
    <col min="3709" max="3709" width="11.7109375" style="9" customWidth="1"/>
    <col min="3710" max="3710" width="10.7109375" customWidth="1"/>
    <col min="3711" max="3711" width="11.7109375" style="9" customWidth="1"/>
    <col min="3712" max="3712" width="10.7109375" customWidth="1"/>
    <col min="3713" max="3713" width="11.7109375" style="9" customWidth="1"/>
    <col min="3714" max="3714" width="10.7109375" customWidth="1"/>
    <col min="3715" max="3715" width="11.7109375" style="9" customWidth="1"/>
    <col min="3716" max="3716" width="10.7109375" customWidth="1"/>
    <col min="3717" max="3717" width="11.7109375" style="9" customWidth="1"/>
    <col min="3718" max="3718" width="10.7109375" customWidth="1"/>
    <col min="3719" max="3719" width="11.7109375" style="9" customWidth="1"/>
    <col min="3720" max="3720" width="10.7109375" customWidth="1"/>
    <col min="3721" max="3721" width="11.7109375" style="9" customWidth="1"/>
    <col min="3722" max="3722" width="10.7109375" customWidth="1"/>
    <col min="3723" max="3723" width="11.7109375" style="9" customWidth="1"/>
    <col min="3724" max="3724" width="10.7109375" customWidth="1"/>
    <col min="3725" max="3725" width="11.7109375" style="9" customWidth="1"/>
    <col min="3726" max="3726" width="10.7109375" customWidth="1"/>
    <col min="3727" max="3727" width="11.7109375" style="9" customWidth="1"/>
    <col min="3728" max="3728" width="10.7109375" customWidth="1"/>
    <col min="3729" max="3729" width="11.7109375" style="9" customWidth="1"/>
    <col min="3730" max="3730" width="10.7109375" customWidth="1"/>
    <col min="3731" max="3731" width="11.7109375" style="9" customWidth="1"/>
    <col min="3732" max="3732" width="10.7109375" customWidth="1"/>
    <col min="3733" max="3733" width="11.7109375" style="9" customWidth="1"/>
    <col min="3734" max="3734" width="10.7109375" customWidth="1"/>
    <col min="3735" max="3735" width="11.7109375" style="9" customWidth="1"/>
    <col min="3736" max="3736" width="10.7109375" customWidth="1"/>
    <col min="3737" max="3737" width="11.7109375" style="9" customWidth="1"/>
    <col min="3738" max="3738" width="10.7109375" customWidth="1"/>
    <col min="3739" max="3739" width="11.7109375" style="9" customWidth="1"/>
    <col min="3740" max="3740" width="10.7109375" customWidth="1"/>
    <col min="3741" max="3741" width="11.7109375" style="9" customWidth="1"/>
    <col min="3742" max="3742" width="10.7109375" customWidth="1"/>
    <col min="3743" max="3743" width="11.7109375" style="9" customWidth="1"/>
    <col min="3744" max="3744" width="10.7109375" customWidth="1"/>
    <col min="3745" max="3745" width="11.7109375" style="9" customWidth="1"/>
    <col min="3746" max="3746" width="10.7109375" customWidth="1"/>
    <col min="3747" max="3747" width="11.7109375" style="9" customWidth="1"/>
    <col min="3748" max="3748" width="10.7109375" customWidth="1"/>
    <col min="3749" max="3749" width="11.7109375" style="9" customWidth="1"/>
    <col min="3750" max="3750" width="10.7109375" customWidth="1"/>
    <col min="3751" max="3751" width="11.7109375" style="9" customWidth="1"/>
    <col min="3752" max="3752" width="10.7109375" customWidth="1"/>
    <col min="3753" max="3753" width="11.7109375" style="9" customWidth="1"/>
    <col min="3754" max="3754" width="10.7109375" customWidth="1"/>
    <col min="3755" max="3755" width="11.7109375" style="9" customWidth="1"/>
    <col min="3756" max="3756" width="10.7109375" customWidth="1"/>
    <col min="3757" max="3757" width="11.7109375" style="9" customWidth="1"/>
    <col min="3758" max="3758" width="10.7109375" customWidth="1"/>
    <col min="3759" max="3759" width="11.7109375" style="9" customWidth="1"/>
    <col min="3760" max="3760" width="10.7109375" customWidth="1"/>
    <col min="3761" max="3761" width="11.7109375" style="9" customWidth="1"/>
    <col min="3762" max="3762" width="10.7109375" customWidth="1"/>
    <col min="3763" max="3763" width="11.7109375" style="9" customWidth="1"/>
    <col min="3764" max="3764" width="10.7109375" customWidth="1"/>
    <col min="3765" max="3765" width="11.7109375" style="9" customWidth="1"/>
    <col min="3766" max="3766" width="10.7109375" customWidth="1"/>
    <col min="3767" max="3767" width="11.7109375" style="9" customWidth="1"/>
    <col min="3768" max="3768" width="10.7109375" customWidth="1"/>
    <col min="3769" max="3769" width="11.7109375" style="9" customWidth="1"/>
    <col min="3770" max="3770" width="10.7109375" customWidth="1"/>
    <col min="3771" max="3771" width="11.7109375" style="9" customWidth="1"/>
    <col min="3772" max="3772" width="10.7109375" customWidth="1"/>
    <col min="3773" max="3773" width="11.7109375" style="9" customWidth="1"/>
    <col min="3774" max="3774" width="10.7109375" customWidth="1"/>
    <col min="3775" max="3775" width="11.7109375" style="9" customWidth="1"/>
    <col min="3776" max="3776" width="10.7109375" customWidth="1"/>
    <col min="3777" max="3777" width="11.7109375" style="9" customWidth="1"/>
    <col min="3778" max="3778" width="10.7109375" customWidth="1"/>
    <col min="3779" max="3779" width="11.7109375" style="9" customWidth="1"/>
    <col min="3780" max="3780" width="10.7109375" customWidth="1"/>
    <col min="3781" max="3781" width="11.7109375" style="9" customWidth="1"/>
    <col min="3782" max="3782" width="10.7109375" customWidth="1"/>
    <col min="3783" max="3783" width="11.7109375" style="9" customWidth="1"/>
    <col min="3784" max="3784" width="10.7109375" customWidth="1"/>
    <col min="3785" max="3785" width="11.7109375" style="9" customWidth="1"/>
    <col min="3786" max="3786" width="10.7109375" customWidth="1"/>
    <col min="3787" max="3787" width="11.7109375" style="9" customWidth="1"/>
    <col min="3788" max="3788" width="10.7109375" customWidth="1"/>
    <col min="3789" max="3789" width="11.7109375" style="9" customWidth="1"/>
    <col min="3790" max="3790" width="10.7109375" customWidth="1"/>
    <col min="3791" max="3791" width="11.7109375" style="9" customWidth="1"/>
    <col min="3792" max="3792" width="10.7109375" customWidth="1"/>
    <col min="3793" max="3793" width="11.7109375" style="9" customWidth="1"/>
    <col min="3794" max="3794" width="10.7109375" customWidth="1"/>
    <col min="3795" max="3795" width="11.7109375" style="9" customWidth="1"/>
    <col min="3796" max="3796" width="10.7109375" customWidth="1"/>
    <col min="3797" max="3797" width="11.7109375" style="9" customWidth="1"/>
    <col min="3798" max="3798" width="10.7109375" customWidth="1"/>
    <col min="3799" max="3799" width="11.7109375" style="9" customWidth="1"/>
    <col min="3800" max="3800" width="10.7109375" customWidth="1"/>
    <col min="3801" max="3801" width="11.7109375" style="9" customWidth="1"/>
    <col min="3802" max="3802" width="10.7109375" customWidth="1"/>
    <col min="3803" max="3803" width="11.7109375" style="9" customWidth="1"/>
    <col min="3804" max="3804" width="10.7109375" customWidth="1"/>
    <col min="3805" max="3805" width="11.7109375" style="9" customWidth="1"/>
    <col min="3806" max="3806" width="10.7109375" customWidth="1"/>
    <col min="3807" max="3807" width="11.7109375" style="9" customWidth="1"/>
    <col min="3808" max="3808" width="10.7109375" customWidth="1"/>
    <col min="3809" max="3809" width="11.7109375" style="9" customWidth="1"/>
    <col min="3810" max="3810" width="10.7109375" customWidth="1"/>
    <col min="3811" max="3811" width="11.7109375" style="9" customWidth="1"/>
    <col min="3812" max="3812" width="10.7109375" customWidth="1"/>
    <col min="3813" max="3813" width="11.7109375" style="9" customWidth="1"/>
    <col min="3814" max="3814" width="10.7109375" customWidth="1"/>
    <col min="3815" max="3815" width="11.7109375" style="9" customWidth="1"/>
    <col min="3816" max="3816" width="10.7109375" customWidth="1"/>
    <col min="3817" max="3817" width="11.7109375" style="9" customWidth="1"/>
    <col min="3818" max="3818" width="10.7109375" customWidth="1"/>
    <col min="3819" max="3819" width="11.7109375" style="9" customWidth="1"/>
    <col min="3820" max="3820" width="10.7109375" customWidth="1"/>
    <col min="3821" max="3821" width="11.7109375" style="9" customWidth="1"/>
    <col min="3822" max="3822" width="10.7109375" customWidth="1"/>
    <col min="3823" max="3823" width="11.7109375" style="9" customWidth="1"/>
    <col min="3824" max="3824" width="10.7109375" customWidth="1"/>
    <col min="3825" max="3825" width="11.7109375" style="9" customWidth="1"/>
    <col min="3826" max="3826" width="10.7109375" customWidth="1"/>
    <col min="3827" max="3827" width="11.7109375" style="9" customWidth="1"/>
    <col min="3828" max="3828" width="10.7109375" customWidth="1"/>
    <col min="3829" max="3829" width="11.7109375" style="9" customWidth="1"/>
    <col min="3830" max="3830" width="10.7109375" customWidth="1"/>
    <col min="3831" max="3831" width="11.7109375" style="9" customWidth="1"/>
    <col min="3832" max="3832" width="10.7109375" customWidth="1"/>
    <col min="3833" max="3833" width="11.7109375" style="9" customWidth="1"/>
    <col min="3834" max="3834" width="10.7109375" customWidth="1"/>
    <col min="3835" max="3835" width="11.7109375" style="9" customWidth="1"/>
    <col min="3836" max="3836" width="10.7109375" customWidth="1"/>
    <col min="3837" max="3837" width="11.7109375" style="9" customWidth="1"/>
    <col min="3838" max="3838" width="10.7109375" customWidth="1"/>
    <col min="3839" max="3839" width="11.7109375" style="9" customWidth="1"/>
    <col min="3840" max="3840" width="10.7109375" customWidth="1"/>
    <col min="3841" max="3841" width="11.7109375" style="9" customWidth="1"/>
    <col min="3842" max="3842" width="10.7109375" customWidth="1"/>
    <col min="3843" max="3843" width="11.7109375" style="9" customWidth="1"/>
    <col min="3844" max="3844" width="10.7109375" customWidth="1"/>
    <col min="3845" max="3845" width="11.7109375" style="9" customWidth="1"/>
    <col min="3846" max="3846" width="10.7109375" customWidth="1"/>
    <col min="3847" max="3847" width="11.7109375" style="9" customWidth="1"/>
    <col min="3848" max="3848" width="10.7109375" customWidth="1"/>
    <col min="3849" max="3849" width="11.7109375" style="9" customWidth="1"/>
    <col min="3850" max="3850" width="10.7109375" customWidth="1"/>
    <col min="3851" max="3851" width="11.7109375" style="9" customWidth="1"/>
    <col min="3852" max="3852" width="10.7109375" customWidth="1"/>
    <col min="3853" max="3853" width="11.7109375" style="9" customWidth="1"/>
    <col min="3854" max="3854" width="10.7109375" customWidth="1"/>
    <col min="3855" max="3855" width="11.7109375" style="9" customWidth="1"/>
    <col min="3856" max="3856" width="10.7109375" customWidth="1"/>
    <col min="3857" max="3857" width="11.7109375" style="9" customWidth="1"/>
    <col min="3858" max="3858" width="10.7109375" customWidth="1"/>
    <col min="3859" max="3859" width="11.7109375" style="9" customWidth="1"/>
    <col min="3860" max="3860" width="10.7109375" customWidth="1"/>
    <col min="3861" max="3861" width="11.7109375" style="9" customWidth="1"/>
    <col min="3862" max="3862" width="10.7109375" customWidth="1"/>
    <col min="3863" max="3863" width="11.7109375" style="9" customWidth="1"/>
    <col min="3864" max="3864" width="10.7109375" customWidth="1"/>
    <col min="3865" max="3865" width="11.7109375" style="9" customWidth="1"/>
    <col min="3866" max="3866" width="10.7109375" customWidth="1"/>
    <col min="3867" max="3867" width="11.7109375" style="9" customWidth="1"/>
    <col min="3868" max="3868" width="10.7109375" customWidth="1"/>
    <col min="3869" max="3869" width="11.7109375" style="9" customWidth="1"/>
    <col min="3870" max="3870" width="10.7109375" customWidth="1"/>
    <col min="3871" max="3871" width="11.7109375" style="9" customWidth="1"/>
    <col min="3872" max="3872" width="10.7109375" customWidth="1"/>
    <col min="3873" max="3873" width="11.7109375" style="9" customWidth="1"/>
    <col min="3874" max="3874" width="10.7109375" customWidth="1"/>
    <col min="3875" max="3875" width="11.7109375" style="9" customWidth="1"/>
    <col min="3876" max="3876" width="10.7109375" customWidth="1"/>
    <col min="3877" max="3877" width="11.7109375" style="9" customWidth="1"/>
    <col min="3878" max="3878" width="10.7109375" customWidth="1"/>
    <col min="3879" max="3879" width="11.7109375" style="9" customWidth="1"/>
    <col min="3880" max="3880" width="10.7109375" customWidth="1"/>
    <col min="3881" max="3881" width="11.7109375" style="9" customWidth="1"/>
    <col min="3882" max="3882" width="10.7109375" customWidth="1"/>
    <col min="3883" max="3883" width="11.7109375" style="9" customWidth="1"/>
    <col min="3884" max="3884" width="10.7109375" customWidth="1"/>
    <col min="3885" max="3885" width="11.7109375" style="9" customWidth="1"/>
    <col min="3886" max="3886" width="10.7109375" customWidth="1"/>
    <col min="3887" max="3887" width="11.7109375" style="9" customWidth="1"/>
    <col min="3888" max="3888" width="10.7109375" customWidth="1"/>
    <col min="3889" max="3889" width="11.7109375" style="9" customWidth="1"/>
    <col min="3890" max="3890" width="10.7109375" customWidth="1"/>
    <col min="3891" max="3891" width="11.7109375" style="9" customWidth="1"/>
    <col min="3892" max="3892" width="10.7109375" customWidth="1"/>
    <col min="3893" max="3893" width="11.7109375" style="9" customWidth="1"/>
    <col min="3894" max="3894" width="10.7109375" customWidth="1"/>
    <col min="3895" max="3895" width="11.7109375" style="9" customWidth="1"/>
    <col min="3896" max="3896" width="10.7109375" customWidth="1"/>
    <col min="3897" max="3897" width="11.7109375" style="9" customWidth="1"/>
    <col min="3898" max="3898" width="10.7109375" customWidth="1"/>
    <col min="3899" max="3899" width="11.7109375" style="9" customWidth="1"/>
    <col min="3900" max="3900" width="10.7109375" customWidth="1"/>
    <col min="3901" max="3901" width="11.7109375" style="9" customWidth="1"/>
    <col min="3902" max="3902" width="10.7109375" customWidth="1"/>
    <col min="3903" max="3903" width="11.7109375" style="9" customWidth="1"/>
    <col min="3904" max="3904" width="10.7109375" customWidth="1"/>
    <col min="3905" max="3905" width="11.7109375" style="9" customWidth="1"/>
    <col min="3906" max="3906" width="10.7109375" customWidth="1"/>
    <col min="3907" max="3907" width="11.7109375" style="9" customWidth="1"/>
    <col min="3908" max="3908" width="10.7109375" customWidth="1"/>
    <col min="3909" max="3909" width="11.7109375" style="9" customWidth="1"/>
    <col min="3910" max="3910" width="10.7109375" customWidth="1"/>
    <col min="3911" max="3911" width="11.7109375" style="9" customWidth="1"/>
    <col min="3912" max="3912" width="10.7109375" customWidth="1"/>
    <col min="3913" max="3913" width="11.7109375" style="9" customWidth="1"/>
    <col min="3914" max="3914" width="10.7109375" customWidth="1"/>
    <col min="3915" max="3915" width="11.7109375" style="9" customWidth="1"/>
    <col min="3916" max="3916" width="10.7109375" customWidth="1"/>
    <col min="3917" max="3917" width="11.7109375" style="9" customWidth="1"/>
    <col min="3918" max="3918" width="10.7109375" customWidth="1"/>
    <col min="3919" max="3919" width="11.7109375" style="9" customWidth="1"/>
    <col min="3920" max="3920" width="10.7109375" customWidth="1"/>
    <col min="3921" max="3921" width="11.7109375" style="9" customWidth="1"/>
    <col min="3922" max="3922" width="10.7109375" customWidth="1"/>
    <col min="3923" max="3923" width="11.7109375" style="9" customWidth="1"/>
    <col min="3924" max="3924" width="10.7109375" customWidth="1"/>
    <col min="3925" max="3925" width="11.7109375" style="9" customWidth="1"/>
    <col min="3926" max="3926" width="10.7109375" customWidth="1"/>
    <col min="3927" max="3927" width="11.7109375" style="9" customWidth="1"/>
    <col min="3928" max="3928" width="10.7109375" customWidth="1"/>
    <col min="3929" max="3929" width="11.7109375" style="9" customWidth="1"/>
    <col min="3930" max="3930" width="10.7109375" customWidth="1"/>
    <col min="3931" max="3931" width="11.7109375" style="9" customWidth="1"/>
    <col min="3932" max="3932" width="10.7109375" customWidth="1"/>
    <col min="3933" max="3933" width="11.7109375" style="9" customWidth="1"/>
    <col min="3934" max="3934" width="10.7109375" customWidth="1"/>
    <col min="3935" max="3935" width="11.7109375" style="9" customWidth="1"/>
    <col min="3936" max="3936" width="10.7109375" customWidth="1"/>
    <col min="3937" max="3937" width="11.7109375" style="9" customWidth="1"/>
    <col min="3938" max="3938" width="10.7109375" customWidth="1"/>
    <col min="3939" max="3939" width="11.7109375" style="9" customWidth="1"/>
    <col min="3940" max="3940" width="10.7109375" customWidth="1"/>
    <col min="3941" max="3941" width="11.7109375" style="9" customWidth="1"/>
    <col min="3942" max="3942" width="10.7109375" customWidth="1"/>
    <col min="3943" max="3943" width="11.7109375" style="9" customWidth="1"/>
    <col min="3944" max="3944" width="10.7109375" customWidth="1"/>
    <col min="3945" max="3945" width="11.7109375" style="9" customWidth="1"/>
    <col min="3946" max="3946" width="10.7109375" customWidth="1"/>
    <col min="3947" max="3947" width="11.7109375" style="9" customWidth="1"/>
    <col min="3948" max="3948" width="10.7109375" customWidth="1"/>
    <col min="3949" max="3949" width="11.7109375" style="9" customWidth="1"/>
    <col min="3950" max="3950" width="10.7109375" customWidth="1"/>
    <col min="3951" max="3951" width="11.7109375" style="9" customWidth="1"/>
    <col min="3952" max="3952" width="10.7109375" customWidth="1"/>
    <col min="3953" max="3953" width="11.7109375" style="9" customWidth="1"/>
    <col min="3954" max="3954" width="10.7109375" customWidth="1"/>
    <col min="3955" max="3955" width="11.7109375" style="9" customWidth="1"/>
    <col min="3956" max="3956" width="10.7109375" customWidth="1"/>
    <col min="3957" max="3957" width="11.7109375" style="9" customWidth="1"/>
    <col min="3958" max="3958" width="10.7109375" customWidth="1"/>
    <col min="3959" max="3959" width="11.7109375" style="9" customWidth="1"/>
    <col min="3960" max="3960" width="10.7109375" customWidth="1"/>
    <col min="3961" max="3961" width="11.7109375" style="9" customWidth="1"/>
    <col min="3962" max="3962" width="10.7109375" customWidth="1"/>
    <col min="3963" max="3963" width="11.7109375" style="9" customWidth="1"/>
    <col min="3964" max="3964" width="10.7109375" customWidth="1"/>
    <col min="3965" max="3965" width="11.7109375" style="9" customWidth="1"/>
    <col min="3966" max="3966" width="10.7109375" customWidth="1"/>
    <col min="3967" max="3967" width="11.7109375" style="9" customWidth="1"/>
    <col min="3968" max="3968" width="10.7109375" customWidth="1"/>
    <col min="3969" max="3969" width="11.7109375" style="9" customWidth="1"/>
    <col min="3970" max="3970" width="10.7109375" customWidth="1"/>
    <col min="3971" max="3971" width="11.7109375" style="9" customWidth="1"/>
    <col min="3972" max="3972" width="10.7109375" customWidth="1"/>
    <col min="3973" max="3973" width="11.7109375" style="9" customWidth="1"/>
    <col min="3974" max="3974" width="10.7109375" customWidth="1"/>
    <col min="3975" max="3975" width="11.7109375" style="9" customWidth="1"/>
    <col min="3976" max="3976" width="10.7109375" customWidth="1"/>
    <col min="3977" max="3977" width="11.7109375" style="9" customWidth="1"/>
    <col min="3978" max="3978" width="10.7109375" customWidth="1"/>
    <col min="3979" max="3979" width="11.7109375" style="9" customWidth="1"/>
    <col min="3980" max="3980" width="10.7109375" customWidth="1"/>
    <col min="3981" max="3981" width="11.7109375" style="9" customWidth="1"/>
    <col min="3982" max="3982" width="10.7109375" customWidth="1"/>
    <col min="3983" max="3983" width="11.7109375" style="9" customWidth="1"/>
    <col min="3984" max="3984" width="10.7109375" customWidth="1"/>
    <col min="3985" max="3985" width="11.7109375" style="9" customWidth="1"/>
    <col min="3986" max="3986" width="10.7109375" customWidth="1"/>
    <col min="3987" max="3987" width="11.7109375" style="9" customWidth="1"/>
    <col min="3988" max="3988" width="10.7109375" customWidth="1"/>
    <col min="3989" max="3989" width="11.7109375" style="9" customWidth="1"/>
    <col min="3990" max="3990" width="10.7109375" customWidth="1"/>
    <col min="3991" max="3991" width="11.7109375" style="9" customWidth="1"/>
    <col min="3992" max="3992" width="10.7109375" customWidth="1"/>
    <col min="3993" max="3993" width="11.7109375" style="9" customWidth="1"/>
    <col min="3994" max="3994" width="10.7109375" customWidth="1"/>
    <col min="3995" max="3995" width="11.7109375" style="9" customWidth="1"/>
    <col min="3996" max="3996" width="10.7109375" customWidth="1"/>
    <col min="3997" max="3997" width="11.7109375" style="9" customWidth="1"/>
    <col min="3998" max="3998" width="10.7109375" customWidth="1"/>
    <col min="3999" max="3999" width="11.7109375" style="9" customWidth="1"/>
    <col min="4000" max="4000" width="10.7109375" customWidth="1"/>
  </cols>
  <sheetData>
    <row r="1" spans="1:4000">
      <c r="A1" s="11">
        <f>IF(OR(SwitchROE&lt;&gt;"ON",Universe!$B$2=""),"",Universe!$B$2)</f>
        <v/>
      </c>
      <c r="C1" s="11">
        <f>IF(OR(SwitchROE&lt;&gt;"ON",Universe!$B$3=""),"",Universe!$B$3)</f>
        <v/>
      </c>
      <c r="E1" s="11">
        <f>IF(OR(SwitchROE&lt;&gt;"ON",Universe!$B$4=""),"",Universe!$B$4)</f>
        <v/>
      </c>
      <c r="G1" s="11">
        <f>IF(OR(SwitchROE&lt;&gt;"ON",Universe!$B$5=""),"",Universe!$B$5)</f>
        <v/>
      </c>
      <c r="I1" s="11">
        <f>IF(OR(SwitchROE&lt;&gt;"ON",Universe!$B$6=""),"",Universe!$B$6)</f>
        <v/>
      </c>
      <c r="K1" s="11">
        <f>IF(OR(SwitchROE&lt;&gt;"ON",Universe!$B$7=""),"",Universe!$B$7)</f>
        <v/>
      </c>
      <c r="M1" s="11">
        <f>IF(OR(SwitchROE&lt;&gt;"ON",Universe!$B$8=""),"",Universe!$B$8)</f>
        <v/>
      </c>
      <c r="O1" s="11">
        <f>IF(OR(SwitchROE&lt;&gt;"ON",Universe!$B$9=""),"",Universe!$B$9)</f>
        <v/>
      </c>
      <c r="Q1" s="11">
        <f>IF(OR(SwitchROE&lt;&gt;"ON",Universe!$B$10=""),"",Universe!$B$10)</f>
        <v/>
      </c>
      <c r="S1" s="11">
        <f>IF(OR(SwitchROE&lt;&gt;"ON",Universe!$B$11=""),"",Universe!$B$11)</f>
        <v/>
      </c>
      <c r="U1" s="11">
        <f>IF(OR(SwitchROE&lt;&gt;"ON",Universe!$B$12=""),"",Universe!$B$12)</f>
        <v/>
      </c>
      <c r="W1" s="11">
        <f>IF(OR(SwitchROE&lt;&gt;"ON",Universe!$B$13=""),"",Universe!$B$13)</f>
        <v/>
      </c>
      <c r="Y1" s="11">
        <f>IF(OR(SwitchROE&lt;&gt;"ON",Universe!$B$14=""),"",Universe!$B$14)</f>
        <v/>
      </c>
      <c r="AA1" s="11">
        <f>IF(OR(SwitchROE&lt;&gt;"ON",Universe!$B$15=""),"",Universe!$B$15)</f>
        <v/>
      </c>
      <c r="AC1" s="11">
        <f>IF(OR(SwitchROE&lt;&gt;"ON",Universe!$B$16=""),"",Universe!$B$16)</f>
        <v/>
      </c>
      <c r="AE1" s="11">
        <f>IF(OR(SwitchROE&lt;&gt;"ON",Universe!$B$17=""),"",Universe!$B$17)</f>
        <v/>
      </c>
      <c r="AG1" s="11">
        <f>IF(OR(SwitchROE&lt;&gt;"ON",Universe!$B$18=""),"",Universe!$B$18)</f>
        <v/>
      </c>
      <c r="AI1" s="11">
        <f>IF(OR(SwitchROE&lt;&gt;"ON",Universe!$B$19=""),"",Universe!$B$19)</f>
        <v/>
      </c>
      <c r="AK1" s="11">
        <f>IF(OR(SwitchROE&lt;&gt;"ON",Universe!$B$20=""),"",Universe!$B$20)</f>
        <v/>
      </c>
      <c r="AM1" s="11">
        <f>IF(OR(SwitchROE&lt;&gt;"ON",Universe!$B$21=""),"",Universe!$B$21)</f>
        <v/>
      </c>
      <c r="AO1" s="11">
        <f>IF(OR(SwitchROE&lt;&gt;"ON",Universe!$B$22=""),"",Universe!$B$22)</f>
        <v/>
      </c>
      <c r="AQ1" s="11">
        <f>IF(OR(SwitchROE&lt;&gt;"ON",Universe!$B$23=""),"",Universe!$B$23)</f>
        <v/>
      </c>
      <c r="AS1" s="11">
        <f>IF(OR(SwitchROE&lt;&gt;"ON",Universe!$B$24=""),"",Universe!$B$24)</f>
        <v/>
      </c>
      <c r="AU1" s="11">
        <f>IF(OR(SwitchROE&lt;&gt;"ON",Universe!$B$25=""),"",Universe!$B$25)</f>
        <v/>
      </c>
      <c r="AW1" s="11">
        <f>IF(OR(SwitchROE&lt;&gt;"ON",Universe!$B$26=""),"",Universe!$B$26)</f>
        <v/>
      </c>
      <c r="AY1" s="11">
        <f>IF(OR(SwitchROE&lt;&gt;"ON",Universe!$B$27=""),"",Universe!$B$27)</f>
        <v/>
      </c>
      <c r="BA1" s="11">
        <f>IF(OR(SwitchROE&lt;&gt;"ON",Universe!$B$28=""),"",Universe!$B$28)</f>
        <v/>
      </c>
      <c r="BC1" s="11">
        <f>IF(OR(SwitchROE&lt;&gt;"ON",Universe!$B$29=""),"",Universe!$B$29)</f>
        <v/>
      </c>
      <c r="BE1" s="11">
        <f>IF(OR(SwitchROE&lt;&gt;"ON",Universe!$B$30=""),"",Universe!$B$30)</f>
        <v/>
      </c>
      <c r="BG1" s="11">
        <f>IF(OR(SwitchROE&lt;&gt;"ON",Universe!$B$31=""),"",Universe!$B$31)</f>
        <v/>
      </c>
      <c r="BI1" s="11">
        <f>IF(OR(SwitchROE&lt;&gt;"ON",Universe!$B$32=""),"",Universe!$B$32)</f>
        <v/>
      </c>
      <c r="BK1" s="11">
        <f>IF(OR(SwitchROE&lt;&gt;"ON",Universe!$B$33=""),"",Universe!$B$33)</f>
        <v/>
      </c>
      <c r="BM1" s="11">
        <f>IF(OR(SwitchROE&lt;&gt;"ON",Universe!$B$34=""),"",Universe!$B$34)</f>
        <v/>
      </c>
      <c r="BO1" s="11">
        <f>IF(OR(SwitchROE&lt;&gt;"ON",Universe!$B$35=""),"",Universe!$B$35)</f>
        <v/>
      </c>
      <c r="BQ1" s="11">
        <f>IF(OR(SwitchROE&lt;&gt;"ON",Universe!$B$36=""),"",Universe!$B$36)</f>
        <v/>
      </c>
      <c r="BS1" s="11">
        <f>IF(OR(SwitchROE&lt;&gt;"ON",Universe!$B$37=""),"",Universe!$B$37)</f>
        <v/>
      </c>
      <c r="BU1" s="11">
        <f>IF(OR(SwitchROE&lt;&gt;"ON",Universe!$B$38=""),"",Universe!$B$38)</f>
        <v/>
      </c>
      <c r="BW1" s="11">
        <f>IF(OR(SwitchROE&lt;&gt;"ON",Universe!$B$39=""),"",Universe!$B$39)</f>
        <v/>
      </c>
      <c r="BY1" s="11">
        <f>IF(OR(SwitchROE&lt;&gt;"ON",Universe!$B$40=""),"",Universe!$B$40)</f>
        <v/>
      </c>
      <c r="CA1" s="11">
        <f>IF(OR(SwitchROE&lt;&gt;"ON",Universe!$B$41=""),"",Universe!$B$41)</f>
        <v/>
      </c>
      <c r="CC1" s="11">
        <f>IF(OR(SwitchROE&lt;&gt;"ON",Universe!$B$42=""),"",Universe!$B$42)</f>
        <v/>
      </c>
      <c r="CE1" s="11">
        <f>IF(OR(SwitchROE&lt;&gt;"ON",Universe!$B$43=""),"",Universe!$B$43)</f>
        <v/>
      </c>
      <c r="CG1" s="11">
        <f>IF(OR(SwitchROE&lt;&gt;"ON",Universe!$B$44=""),"",Universe!$B$44)</f>
        <v/>
      </c>
      <c r="CI1" s="11">
        <f>IF(OR(SwitchROE&lt;&gt;"ON",Universe!$B$45=""),"",Universe!$B$45)</f>
        <v/>
      </c>
      <c r="CK1" s="11">
        <f>IF(OR(SwitchROE&lt;&gt;"ON",Universe!$B$46=""),"",Universe!$B$46)</f>
        <v/>
      </c>
      <c r="CM1" s="11">
        <f>IF(OR(SwitchROE&lt;&gt;"ON",Universe!$B$47=""),"",Universe!$B$47)</f>
        <v/>
      </c>
      <c r="CO1" s="11">
        <f>IF(OR(SwitchROE&lt;&gt;"ON",Universe!$B$48=""),"",Universe!$B$48)</f>
        <v/>
      </c>
      <c r="CQ1" s="11">
        <f>IF(OR(SwitchROE&lt;&gt;"ON",Universe!$B$49=""),"",Universe!$B$49)</f>
        <v/>
      </c>
      <c r="CS1" s="11">
        <f>IF(OR(SwitchROE&lt;&gt;"ON",Universe!$B$50=""),"",Universe!$B$50)</f>
        <v/>
      </c>
      <c r="CU1" s="11">
        <f>IF(OR(SwitchROE&lt;&gt;"ON",Universe!$B$51=""),"",Universe!$B$51)</f>
        <v/>
      </c>
      <c r="CW1" s="11">
        <f>IF(OR(SwitchROE&lt;&gt;"ON",Universe!$B$52=""),"",Universe!$B$52)</f>
        <v/>
      </c>
      <c r="CY1" s="11">
        <f>IF(OR(SwitchROE&lt;&gt;"ON",Universe!$B$53=""),"",Universe!$B$53)</f>
        <v/>
      </c>
      <c r="DA1" s="11">
        <f>IF(OR(SwitchROE&lt;&gt;"ON",Universe!$B$54=""),"",Universe!$B$54)</f>
        <v/>
      </c>
      <c r="DC1" s="11">
        <f>IF(OR(SwitchROE&lt;&gt;"ON",Universe!$B$55=""),"",Universe!$B$55)</f>
        <v/>
      </c>
      <c r="DE1" s="11">
        <f>IF(OR(SwitchROE&lt;&gt;"ON",Universe!$B$56=""),"",Universe!$B$56)</f>
        <v/>
      </c>
      <c r="DG1" s="11">
        <f>IF(OR(SwitchROE&lt;&gt;"ON",Universe!$B$57=""),"",Universe!$B$57)</f>
        <v/>
      </c>
      <c r="DI1" s="11">
        <f>IF(OR(SwitchROE&lt;&gt;"ON",Universe!$B$58=""),"",Universe!$B$58)</f>
        <v/>
      </c>
      <c r="DK1" s="11">
        <f>IF(OR(SwitchROE&lt;&gt;"ON",Universe!$B$59=""),"",Universe!$B$59)</f>
        <v/>
      </c>
      <c r="DM1" s="11">
        <f>IF(OR(SwitchROE&lt;&gt;"ON",Universe!$B$60=""),"",Universe!$B$60)</f>
        <v/>
      </c>
      <c r="DO1" s="11">
        <f>IF(OR(SwitchROE&lt;&gt;"ON",Universe!$B$61=""),"",Universe!$B$61)</f>
        <v/>
      </c>
      <c r="DQ1" s="11">
        <f>IF(OR(SwitchROE&lt;&gt;"ON",Universe!$B$62=""),"",Universe!$B$62)</f>
        <v/>
      </c>
      <c r="DS1" s="11">
        <f>IF(OR(SwitchROE&lt;&gt;"ON",Universe!$B$63=""),"",Universe!$B$63)</f>
        <v/>
      </c>
      <c r="DU1" s="11">
        <f>IF(OR(SwitchROE&lt;&gt;"ON",Universe!$B$64=""),"",Universe!$B$64)</f>
        <v/>
      </c>
      <c r="DW1" s="11">
        <f>IF(OR(SwitchROE&lt;&gt;"ON",Universe!$B$65=""),"",Universe!$B$65)</f>
        <v/>
      </c>
      <c r="DY1" s="11">
        <f>IF(OR(SwitchROE&lt;&gt;"ON",Universe!$B$66=""),"",Universe!$B$66)</f>
        <v/>
      </c>
      <c r="EA1" s="11">
        <f>IF(OR(SwitchROE&lt;&gt;"ON",Universe!$B$67=""),"",Universe!$B$67)</f>
        <v/>
      </c>
      <c r="EC1" s="11">
        <f>IF(OR(SwitchROE&lt;&gt;"ON",Universe!$B$68=""),"",Universe!$B$68)</f>
        <v/>
      </c>
      <c r="EE1" s="11">
        <f>IF(OR(SwitchROE&lt;&gt;"ON",Universe!$B$69=""),"",Universe!$B$69)</f>
        <v/>
      </c>
      <c r="EG1" s="11">
        <f>IF(OR(SwitchROE&lt;&gt;"ON",Universe!$B$70=""),"",Universe!$B$70)</f>
        <v/>
      </c>
      <c r="EI1" s="11">
        <f>IF(OR(SwitchROE&lt;&gt;"ON",Universe!$B$71=""),"",Universe!$B$71)</f>
        <v/>
      </c>
      <c r="EK1" s="11">
        <f>IF(OR(SwitchROE&lt;&gt;"ON",Universe!$B$72=""),"",Universe!$B$72)</f>
        <v/>
      </c>
      <c r="EM1" s="11">
        <f>IF(OR(SwitchROE&lt;&gt;"ON",Universe!$B$73=""),"",Universe!$B$73)</f>
        <v/>
      </c>
      <c r="EO1" s="11">
        <f>IF(OR(SwitchROE&lt;&gt;"ON",Universe!$B$74=""),"",Universe!$B$74)</f>
        <v/>
      </c>
      <c r="EQ1" s="11">
        <f>IF(OR(SwitchROE&lt;&gt;"ON",Universe!$B$75=""),"",Universe!$B$75)</f>
        <v/>
      </c>
      <c r="ES1" s="11">
        <f>IF(OR(SwitchROE&lt;&gt;"ON",Universe!$B$76=""),"",Universe!$B$76)</f>
        <v/>
      </c>
      <c r="EU1" s="11">
        <f>IF(OR(SwitchROE&lt;&gt;"ON",Universe!$B$77=""),"",Universe!$B$77)</f>
        <v/>
      </c>
      <c r="EW1" s="11">
        <f>IF(OR(SwitchROE&lt;&gt;"ON",Universe!$B$78=""),"",Universe!$B$78)</f>
        <v/>
      </c>
      <c r="EY1" s="11">
        <f>IF(OR(SwitchROE&lt;&gt;"ON",Universe!$B$79=""),"",Universe!$B$79)</f>
        <v/>
      </c>
      <c r="FA1" s="11">
        <f>IF(OR(SwitchROE&lt;&gt;"ON",Universe!$B$80=""),"",Universe!$B$80)</f>
        <v/>
      </c>
      <c r="FC1" s="11">
        <f>IF(OR(SwitchROE&lt;&gt;"ON",Universe!$B$81=""),"",Universe!$B$81)</f>
        <v/>
      </c>
      <c r="FE1" s="11">
        <f>IF(OR(SwitchROE&lt;&gt;"ON",Universe!$B$82=""),"",Universe!$B$82)</f>
        <v/>
      </c>
      <c r="FG1" s="11">
        <f>IF(OR(SwitchROE&lt;&gt;"ON",Universe!$B$83=""),"",Universe!$B$83)</f>
        <v/>
      </c>
      <c r="FI1" s="11">
        <f>IF(OR(SwitchROE&lt;&gt;"ON",Universe!$B$84=""),"",Universe!$B$84)</f>
        <v/>
      </c>
      <c r="FK1" s="11">
        <f>IF(OR(SwitchROE&lt;&gt;"ON",Universe!$B$85=""),"",Universe!$B$85)</f>
        <v/>
      </c>
      <c r="FM1" s="11">
        <f>IF(OR(SwitchROE&lt;&gt;"ON",Universe!$B$86=""),"",Universe!$B$86)</f>
        <v/>
      </c>
      <c r="FO1" s="11">
        <f>IF(OR(SwitchROE&lt;&gt;"ON",Universe!$B$87=""),"",Universe!$B$87)</f>
        <v/>
      </c>
      <c r="FQ1" s="11">
        <f>IF(OR(SwitchROE&lt;&gt;"ON",Universe!$B$88=""),"",Universe!$B$88)</f>
        <v/>
      </c>
      <c r="FS1" s="11">
        <f>IF(OR(SwitchROE&lt;&gt;"ON",Universe!$B$89=""),"",Universe!$B$89)</f>
        <v/>
      </c>
      <c r="FU1" s="11">
        <f>IF(OR(SwitchROE&lt;&gt;"ON",Universe!$B$90=""),"",Universe!$B$90)</f>
        <v/>
      </c>
      <c r="FW1" s="11">
        <f>IF(OR(SwitchROE&lt;&gt;"ON",Universe!$B$91=""),"",Universe!$B$91)</f>
        <v/>
      </c>
      <c r="FY1" s="11">
        <f>IF(OR(SwitchROE&lt;&gt;"ON",Universe!$B$92=""),"",Universe!$B$92)</f>
        <v/>
      </c>
      <c r="GA1" s="11">
        <f>IF(OR(SwitchROE&lt;&gt;"ON",Universe!$B$93=""),"",Universe!$B$93)</f>
        <v/>
      </c>
      <c r="GC1" s="11">
        <f>IF(OR(SwitchROE&lt;&gt;"ON",Universe!$B$94=""),"",Universe!$B$94)</f>
        <v/>
      </c>
      <c r="GE1" s="11">
        <f>IF(OR(SwitchROE&lt;&gt;"ON",Universe!$B$95=""),"",Universe!$B$95)</f>
        <v/>
      </c>
      <c r="GG1" s="11">
        <f>IF(OR(SwitchROE&lt;&gt;"ON",Universe!$B$96=""),"",Universe!$B$96)</f>
        <v/>
      </c>
      <c r="GI1" s="11">
        <f>IF(OR(SwitchROE&lt;&gt;"ON",Universe!$B$97=""),"",Universe!$B$97)</f>
        <v/>
      </c>
      <c r="GK1" s="11">
        <f>IF(OR(SwitchROE&lt;&gt;"ON",Universe!$B$98=""),"",Universe!$B$98)</f>
        <v/>
      </c>
      <c r="GM1" s="11">
        <f>IF(OR(SwitchROE&lt;&gt;"ON",Universe!$B$99=""),"",Universe!$B$99)</f>
        <v/>
      </c>
      <c r="GO1" s="11">
        <f>IF(OR(SwitchROE&lt;&gt;"ON",Universe!$B$100=""),"",Universe!$B$100)</f>
        <v/>
      </c>
      <c r="GQ1" s="11">
        <f>IF(OR(SwitchROE&lt;&gt;"ON",Universe!$B$101=""),"",Universe!$B$101)</f>
        <v/>
      </c>
      <c r="GS1" s="11">
        <f>IF(OR(SwitchROE&lt;&gt;"ON",Universe!$B$102=""),"",Universe!$B$102)</f>
        <v/>
      </c>
      <c r="GU1" s="11">
        <f>IF(OR(SwitchROE&lt;&gt;"ON",Universe!$B$103=""),"",Universe!$B$103)</f>
        <v/>
      </c>
      <c r="GW1" s="11">
        <f>IF(OR(SwitchROE&lt;&gt;"ON",Universe!$B$104=""),"",Universe!$B$104)</f>
        <v/>
      </c>
      <c r="GY1" s="11">
        <f>IF(OR(SwitchROE&lt;&gt;"ON",Universe!$B$105=""),"",Universe!$B$105)</f>
        <v/>
      </c>
      <c r="HA1" s="11">
        <f>IF(OR(SwitchROE&lt;&gt;"ON",Universe!$B$106=""),"",Universe!$B$106)</f>
        <v/>
      </c>
      <c r="HC1" s="11">
        <f>IF(OR(SwitchROE&lt;&gt;"ON",Universe!$B$107=""),"",Universe!$B$107)</f>
        <v/>
      </c>
      <c r="HE1" s="11">
        <f>IF(OR(SwitchROE&lt;&gt;"ON",Universe!$B$108=""),"",Universe!$B$108)</f>
        <v/>
      </c>
      <c r="HG1" s="11">
        <f>IF(OR(SwitchROE&lt;&gt;"ON",Universe!$B$109=""),"",Universe!$B$109)</f>
        <v/>
      </c>
      <c r="HI1" s="11">
        <f>IF(OR(SwitchROE&lt;&gt;"ON",Universe!$B$110=""),"",Universe!$B$110)</f>
        <v/>
      </c>
      <c r="HK1" s="11">
        <f>IF(OR(SwitchROE&lt;&gt;"ON",Universe!$B$111=""),"",Universe!$B$111)</f>
        <v/>
      </c>
      <c r="HM1" s="11">
        <f>IF(OR(SwitchROE&lt;&gt;"ON",Universe!$B$112=""),"",Universe!$B$112)</f>
        <v/>
      </c>
      <c r="HO1" s="11">
        <f>IF(OR(SwitchROE&lt;&gt;"ON",Universe!$B$113=""),"",Universe!$B$113)</f>
        <v/>
      </c>
      <c r="HQ1" s="11">
        <f>IF(OR(SwitchROE&lt;&gt;"ON",Universe!$B$114=""),"",Universe!$B$114)</f>
        <v/>
      </c>
      <c r="HS1" s="11">
        <f>IF(OR(SwitchROE&lt;&gt;"ON",Universe!$B$115=""),"",Universe!$B$115)</f>
        <v/>
      </c>
      <c r="HU1" s="11">
        <f>IF(OR(SwitchROE&lt;&gt;"ON",Universe!$B$116=""),"",Universe!$B$116)</f>
        <v/>
      </c>
      <c r="HW1" s="11">
        <f>IF(OR(SwitchROE&lt;&gt;"ON",Universe!$B$117=""),"",Universe!$B$117)</f>
        <v/>
      </c>
      <c r="HY1" s="11">
        <f>IF(OR(SwitchROE&lt;&gt;"ON",Universe!$B$118=""),"",Universe!$B$118)</f>
        <v/>
      </c>
      <c r="IA1" s="11">
        <f>IF(OR(SwitchROE&lt;&gt;"ON",Universe!$B$119=""),"",Universe!$B$119)</f>
        <v/>
      </c>
      <c r="IC1" s="11">
        <f>IF(OR(SwitchROE&lt;&gt;"ON",Universe!$B$120=""),"",Universe!$B$120)</f>
        <v/>
      </c>
      <c r="IE1" s="11">
        <f>IF(OR(SwitchROE&lt;&gt;"ON",Universe!$B$121=""),"",Universe!$B$121)</f>
        <v/>
      </c>
      <c r="IG1" s="11">
        <f>IF(OR(SwitchROE&lt;&gt;"ON",Universe!$B$122=""),"",Universe!$B$122)</f>
        <v/>
      </c>
      <c r="II1" s="11">
        <f>IF(OR(SwitchROE&lt;&gt;"ON",Universe!$B$123=""),"",Universe!$B$123)</f>
        <v/>
      </c>
      <c r="IK1" s="11">
        <f>IF(OR(SwitchROE&lt;&gt;"ON",Universe!$B$124=""),"",Universe!$B$124)</f>
        <v/>
      </c>
      <c r="IM1" s="11">
        <f>IF(OR(SwitchROE&lt;&gt;"ON",Universe!$B$125=""),"",Universe!$B$125)</f>
        <v/>
      </c>
      <c r="IO1" s="11">
        <f>IF(OR(SwitchROE&lt;&gt;"ON",Universe!$B$126=""),"",Universe!$B$126)</f>
        <v/>
      </c>
      <c r="IQ1" s="11">
        <f>IF(OR(SwitchROE&lt;&gt;"ON",Universe!$B$127=""),"",Universe!$B$127)</f>
        <v/>
      </c>
      <c r="IS1" s="11">
        <f>IF(OR(SwitchROE&lt;&gt;"ON",Universe!$B$128=""),"",Universe!$B$128)</f>
        <v/>
      </c>
      <c r="IU1" s="11">
        <f>IF(OR(SwitchROE&lt;&gt;"ON",Universe!$B$129=""),"",Universe!$B$129)</f>
        <v/>
      </c>
      <c r="IW1" s="11">
        <f>IF(OR(SwitchROE&lt;&gt;"ON",Universe!$B$130=""),"",Universe!$B$130)</f>
        <v/>
      </c>
      <c r="IY1" s="11">
        <f>IF(OR(SwitchROE&lt;&gt;"ON",Universe!$B$131=""),"",Universe!$B$131)</f>
        <v/>
      </c>
      <c r="JA1" s="11">
        <f>IF(OR(SwitchROE&lt;&gt;"ON",Universe!$B$132=""),"",Universe!$B$132)</f>
        <v/>
      </c>
      <c r="JC1" s="11">
        <f>IF(OR(SwitchROE&lt;&gt;"ON",Universe!$B$133=""),"",Universe!$B$133)</f>
        <v/>
      </c>
      <c r="JE1" s="11">
        <f>IF(OR(SwitchROE&lt;&gt;"ON",Universe!$B$134=""),"",Universe!$B$134)</f>
        <v/>
      </c>
      <c r="JG1" s="11">
        <f>IF(OR(SwitchROE&lt;&gt;"ON",Universe!$B$135=""),"",Universe!$B$135)</f>
        <v/>
      </c>
      <c r="JI1" s="11">
        <f>IF(OR(SwitchROE&lt;&gt;"ON",Universe!$B$136=""),"",Universe!$B$136)</f>
        <v/>
      </c>
      <c r="JK1" s="11">
        <f>IF(OR(SwitchROE&lt;&gt;"ON",Universe!$B$137=""),"",Universe!$B$137)</f>
        <v/>
      </c>
      <c r="JM1" s="11">
        <f>IF(OR(SwitchROE&lt;&gt;"ON",Universe!$B$138=""),"",Universe!$B$138)</f>
        <v/>
      </c>
      <c r="JO1" s="11">
        <f>IF(OR(SwitchROE&lt;&gt;"ON",Universe!$B$139=""),"",Universe!$B$139)</f>
        <v/>
      </c>
      <c r="JQ1" s="11">
        <f>IF(OR(SwitchROE&lt;&gt;"ON",Universe!$B$140=""),"",Universe!$B$140)</f>
        <v/>
      </c>
      <c r="JS1" s="11">
        <f>IF(OR(SwitchROE&lt;&gt;"ON",Universe!$B$141=""),"",Universe!$B$141)</f>
        <v/>
      </c>
      <c r="JU1" s="11">
        <f>IF(OR(SwitchROE&lt;&gt;"ON",Universe!$B$142=""),"",Universe!$B$142)</f>
        <v/>
      </c>
      <c r="JW1" s="11">
        <f>IF(OR(SwitchROE&lt;&gt;"ON",Universe!$B$143=""),"",Universe!$B$143)</f>
        <v/>
      </c>
      <c r="JY1" s="11">
        <f>IF(OR(SwitchROE&lt;&gt;"ON",Universe!$B$144=""),"",Universe!$B$144)</f>
        <v/>
      </c>
      <c r="KA1" s="11">
        <f>IF(OR(SwitchROE&lt;&gt;"ON",Universe!$B$145=""),"",Universe!$B$145)</f>
        <v/>
      </c>
      <c r="KC1" s="11">
        <f>IF(OR(SwitchROE&lt;&gt;"ON",Universe!$B$146=""),"",Universe!$B$146)</f>
        <v/>
      </c>
      <c r="KE1" s="11">
        <f>IF(OR(SwitchROE&lt;&gt;"ON",Universe!$B$147=""),"",Universe!$B$147)</f>
        <v/>
      </c>
      <c r="KG1" s="11">
        <f>IF(OR(SwitchROE&lt;&gt;"ON",Universe!$B$148=""),"",Universe!$B$148)</f>
        <v/>
      </c>
      <c r="KI1" s="11">
        <f>IF(OR(SwitchROE&lt;&gt;"ON",Universe!$B$149=""),"",Universe!$B$149)</f>
        <v/>
      </c>
      <c r="KK1" s="11">
        <f>IF(OR(SwitchROE&lt;&gt;"ON",Universe!$B$150=""),"",Universe!$B$150)</f>
        <v/>
      </c>
      <c r="KM1" s="11">
        <f>IF(OR(SwitchROE&lt;&gt;"ON",Universe!$B$151=""),"",Universe!$B$151)</f>
        <v/>
      </c>
      <c r="KO1" s="11">
        <f>IF(OR(SwitchROE&lt;&gt;"ON",Universe!$B$152=""),"",Universe!$B$152)</f>
        <v/>
      </c>
      <c r="KQ1" s="11">
        <f>IF(OR(SwitchROE&lt;&gt;"ON",Universe!$B$153=""),"",Universe!$B$153)</f>
        <v/>
      </c>
      <c r="KS1" s="11">
        <f>IF(OR(SwitchROE&lt;&gt;"ON",Universe!$B$154=""),"",Universe!$B$154)</f>
        <v/>
      </c>
      <c r="KU1" s="11">
        <f>IF(OR(SwitchROE&lt;&gt;"ON",Universe!$B$155=""),"",Universe!$B$155)</f>
        <v/>
      </c>
      <c r="KW1" s="11">
        <f>IF(OR(SwitchROE&lt;&gt;"ON",Universe!$B$156=""),"",Universe!$B$156)</f>
        <v/>
      </c>
      <c r="KY1" s="11">
        <f>IF(OR(SwitchROE&lt;&gt;"ON",Universe!$B$157=""),"",Universe!$B$157)</f>
        <v/>
      </c>
      <c r="LA1" s="11">
        <f>IF(OR(SwitchROE&lt;&gt;"ON",Universe!$B$158=""),"",Universe!$B$158)</f>
        <v/>
      </c>
      <c r="LC1" s="11">
        <f>IF(OR(SwitchROE&lt;&gt;"ON",Universe!$B$159=""),"",Universe!$B$159)</f>
        <v/>
      </c>
      <c r="LE1" s="11">
        <f>IF(OR(SwitchROE&lt;&gt;"ON",Universe!$B$160=""),"",Universe!$B$160)</f>
        <v/>
      </c>
      <c r="LG1" s="11">
        <f>IF(OR(SwitchROE&lt;&gt;"ON",Universe!$B$161=""),"",Universe!$B$161)</f>
        <v/>
      </c>
      <c r="LI1" s="11">
        <f>IF(OR(SwitchROE&lt;&gt;"ON",Universe!$B$162=""),"",Universe!$B$162)</f>
        <v/>
      </c>
      <c r="LK1" s="11">
        <f>IF(OR(SwitchROE&lt;&gt;"ON",Universe!$B$163=""),"",Universe!$B$163)</f>
        <v/>
      </c>
      <c r="LM1" s="11">
        <f>IF(OR(SwitchROE&lt;&gt;"ON",Universe!$B$164=""),"",Universe!$B$164)</f>
        <v/>
      </c>
      <c r="LO1" s="11">
        <f>IF(OR(SwitchROE&lt;&gt;"ON",Universe!$B$165=""),"",Universe!$B$165)</f>
        <v/>
      </c>
      <c r="LQ1" s="11">
        <f>IF(OR(SwitchROE&lt;&gt;"ON",Universe!$B$166=""),"",Universe!$B$166)</f>
        <v/>
      </c>
      <c r="LS1" s="11">
        <f>IF(OR(SwitchROE&lt;&gt;"ON",Universe!$B$167=""),"",Universe!$B$167)</f>
        <v/>
      </c>
      <c r="LU1" s="11">
        <f>IF(OR(SwitchROE&lt;&gt;"ON",Universe!$B$168=""),"",Universe!$B$168)</f>
        <v/>
      </c>
      <c r="LW1" s="11">
        <f>IF(OR(SwitchROE&lt;&gt;"ON",Universe!$B$169=""),"",Universe!$B$169)</f>
        <v/>
      </c>
      <c r="LY1" s="11">
        <f>IF(OR(SwitchROE&lt;&gt;"ON",Universe!$B$170=""),"",Universe!$B$170)</f>
        <v/>
      </c>
      <c r="MA1" s="11">
        <f>IF(OR(SwitchROE&lt;&gt;"ON",Universe!$B$171=""),"",Universe!$B$171)</f>
        <v/>
      </c>
      <c r="MC1" s="11">
        <f>IF(OR(SwitchROE&lt;&gt;"ON",Universe!$B$172=""),"",Universe!$B$172)</f>
        <v/>
      </c>
      <c r="ME1" s="11">
        <f>IF(OR(SwitchROE&lt;&gt;"ON",Universe!$B$173=""),"",Universe!$B$173)</f>
        <v/>
      </c>
      <c r="MG1" s="11">
        <f>IF(OR(SwitchROE&lt;&gt;"ON",Universe!$B$174=""),"",Universe!$B$174)</f>
        <v/>
      </c>
      <c r="MI1" s="11">
        <f>IF(OR(SwitchROE&lt;&gt;"ON",Universe!$B$175=""),"",Universe!$B$175)</f>
        <v/>
      </c>
      <c r="MK1" s="11">
        <f>IF(OR(SwitchROE&lt;&gt;"ON",Universe!$B$176=""),"",Universe!$B$176)</f>
        <v/>
      </c>
      <c r="MM1" s="11">
        <f>IF(OR(SwitchROE&lt;&gt;"ON",Universe!$B$177=""),"",Universe!$B$177)</f>
        <v/>
      </c>
      <c r="MO1" s="11">
        <f>IF(OR(SwitchROE&lt;&gt;"ON",Universe!$B$178=""),"",Universe!$B$178)</f>
        <v/>
      </c>
      <c r="MQ1" s="11">
        <f>IF(OR(SwitchROE&lt;&gt;"ON",Universe!$B$179=""),"",Universe!$B$179)</f>
        <v/>
      </c>
      <c r="MS1" s="11">
        <f>IF(OR(SwitchROE&lt;&gt;"ON",Universe!$B$180=""),"",Universe!$B$180)</f>
        <v/>
      </c>
      <c r="MU1" s="11">
        <f>IF(OR(SwitchROE&lt;&gt;"ON",Universe!$B$181=""),"",Universe!$B$181)</f>
        <v/>
      </c>
      <c r="MW1" s="11">
        <f>IF(OR(SwitchROE&lt;&gt;"ON",Universe!$B$182=""),"",Universe!$B$182)</f>
        <v/>
      </c>
      <c r="MY1" s="11">
        <f>IF(OR(SwitchROE&lt;&gt;"ON",Universe!$B$183=""),"",Universe!$B$183)</f>
        <v/>
      </c>
      <c r="NA1" s="11">
        <f>IF(OR(SwitchROE&lt;&gt;"ON",Universe!$B$184=""),"",Universe!$B$184)</f>
        <v/>
      </c>
      <c r="NC1" s="11">
        <f>IF(OR(SwitchROE&lt;&gt;"ON",Universe!$B$185=""),"",Universe!$B$185)</f>
        <v/>
      </c>
      <c r="NE1" s="11">
        <f>IF(OR(SwitchROE&lt;&gt;"ON",Universe!$B$186=""),"",Universe!$B$186)</f>
        <v/>
      </c>
      <c r="NG1" s="11">
        <f>IF(OR(SwitchROE&lt;&gt;"ON",Universe!$B$187=""),"",Universe!$B$187)</f>
        <v/>
      </c>
      <c r="NI1" s="11">
        <f>IF(OR(SwitchROE&lt;&gt;"ON",Universe!$B$188=""),"",Universe!$B$188)</f>
        <v/>
      </c>
      <c r="NK1" s="11">
        <f>IF(OR(SwitchROE&lt;&gt;"ON",Universe!$B$189=""),"",Universe!$B$189)</f>
        <v/>
      </c>
      <c r="NM1" s="11">
        <f>IF(OR(SwitchROE&lt;&gt;"ON",Universe!$B$190=""),"",Universe!$B$190)</f>
        <v/>
      </c>
      <c r="NO1" s="11">
        <f>IF(OR(SwitchROE&lt;&gt;"ON",Universe!$B$191=""),"",Universe!$B$191)</f>
        <v/>
      </c>
      <c r="NQ1" s="11">
        <f>IF(OR(SwitchROE&lt;&gt;"ON",Universe!$B$192=""),"",Universe!$B$192)</f>
        <v/>
      </c>
      <c r="NS1" s="11">
        <f>IF(OR(SwitchROE&lt;&gt;"ON",Universe!$B$193=""),"",Universe!$B$193)</f>
        <v/>
      </c>
      <c r="NU1" s="11">
        <f>IF(OR(SwitchROE&lt;&gt;"ON",Universe!$B$194=""),"",Universe!$B$194)</f>
        <v/>
      </c>
      <c r="NW1" s="11">
        <f>IF(OR(SwitchROE&lt;&gt;"ON",Universe!$B$195=""),"",Universe!$B$195)</f>
        <v/>
      </c>
      <c r="NY1" s="11">
        <f>IF(OR(SwitchROE&lt;&gt;"ON",Universe!$B$196=""),"",Universe!$B$196)</f>
        <v/>
      </c>
      <c r="OA1" s="11">
        <f>IF(OR(SwitchROE&lt;&gt;"ON",Universe!$B$197=""),"",Universe!$B$197)</f>
        <v/>
      </c>
      <c r="OC1" s="11">
        <f>IF(OR(SwitchROE&lt;&gt;"ON",Universe!$B$198=""),"",Universe!$B$198)</f>
        <v/>
      </c>
      <c r="OE1" s="11">
        <f>IF(OR(SwitchROE&lt;&gt;"ON",Universe!$B$199=""),"",Universe!$B$199)</f>
        <v/>
      </c>
      <c r="OG1" s="11">
        <f>IF(OR(SwitchROE&lt;&gt;"ON",Universe!$B$200=""),"",Universe!$B$200)</f>
        <v/>
      </c>
      <c r="OI1" s="11">
        <f>IF(OR(SwitchROE&lt;&gt;"ON",Universe!$B$201=""),"",Universe!$B$201)</f>
        <v/>
      </c>
      <c r="OK1" s="11">
        <f>IF(OR(SwitchROE&lt;&gt;"ON",Universe!$B$202=""),"",Universe!$B$202)</f>
        <v/>
      </c>
      <c r="OM1" s="11">
        <f>IF(OR(SwitchROE&lt;&gt;"ON",Universe!$B$203=""),"",Universe!$B$203)</f>
        <v/>
      </c>
      <c r="OO1" s="11">
        <f>IF(OR(SwitchROE&lt;&gt;"ON",Universe!$B$204=""),"",Universe!$B$204)</f>
        <v/>
      </c>
      <c r="OQ1" s="11">
        <f>IF(OR(SwitchROE&lt;&gt;"ON",Universe!$B$205=""),"",Universe!$B$205)</f>
        <v/>
      </c>
      <c r="OS1" s="11">
        <f>IF(OR(SwitchROE&lt;&gt;"ON",Universe!$B$206=""),"",Universe!$B$206)</f>
        <v/>
      </c>
      <c r="OU1" s="11">
        <f>IF(OR(SwitchROE&lt;&gt;"ON",Universe!$B$207=""),"",Universe!$B$207)</f>
        <v/>
      </c>
      <c r="OW1" s="11">
        <f>IF(OR(SwitchROE&lt;&gt;"ON",Universe!$B$208=""),"",Universe!$B$208)</f>
        <v/>
      </c>
      <c r="OY1" s="11">
        <f>IF(OR(SwitchROE&lt;&gt;"ON",Universe!$B$209=""),"",Universe!$B$209)</f>
        <v/>
      </c>
      <c r="PA1" s="11">
        <f>IF(OR(SwitchROE&lt;&gt;"ON",Universe!$B$210=""),"",Universe!$B$210)</f>
        <v/>
      </c>
      <c r="PC1" s="11">
        <f>IF(OR(SwitchROE&lt;&gt;"ON",Universe!$B$211=""),"",Universe!$B$211)</f>
        <v/>
      </c>
      <c r="PE1" s="11">
        <f>IF(OR(SwitchROE&lt;&gt;"ON",Universe!$B$212=""),"",Universe!$B$212)</f>
        <v/>
      </c>
      <c r="PG1" s="11">
        <f>IF(OR(SwitchROE&lt;&gt;"ON",Universe!$B$213=""),"",Universe!$B$213)</f>
        <v/>
      </c>
      <c r="PI1" s="11">
        <f>IF(OR(SwitchROE&lt;&gt;"ON",Universe!$B$214=""),"",Universe!$B$214)</f>
        <v/>
      </c>
      <c r="PK1" s="11">
        <f>IF(OR(SwitchROE&lt;&gt;"ON",Universe!$B$215=""),"",Universe!$B$215)</f>
        <v/>
      </c>
      <c r="PM1" s="11">
        <f>IF(OR(SwitchROE&lt;&gt;"ON",Universe!$B$216=""),"",Universe!$B$216)</f>
        <v/>
      </c>
      <c r="PO1" s="11">
        <f>IF(OR(SwitchROE&lt;&gt;"ON",Universe!$B$217=""),"",Universe!$B$217)</f>
        <v/>
      </c>
      <c r="PQ1" s="11">
        <f>IF(OR(SwitchROE&lt;&gt;"ON",Universe!$B$218=""),"",Universe!$B$218)</f>
        <v/>
      </c>
      <c r="PS1" s="11">
        <f>IF(OR(SwitchROE&lt;&gt;"ON",Universe!$B$219=""),"",Universe!$B$219)</f>
        <v/>
      </c>
      <c r="PU1" s="11">
        <f>IF(OR(SwitchROE&lt;&gt;"ON",Universe!$B$220=""),"",Universe!$B$220)</f>
        <v/>
      </c>
      <c r="PW1" s="11">
        <f>IF(OR(SwitchROE&lt;&gt;"ON",Universe!$B$221=""),"",Universe!$B$221)</f>
        <v/>
      </c>
      <c r="PY1" s="11">
        <f>IF(OR(SwitchROE&lt;&gt;"ON",Universe!$B$222=""),"",Universe!$B$222)</f>
        <v/>
      </c>
      <c r="QA1" s="11">
        <f>IF(OR(SwitchROE&lt;&gt;"ON",Universe!$B$223=""),"",Universe!$B$223)</f>
        <v/>
      </c>
      <c r="QC1" s="11">
        <f>IF(OR(SwitchROE&lt;&gt;"ON",Universe!$B$224=""),"",Universe!$B$224)</f>
        <v/>
      </c>
      <c r="QE1" s="11">
        <f>IF(OR(SwitchROE&lt;&gt;"ON",Universe!$B$225=""),"",Universe!$B$225)</f>
        <v/>
      </c>
      <c r="QG1" s="11">
        <f>IF(OR(SwitchROE&lt;&gt;"ON",Universe!$B$226=""),"",Universe!$B$226)</f>
        <v/>
      </c>
      <c r="QI1" s="11">
        <f>IF(OR(SwitchROE&lt;&gt;"ON",Universe!$B$227=""),"",Universe!$B$227)</f>
        <v/>
      </c>
      <c r="QK1" s="11">
        <f>IF(OR(SwitchROE&lt;&gt;"ON",Universe!$B$228=""),"",Universe!$B$228)</f>
        <v/>
      </c>
      <c r="QM1" s="11">
        <f>IF(OR(SwitchROE&lt;&gt;"ON",Universe!$B$229=""),"",Universe!$B$229)</f>
        <v/>
      </c>
      <c r="QO1" s="11">
        <f>IF(OR(SwitchROE&lt;&gt;"ON",Universe!$B$230=""),"",Universe!$B$230)</f>
        <v/>
      </c>
      <c r="QQ1" s="11">
        <f>IF(OR(SwitchROE&lt;&gt;"ON",Universe!$B$231=""),"",Universe!$B$231)</f>
        <v/>
      </c>
      <c r="QS1" s="11">
        <f>IF(OR(SwitchROE&lt;&gt;"ON",Universe!$B$232=""),"",Universe!$B$232)</f>
        <v/>
      </c>
      <c r="QU1" s="11">
        <f>IF(OR(SwitchROE&lt;&gt;"ON",Universe!$B$233=""),"",Universe!$B$233)</f>
        <v/>
      </c>
      <c r="QW1" s="11">
        <f>IF(OR(SwitchROE&lt;&gt;"ON",Universe!$B$234=""),"",Universe!$B$234)</f>
        <v/>
      </c>
      <c r="QY1" s="11">
        <f>IF(OR(SwitchROE&lt;&gt;"ON",Universe!$B$235=""),"",Universe!$B$235)</f>
        <v/>
      </c>
      <c r="RA1" s="11">
        <f>IF(OR(SwitchROE&lt;&gt;"ON",Universe!$B$236=""),"",Universe!$B$236)</f>
        <v/>
      </c>
      <c r="RC1" s="11">
        <f>IF(OR(SwitchROE&lt;&gt;"ON",Universe!$B$237=""),"",Universe!$B$237)</f>
        <v/>
      </c>
      <c r="RE1" s="11">
        <f>IF(OR(SwitchROE&lt;&gt;"ON",Universe!$B$238=""),"",Universe!$B$238)</f>
        <v/>
      </c>
      <c r="RG1" s="11">
        <f>IF(OR(SwitchROE&lt;&gt;"ON",Universe!$B$239=""),"",Universe!$B$239)</f>
        <v/>
      </c>
      <c r="RI1" s="11">
        <f>IF(OR(SwitchROE&lt;&gt;"ON",Universe!$B$240=""),"",Universe!$B$240)</f>
        <v/>
      </c>
      <c r="RK1" s="11">
        <f>IF(OR(SwitchROE&lt;&gt;"ON",Universe!$B$241=""),"",Universe!$B$241)</f>
        <v/>
      </c>
      <c r="RM1" s="11">
        <f>IF(OR(SwitchROE&lt;&gt;"ON",Universe!$B$242=""),"",Universe!$B$242)</f>
        <v/>
      </c>
      <c r="RO1" s="11">
        <f>IF(OR(SwitchROE&lt;&gt;"ON",Universe!$B$243=""),"",Universe!$B$243)</f>
        <v/>
      </c>
      <c r="RQ1" s="11">
        <f>IF(OR(SwitchROE&lt;&gt;"ON",Universe!$B$244=""),"",Universe!$B$244)</f>
        <v/>
      </c>
      <c r="RS1" s="11">
        <f>IF(OR(SwitchROE&lt;&gt;"ON",Universe!$B$245=""),"",Universe!$B$245)</f>
        <v/>
      </c>
      <c r="RU1" s="11">
        <f>IF(OR(SwitchROE&lt;&gt;"ON",Universe!$B$246=""),"",Universe!$B$246)</f>
        <v/>
      </c>
      <c r="RW1" s="11">
        <f>IF(OR(SwitchROE&lt;&gt;"ON",Universe!$B$247=""),"",Universe!$B$247)</f>
        <v/>
      </c>
      <c r="RY1" s="11">
        <f>IF(OR(SwitchROE&lt;&gt;"ON",Universe!$B$248=""),"",Universe!$B$248)</f>
        <v/>
      </c>
      <c r="SA1" s="11">
        <f>IF(OR(SwitchROE&lt;&gt;"ON",Universe!$B$249=""),"",Universe!$B$249)</f>
        <v/>
      </c>
      <c r="SC1" s="11">
        <f>IF(OR(SwitchROE&lt;&gt;"ON",Universe!$B$250=""),"",Universe!$B$250)</f>
        <v/>
      </c>
      <c r="SE1" s="11">
        <f>IF(OR(SwitchROE&lt;&gt;"ON",Universe!$B$251=""),"",Universe!$B$251)</f>
        <v/>
      </c>
      <c r="SG1" s="11">
        <f>IF(OR(SwitchROE&lt;&gt;"ON",Universe!$B$252=""),"",Universe!$B$252)</f>
        <v/>
      </c>
      <c r="SI1" s="11">
        <f>IF(OR(SwitchROE&lt;&gt;"ON",Universe!$B$253=""),"",Universe!$B$253)</f>
        <v/>
      </c>
      <c r="SK1" s="11">
        <f>IF(OR(SwitchROE&lt;&gt;"ON",Universe!$B$254=""),"",Universe!$B$254)</f>
        <v/>
      </c>
      <c r="SM1" s="11">
        <f>IF(OR(SwitchROE&lt;&gt;"ON",Universe!$B$255=""),"",Universe!$B$255)</f>
        <v/>
      </c>
      <c r="SO1" s="11">
        <f>IF(OR(SwitchROE&lt;&gt;"ON",Universe!$B$256=""),"",Universe!$B$256)</f>
        <v/>
      </c>
      <c r="SQ1" s="11">
        <f>IF(OR(SwitchROE&lt;&gt;"ON",Universe!$B$257=""),"",Universe!$B$257)</f>
        <v/>
      </c>
      <c r="SS1" s="11">
        <f>IF(OR(SwitchROE&lt;&gt;"ON",Universe!$B$258=""),"",Universe!$B$258)</f>
        <v/>
      </c>
      <c r="SU1" s="11">
        <f>IF(OR(SwitchROE&lt;&gt;"ON",Universe!$B$259=""),"",Universe!$B$259)</f>
        <v/>
      </c>
      <c r="SW1" s="11">
        <f>IF(OR(SwitchROE&lt;&gt;"ON",Universe!$B$260=""),"",Universe!$B$260)</f>
        <v/>
      </c>
      <c r="SY1" s="11">
        <f>IF(OR(SwitchROE&lt;&gt;"ON",Universe!$B$261=""),"",Universe!$B$261)</f>
        <v/>
      </c>
      <c r="TA1" s="11">
        <f>IF(OR(SwitchROE&lt;&gt;"ON",Universe!$B$262=""),"",Universe!$B$262)</f>
        <v/>
      </c>
      <c r="TC1" s="11">
        <f>IF(OR(SwitchROE&lt;&gt;"ON",Universe!$B$263=""),"",Universe!$B$263)</f>
        <v/>
      </c>
      <c r="TE1" s="11">
        <f>IF(OR(SwitchROE&lt;&gt;"ON",Universe!$B$264=""),"",Universe!$B$264)</f>
        <v/>
      </c>
      <c r="TG1" s="11">
        <f>IF(OR(SwitchROE&lt;&gt;"ON",Universe!$B$265=""),"",Universe!$B$265)</f>
        <v/>
      </c>
      <c r="TI1" s="11">
        <f>IF(OR(SwitchROE&lt;&gt;"ON",Universe!$B$266=""),"",Universe!$B$266)</f>
        <v/>
      </c>
      <c r="TK1" s="11">
        <f>IF(OR(SwitchROE&lt;&gt;"ON",Universe!$B$267=""),"",Universe!$B$267)</f>
        <v/>
      </c>
      <c r="TM1" s="11">
        <f>IF(OR(SwitchROE&lt;&gt;"ON",Universe!$B$268=""),"",Universe!$B$268)</f>
        <v/>
      </c>
      <c r="TO1" s="11">
        <f>IF(OR(SwitchROE&lt;&gt;"ON",Universe!$B$269=""),"",Universe!$B$269)</f>
        <v/>
      </c>
      <c r="TQ1" s="11">
        <f>IF(OR(SwitchROE&lt;&gt;"ON",Universe!$B$270=""),"",Universe!$B$270)</f>
        <v/>
      </c>
      <c r="TS1" s="11">
        <f>IF(OR(SwitchROE&lt;&gt;"ON",Universe!$B$271=""),"",Universe!$B$271)</f>
        <v/>
      </c>
      <c r="TU1" s="11">
        <f>IF(OR(SwitchROE&lt;&gt;"ON",Universe!$B$272=""),"",Universe!$B$272)</f>
        <v/>
      </c>
      <c r="TW1" s="11">
        <f>IF(OR(SwitchROE&lt;&gt;"ON",Universe!$B$273=""),"",Universe!$B$273)</f>
        <v/>
      </c>
      <c r="TY1" s="11">
        <f>IF(OR(SwitchROE&lt;&gt;"ON",Universe!$B$274=""),"",Universe!$B$274)</f>
        <v/>
      </c>
      <c r="UA1" s="11">
        <f>IF(OR(SwitchROE&lt;&gt;"ON",Universe!$B$275=""),"",Universe!$B$275)</f>
        <v/>
      </c>
      <c r="UC1" s="11">
        <f>IF(OR(SwitchROE&lt;&gt;"ON",Universe!$B$276=""),"",Universe!$B$276)</f>
        <v/>
      </c>
      <c r="UE1" s="11">
        <f>IF(OR(SwitchROE&lt;&gt;"ON",Universe!$B$277=""),"",Universe!$B$277)</f>
        <v/>
      </c>
      <c r="UG1" s="11">
        <f>IF(OR(SwitchROE&lt;&gt;"ON",Universe!$B$278=""),"",Universe!$B$278)</f>
        <v/>
      </c>
      <c r="UI1" s="11">
        <f>IF(OR(SwitchROE&lt;&gt;"ON",Universe!$B$279=""),"",Universe!$B$279)</f>
        <v/>
      </c>
      <c r="UK1" s="11">
        <f>IF(OR(SwitchROE&lt;&gt;"ON",Universe!$B$280=""),"",Universe!$B$280)</f>
        <v/>
      </c>
      <c r="UM1" s="11">
        <f>IF(OR(SwitchROE&lt;&gt;"ON",Universe!$B$281=""),"",Universe!$B$281)</f>
        <v/>
      </c>
      <c r="UO1" s="11">
        <f>IF(OR(SwitchROE&lt;&gt;"ON",Universe!$B$282=""),"",Universe!$B$282)</f>
        <v/>
      </c>
      <c r="UQ1" s="11">
        <f>IF(OR(SwitchROE&lt;&gt;"ON",Universe!$B$283=""),"",Universe!$B$283)</f>
        <v/>
      </c>
      <c r="US1" s="11">
        <f>IF(OR(SwitchROE&lt;&gt;"ON",Universe!$B$284=""),"",Universe!$B$284)</f>
        <v/>
      </c>
      <c r="UU1" s="11">
        <f>IF(OR(SwitchROE&lt;&gt;"ON",Universe!$B$285=""),"",Universe!$B$285)</f>
        <v/>
      </c>
      <c r="UW1" s="11">
        <f>IF(OR(SwitchROE&lt;&gt;"ON",Universe!$B$286=""),"",Universe!$B$286)</f>
        <v/>
      </c>
      <c r="UY1" s="11">
        <f>IF(OR(SwitchROE&lt;&gt;"ON",Universe!$B$287=""),"",Universe!$B$287)</f>
        <v/>
      </c>
      <c r="VA1" s="11">
        <f>IF(OR(SwitchROE&lt;&gt;"ON",Universe!$B$288=""),"",Universe!$B$288)</f>
        <v/>
      </c>
      <c r="VC1" s="11">
        <f>IF(OR(SwitchROE&lt;&gt;"ON",Universe!$B$289=""),"",Universe!$B$289)</f>
        <v/>
      </c>
      <c r="VE1" s="11">
        <f>IF(OR(SwitchROE&lt;&gt;"ON",Universe!$B$290=""),"",Universe!$B$290)</f>
        <v/>
      </c>
      <c r="VG1" s="11">
        <f>IF(OR(SwitchROE&lt;&gt;"ON",Universe!$B$291=""),"",Universe!$B$291)</f>
        <v/>
      </c>
      <c r="VI1" s="11">
        <f>IF(OR(SwitchROE&lt;&gt;"ON",Universe!$B$292=""),"",Universe!$B$292)</f>
        <v/>
      </c>
      <c r="VK1" s="11">
        <f>IF(OR(SwitchROE&lt;&gt;"ON",Universe!$B$293=""),"",Universe!$B$293)</f>
        <v/>
      </c>
      <c r="VM1" s="11">
        <f>IF(OR(SwitchROE&lt;&gt;"ON",Universe!$B$294=""),"",Universe!$B$294)</f>
        <v/>
      </c>
      <c r="VO1" s="11">
        <f>IF(OR(SwitchROE&lt;&gt;"ON",Universe!$B$295=""),"",Universe!$B$295)</f>
        <v/>
      </c>
      <c r="VQ1" s="11">
        <f>IF(OR(SwitchROE&lt;&gt;"ON",Universe!$B$296=""),"",Universe!$B$296)</f>
        <v/>
      </c>
      <c r="VS1" s="11">
        <f>IF(OR(SwitchROE&lt;&gt;"ON",Universe!$B$297=""),"",Universe!$B$297)</f>
        <v/>
      </c>
      <c r="VU1" s="11">
        <f>IF(OR(SwitchROE&lt;&gt;"ON",Universe!$B$298=""),"",Universe!$B$298)</f>
        <v/>
      </c>
      <c r="VW1" s="11">
        <f>IF(OR(SwitchROE&lt;&gt;"ON",Universe!$B$299=""),"",Universe!$B$299)</f>
        <v/>
      </c>
      <c r="VY1" s="11">
        <f>IF(OR(SwitchROE&lt;&gt;"ON",Universe!$B$300=""),"",Universe!$B$300)</f>
        <v/>
      </c>
      <c r="WA1" s="11">
        <f>IF(OR(SwitchROE&lt;&gt;"ON",Universe!$B$301=""),"",Universe!$B$301)</f>
        <v/>
      </c>
      <c r="WC1" s="11">
        <f>IF(OR(SwitchROE&lt;&gt;"ON",Universe!$B$302=""),"",Universe!$B$302)</f>
        <v/>
      </c>
      <c r="WE1" s="11">
        <f>IF(OR(SwitchROE&lt;&gt;"ON",Universe!$B$303=""),"",Universe!$B$303)</f>
        <v/>
      </c>
      <c r="WG1" s="11">
        <f>IF(OR(SwitchROE&lt;&gt;"ON",Universe!$B$304=""),"",Universe!$B$304)</f>
        <v/>
      </c>
      <c r="WI1" s="11">
        <f>IF(OR(SwitchROE&lt;&gt;"ON",Universe!$B$305=""),"",Universe!$B$305)</f>
        <v/>
      </c>
      <c r="WK1" s="11">
        <f>IF(OR(SwitchROE&lt;&gt;"ON",Universe!$B$306=""),"",Universe!$B$306)</f>
        <v/>
      </c>
      <c r="WM1" s="11">
        <f>IF(OR(SwitchROE&lt;&gt;"ON",Universe!$B$307=""),"",Universe!$B$307)</f>
        <v/>
      </c>
      <c r="WO1" s="11">
        <f>IF(OR(SwitchROE&lt;&gt;"ON",Universe!$B$308=""),"",Universe!$B$308)</f>
        <v/>
      </c>
      <c r="WQ1" s="11">
        <f>IF(OR(SwitchROE&lt;&gt;"ON",Universe!$B$309=""),"",Universe!$B$309)</f>
        <v/>
      </c>
      <c r="WS1" s="11">
        <f>IF(OR(SwitchROE&lt;&gt;"ON",Universe!$B$310=""),"",Universe!$B$310)</f>
        <v/>
      </c>
      <c r="WU1" s="11">
        <f>IF(OR(SwitchROE&lt;&gt;"ON",Universe!$B$311=""),"",Universe!$B$311)</f>
        <v/>
      </c>
      <c r="WW1" s="11">
        <f>IF(OR(SwitchROE&lt;&gt;"ON",Universe!$B$312=""),"",Universe!$B$312)</f>
        <v/>
      </c>
      <c r="WY1" s="11">
        <f>IF(OR(SwitchROE&lt;&gt;"ON",Universe!$B$313=""),"",Universe!$B$313)</f>
        <v/>
      </c>
      <c r="XA1" s="11">
        <f>IF(OR(SwitchROE&lt;&gt;"ON",Universe!$B$314=""),"",Universe!$B$314)</f>
        <v/>
      </c>
      <c r="XC1" s="11">
        <f>IF(OR(SwitchROE&lt;&gt;"ON",Universe!$B$315=""),"",Universe!$B$315)</f>
        <v/>
      </c>
      <c r="XE1" s="11">
        <f>IF(OR(SwitchROE&lt;&gt;"ON",Universe!$B$316=""),"",Universe!$B$316)</f>
        <v/>
      </c>
      <c r="XG1" s="11">
        <f>IF(OR(SwitchROE&lt;&gt;"ON",Universe!$B$317=""),"",Universe!$B$317)</f>
        <v/>
      </c>
      <c r="XI1" s="11">
        <f>IF(OR(SwitchROE&lt;&gt;"ON",Universe!$B$318=""),"",Universe!$B$318)</f>
        <v/>
      </c>
      <c r="XK1" s="11">
        <f>IF(OR(SwitchROE&lt;&gt;"ON",Universe!$B$319=""),"",Universe!$B$319)</f>
        <v/>
      </c>
      <c r="XM1" s="11">
        <f>IF(OR(SwitchROE&lt;&gt;"ON",Universe!$B$320=""),"",Universe!$B$320)</f>
        <v/>
      </c>
      <c r="XO1" s="11">
        <f>IF(OR(SwitchROE&lt;&gt;"ON",Universe!$B$321=""),"",Universe!$B$321)</f>
        <v/>
      </c>
      <c r="XQ1" s="11">
        <f>IF(OR(SwitchROE&lt;&gt;"ON",Universe!$B$322=""),"",Universe!$B$322)</f>
        <v/>
      </c>
      <c r="XS1" s="11">
        <f>IF(OR(SwitchROE&lt;&gt;"ON",Universe!$B$323=""),"",Universe!$B$323)</f>
        <v/>
      </c>
      <c r="XU1" s="11">
        <f>IF(OR(SwitchROE&lt;&gt;"ON",Universe!$B$324=""),"",Universe!$B$324)</f>
        <v/>
      </c>
      <c r="XW1" s="11">
        <f>IF(OR(SwitchROE&lt;&gt;"ON",Universe!$B$325=""),"",Universe!$B$325)</f>
        <v/>
      </c>
      <c r="XY1" s="11">
        <f>IF(OR(SwitchROE&lt;&gt;"ON",Universe!$B$326=""),"",Universe!$B$326)</f>
        <v/>
      </c>
      <c r="YA1" s="11">
        <f>IF(OR(SwitchROE&lt;&gt;"ON",Universe!$B$327=""),"",Universe!$B$327)</f>
        <v/>
      </c>
      <c r="YC1" s="11">
        <f>IF(OR(SwitchROE&lt;&gt;"ON",Universe!$B$328=""),"",Universe!$B$328)</f>
        <v/>
      </c>
      <c r="YE1" s="11">
        <f>IF(OR(SwitchROE&lt;&gt;"ON",Universe!$B$329=""),"",Universe!$B$329)</f>
        <v/>
      </c>
      <c r="YG1" s="11">
        <f>IF(OR(SwitchROE&lt;&gt;"ON",Universe!$B$330=""),"",Universe!$B$330)</f>
        <v/>
      </c>
      <c r="YI1" s="11">
        <f>IF(OR(SwitchROE&lt;&gt;"ON",Universe!$B$331=""),"",Universe!$B$331)</f>
        <v/>
      </c>
      <c r="YK1" s="11">
        <f>IF(OR(SwitchROE&lt;&gt;"ON",Universe!$B$332=""),"",Universe!$B$332)</f>
        <v/>
      </c>
      <c r="YM1" s="11">
        <f>IF(OR(SwitchROE&lt;&gt;"ON",Universe!$B$333=""),"",Universe!$B$333)</f>
        <v/>
      </c>
      <c r="YO1" s="11">
        <f>IF(OR(SwitchROE&lt;&gt;"ON",Universe!$B$334=""),"",Universe!$B$334)</f>
        <v/>
      </c>
      <c r="YQ1" s="11">
        <f>IF(OR(SwitchROE&lt;&gt;"ON",Universe!$B$335=""),"",Universe!$B$335)</f>
        <v/>
      </c>
      <c r="YS1" s="11">
        <f>IF(OR(SwitchROE&lt;&gt;"ON",Universe!$B$336=""),"",Universe!$B$336)</f>
        <v/>
      </c>
      <c r="YU1" s="11">
        <f>IF(OR(SwitchROE&lt;&gt;"ON",Universe!$B$337=""),"",Universe!$B$337)</f>
        <v/>
      </c>
      <c r="YW1" s="11">
        <f>IF(OR(SwitchROE&lt;&gt;"ON",Universe!$B$338=""),"",Universe!$B$338)</f>
        <v/>
      </c>
      <c r="YY1" s="11">
        <f>IF(OR(SwitchROE&lt;&gt;"ON",Universe!$B$339=""),"",Universe!$B$339)</f>
        <v/>
      </c>
      <c r="ZA1" s="11">
        <f>IF(OR(SwitchROE&lt;&gt;"ON",Universe!$B$340=""),"",Universe!$B$340)</f>
        <v/>
      </c>
      <c r="ZC1" s="11">
        <f>IF(OR(SwitchROE&lt;&gt;"ON",Universe!$B$341=""),"",Universe!$B$341)</f>
        <v/>
      </c>
      <c r="ZE1" s="11">
        <f>IF(OR(SwitchROE&lt;&gt;"ON",Universe!$B$342=""),"",Universe!$B$342)</f>
        <v/>
      </c>
      <c r="ZG1" s="11">
        <f>IF(OR(SwitchROE&lt;&gt;"ON",Universe!$B$343=""),"",Universe!$B$343)</f>
        <v/>
      </c>
      <c r="ZI1" s="11">
        <f>IF(OR(SwitchROE&lt;&gt;"ON",Universe!$B$344=""),"",Universe!$B$344)</f>
        <v/>
      </c>
      <c r="ZK1" s="11">
        <f>IF(OR(SwitchROE&lt;&gt;"ON",Universe!$B$345=""),"",Universe!$B$345)</f>
        <v/>
      </c>
      <c r="ZM1" s="11">
        <f>IF(OR(SwitchROE&lt;&gt;"ON",Universe!$B$346=""),"",Universe!$B$346)</f>
        <v/>
      </c>
      <c r="ZO1" s="11">
        <f>IF(OR(SwitchROE&lt;&gt;"ON",Universe!$B$347=""),"",Universe!$B$347)</f>
        <v/>
      </c>
      <c r="ZQ1" s="11">
        <f>IF(OR(SwitchROE&lt;&gt;"ON",Universe!$B$348=""),"",Universe!$B$348)</f>
        <v/>
      </c>
      <c r="ZS1" s="11">
        <f>IF(OR(SwitchROE&lt;&gt;"ON",Universe!$B$349=""),"",Universe!$B$349)</f>
        <v/>
      </c>
      <c r="ZU1" s="11">
        <f>IF(OR(SwitchROE&lt;&gt;"ON",Universe!$B$350=""),"",Universe!$B$350)</f>
        <v/>
      </c>
      <c r="ZW1" s="11">
        <f>IF(OR(SwitchROE&lt;&gt;"ON",Universe!$B$351=""),"",Universe!$B$351)</f>
        <v/>
      </c>
      <c r="ZY1" s="11">
        <f>IF(OR(SwitchROE&lt;&gt;"ON",Universe!$B$352=""),"",Universe!$B$352)</f>
        <v/>
      </c>
      <c r="AAA1" s="11">
        <f>IF(OR(SwitchROE&lt;&gt;"ON",Universe!$B$353=""),"",Universe!$B$353)</f>
        <v/>
      </c>
      <c r="AAC1" s="11">
        <f>IF(OR(SwitchROE&lt;&gt;"ON",Universe!$B$354=""),"",Universe!$B$354)</f>
        <v/>
      </c>
      <c r="AAE1" s="11">
        <f>IF(OR(SwitchROE&lt;&gt;"ON",Universe!$B$355=""),"",Universe!$B$355)</f>
        <v/>
      </c>
      <c r="AAG1" s="11">
        <f>IF(OR(SwitchROE&lt;&gt;"ON",Universe!$B$356=""),"",Universe!$B$356)</f>
        <v/>
      </c>
      <c r="AAI1" s="11">
        <f>IF(OR(SwitchROE&lt;&gt;"ON",Universe!$B$357=""),"",Universe!$B$357)</f>
        <v/>
      </c>
      <c r="AAK1" s="11">
        <f>IF(OR(SwitchROE&lt;&gt;"ON",Universe!$B$358=""),"",Universe!$B$358)</f>
        <v/>
      </c>
      <c r="AAM1" s="11">
        <f>IF(OR(SwitchROE&lt;&gt;"ON",Universe!$B$359=""),"",Universe!$B$359)</f>
        <v/>
      </c>
      <c r="AAO1" s="11">
        <f>IF(OR(SwitchROE&lt;&gt;"ON",Universe!$B$360=""),"",Universe!$B$360)</f>
        <v/>
      </c>
      <c r="AAQ1" s="11">
        <f>IF(OR(SwitchROE&lt;&gt;"ON",Universe!$B$361=""),"",Universe!$B$361)</f>
        <v/>
      </c>
      <c r="AAS1" s="11">
        <f>IF(OR(SwitchROE&lt;&gt;"ON",Universe!$B$362=""),"",Universe!$B$362)</f>
        <v/>
      </c>
      <c r="AAU1" s="11">
        <f>IF(OR(SwitchROE&lt;&gt;"ON",Universe!$B$363=""),"",Universe!$B$363)</f>
        <v/>
      </c>
      <c r="AAW1" s="11">
        <f>IF(OR(SwitchROE&lt;&gt;"ON",Universe!$B$364=""),"",Universe!$B$364)</f>
        <v/>
      </c>
      <c r="AAY1" s="11">
        <f>IF(OR(SwitchROE&lt;&gt;"ON",Universe!$B$365=""),"",Universe!$B$365)</f>
        <v/>
      </c>
      <c r="ABA1" s="11">
        <f>IF(OR(SwitchROE&lt;&gt;"ON",Universe!$B$366=""),"",Universe!$B$366)</f>
        <v/>
      </c>
      <c r="ABC1" s="11">
        <f>IF(OR(SwitchROE&lt;&gt;"ON",Universe!$B$367=""),"",Universe!$B$367)</f>
        <v/>
      </c>
      <c r="ABE1" s="11">
        <f>IF(OR(SwitchROE&lt;&gt;"ON",Universe!$B$368=""),"",Universe!$B$368)</f>
        <v/>
      </c>
      <c r="ABG1" s="11">
        <f>IF(OR(SwitchROE&lt;&gt;"ON",Universe!$B$369=""),"",Universe!$B$369)</f>
        <v/>
      </c>
      <c r="ABI1" s="11">
        <f>IF(OR(SwitchROE&lt;&gt;"ON",Universe!$B$370=""),"",Universe!$B$370)</f>
        <v/>
      </c>
      <c r="ABK1" s="11">
        <f>IF(OR(SwitchROE&lt;&gt;"ON",Universe!$B$371=""),"",Universe!$B$371)</f>
        <v/>
      </c>
      <c r="ABM1" s="11">
        <f>IF(OR(SwitchROE&lt;&gt;"ON",Universe!$B$372=""),"",Universe!$B$372)</f>
        <v/>
      </c>
      <c r="ABO1" s="11">
        <f>IF(OR(SwitchROE&lt;&gt;"ON",Universe!$B$373=""),"",Universe!$B$373)</f>
        <v/>
      </c>
      <c r="ABQ1" s="11">
        <f>IF(OR(SwitchROE&lt;&gt;"ON",Universe!$B$374=""),"",Universe!$B$374)</f>
        <v/>
      </c>
      <c r="ABS1" s="11">
        <f>IF(OR(SwitchROE&lt;&gt;"ON",Universe!$B$375=""),"",Universe!$B$375)</f>
        <v/>
      </c>
      <c r="ABU1" s="11">
        <f>IF(OR(SwitchROE&lt;&gt;"ON",Universe!$B$376=""),"",Universe!$B$376)</f>
        <v/>
      </c>
      <c r="ABW1" s="11">
        <f>IF(OR(SwitchROE&lt;&gt;"ON",Universe!$B$377=""),"",Universe!$B$377)</f>
        <v/>
      </c>
      <c r="ABY1" s="11">
        <f>IF(OR(SwitchROE&lt;&gt;"ON",Universe!$B$378=""),"",Universe!$B$378)</f>
        <v/>
      </c>
      <c r="ACA1" s="11">
        <f>IF(OR(SwitchROE&lt;&gt;"ON",Universe!$B$379=""),"",Universe!$B$379)</f>
        <v/>
      </c>
      <c r="ACC1" s="11">
        <f>IF(OR(SwitchROE&lt;&gt;"ON",Universe!$B$380=""),"",Universe!$B$380)</f>
        <v/>
      </c>
      <c r="ACE1" s="11">
        <f>IF(OR(SwitchROE&lt;&gt;"ON",Universe!$B$381=""),"",Universe!$B$381)</f>
        <v/>
      </c>
      <c r="ACG1" s="11">
        <f>IF(OR(SwitchROE&lt;&gt;"ON",Universe!$B$382=""),"",Universe!$B$382)</f>
        <v/>
      </c>
      <c r="ACI1" s="11">
        <f>IF(OR(SwitchROE&lt;&gt;"ON",Universe!$B$383=""),"",Universe!$B$383)</f>
        <v/>
      </c>
      <c r="ACK1" s="11">
        <f>IF(OR(SwitchROE&lt;&gt;"ON",Universe!$B$384=""),"",Universe!$B$384)</f>
        <v/>
      </c>
      <c r="ACM1" s="11">
        <f>IF(OR(SwitchROE&lt;&gt;"ON",Universe!$B$385=""),"",Universe!$B$385)</f>
        <v/>
      </c>
      <c r="ACO1" s="11">
        <f>IF(OR(SwitchROE&lt;&gt;"ON",Universe!$B$386=""),"",Universe!$B$386)</f>
        <v/>
      </c>
      <c r="ACQ1" s="11">
        <f>IF(OR(SwitchROE&lt;&gt;"ON",Universe!$B$387=""),"",Universe!$B$387)</f>
        <v/>
      </c>
      <c r="ACS1" s="11">
        <f>IF(OR(SwitchROE&lt;&gt;"ON",Universe!$B$388=""),"",Universe!$B$388)</f>
        <v/>
      </c>
      <c r="ACU1" s="11">
        <f>IF(OR(SwitchROE&lt;&gt;"ON",Universe!$B$389=""),"",Universe!$B$389)</f>
        <v/>
      </c>
      <c r="ACW1" s="11">
        <f>IF(OR(SwitchROE&lt;&gt;"ON",Universe!$B$390=""),"",Universe!$B$390)</f>
        <v/>
      </c>
      <c r="ACY1" s="11">
        <f>IF(OR(SwitchROE&lt;&gt;"ON",Universe!$B$391=""),"",Universe!$B$391)</f>
        <v/>
      </c>
      <c r="ADA1" s="11">
        <f>IF(OR(SwitchROE&lt;&gt;"ON",Universe!$B$392=""),"",Universe!$B$392)</f>
        <v/>
      </c>
      <c r="ADC1" s="11">
        <f>IF(OR(SwitchROE&lt;&gt;"ON",Universe!$B$393=""),"",Universe!$B$393)</f>
        <v/>
      </c>
      <c r="ADE1" s="11">
        <f>IF(OR(SwitchROE&lt;&gt;"ON",Universe!$B$394=""),"",Universe!$B$394)</f>
        <v/>
      </c>
      <c r="ADG1" s="11">
        <f>IF(OR(SwitchROE&lt;&gt;"ON",Universe!$B$395=""),"",Universe!$B$395)</f>
        <v/>
      </c>
      <c r="ADI1" s="11">
        <f>IF(OR(SwitchROE&lt;&gt;"ON",Universe!$B$396=""),"",Universe!$B$396)</f>
        <v/>
      </c>
      <c r="ADK1" s="11">
        <f>IF(OR(SwitchROE&lt;&gt;"ON",Universe!$B$397=""),"",Universe!$B$397)</f>
        <v/>
      </c>
      <c r="ADM1" s="11">
        <f>IF(OR(SwitchROE&lt;&gt;"ON",Universe!$B$398=""),"",Universe!$B$398)</f>
        <v/>
      </c>
      <c r="ADO1" s="11">
        <f>IF(OR(SwitchROE&lt;&gt;"ON",Universe!$B$399=""),"",Universe!$B$399)</f>
        <v/>
      </c>
      <c r="ADQ1" s="11">
        <f>IF(OR(SwitchROE&lt;&gt;"ON",Universe!$B$400=""),"",Universe!$B$400)</f>
        <v/>
      </c>
      <c r="ADS1" s="11">
        <f>IF(OR(SwitchROE&lt;&gt;"ON",Universe!$B$401=""),"",Universe!$B$401)</f>
        <v/>
      </c>
      <c r="ADU1" s="11">
        <f>IF(OR(SwitchROE&lt;&gt;"ON",Universe!$B$402=""),"",Universe!$B$402)</f>
        <v/>
      </c>
      <c r="ADW1" s="11">
        <f>IF(OR(SwitchROE&lt;&gt;"ON",Universe!$B$403=""),"",Universe!$B$403)</f>
        <v/>
      </c>
      <c r="ADY1" s="11">
        <f>IF(OR(SwitchROE&lt;&gt;"ON",Universe!$B$404=""),"",Universe!$B$404)</f>
        <v/>
      </c>
      <c r="AEA1" s="11">
        <f>IF(OR(SwitchROE&lt;&gt;"ON",Universe!$B$405=""),"",Universe!$B$405)</f>
        <v/>
      </c>
      <c r="AEC1" s="11">
        <f>IF(OR(SwitchROE&lt;&gt;"ON",Universe!$B$406=""),"",Universe!$B$406)</f>
        <v/>
      </c>
      <c r="AEE1" s="11">
        <f>IF(OR(SwitchROE&lt;&gt;"ON",Universe!$B$407=""),"",Universe!$B$407)</f>
        <v/>
      </c>
      <c r="AEG1" s="11">
        <f>IF(OR(SwitchROE&lt;&gt;"ON",Universe!$B$408=""),"",Universe!$B$408)</f>
        <v/>
      </c>
      <c r="AEI1" s="11">
        <f>IF(OR(SwitchROE&lt;&gt;"ON",Universe!$B$409=""),"",Universe!$B$409)</f>
        <v/>
      </c>
      <c r="AEK1" s="11">
        <f>IF(OR(SwitchROE&lt;&gt;"ON",Universe!$B$410=""),"",Universe!$B$410)</f>
        <v/>
      </c>
      <c r="AEM1" s="11">
        <f>IF(OR(SwitchROE&lt;&gt;"ON",Universe!$B$411=""),"",Universe!$B$411)</f>
        <v/>
      </c>
      <c r="AEO1" s="11">
        <f>IF(OR(SwitchROE&lt;&gt;"ON",Universe!$B$412=""),"",Universe!$B$412)</f>
        <v/>
      </c>
      <c r="AEQ1" s="11">
        <f>IF(OR(SwitchROE&lt;&gt;"ON",Universe!$B$413=""),"",Universe!$B$413)</f>
        <v/>
      </c>
      <c r="AES1" s="11">
        <f>IF(OR(SwitchROE&lt;&gt;"ON",Universe!$B$414=""),"",Universe!$B$414)</f>
        <v/>
      </c>
      <c r="AEU1" s="11">
        <f>IF(OR(SwitchROE&lt;&gt;"ON",Universe!$B$415=""),"",Universe!$B$415)</f>
        <v/>
      </c>
      <c r="AEW1" s="11">
        <f>IF(OR(SwitchROE&lt;&gt;"ON",Universe!$B$416=""),"",Universe!$B$416)</f>
        <v/>
      </c>
      <c r="AEY1" s="11">
        <f>IF(OR(SwitchROE&lt;&gt;"ON",Universe!$B$417=""),"",Universe!$B$417)</f>
        <v/>
      </c>
      <c r="AFA1" s="11">
        <f>IF(OR(SwitchROE&lt;&gt;"ON",Universe!$B$418=""),"",Universe!$B$418)</f>
        <v/>
      </c>
      <c r="AFC1" s="11">
        <f>IF(OR(SwitchROE&lt;&gt;"ON",Universe!$B$419=""),"",Universe!$B$419)</f>
        <v/>
      </c>
      <c r="AFE1" s="11">
        <f>IF(OR(SwitchROE&lt;&gt;"ON",Universe!$B$420=""),"",Universe!$B$420)</f>
        <v/>
      </c>
      <c r="AFG1" s="11">
        <f>IF(OR(SwitchROE&lt;&gt;"ON",Universe!$B$421=""),"",Universe!$B$421)</f>
        <v/>
      </c>
      <c r="AFI1" s="11">
        <f>IF(OR(SwitchROE&lt;&gt;"ON",Universe!$B$422=""),"",Universe!$B$422)</f>
        <v/>
      </c>
      <c r="AFK1" s="11">
        <f>IF(OR(SwitchROE&lt;&gt;"ON",Universe!$B$423=""),"",Universe!$B$423)</f>
        <v/>
      </c>
      <c r="AFM1" s="11">
        <f>IF(OR(SwitchROE&lt;&gt;"ON",Universe!$B$424=""),"",Universe!$B$424)</f>
        <v/>
      </c>
      <c r="AFO1" s="11">
        <f>IF(OR(SwitchROE&lt;&gt;"ON",Universe!$B$425=""),"",Universe!$B$425)</f>
        <v/>
      </c>
      <c r="AFQ1" s="11">
        <f>IF(OR(SwitchROE&lt;&gt;"ON",Universe!$B$426=""),"",Universe!$B$426)</f>
        <v/>
      </c>
      <c r="AFS1" s="11">
        <f>IF(OR(SwitchROE&lt;&gt;"ON",Universe!$B$427=""),"",Universe!$B$427)</f>
        <v/>
      </c>
      <c r="AFU1" s="11">
        <f>IF(OR(SwitchROE&lt;&gt;"ON",Universe!$B$428=""),"",Universe!$B$428)</f>
        <v/>
      </c>
      <c r="AFW1" s="11">
        <f>IF(OR(SwitchROE&lt;&gt;"ON",Universe!$B$429=""),"",Universe!$B$429)</f>
        <v/>
      </c>
      <c r="AFY1" s="11">
        <f>IF(OR(SwitchROE&lt;&gt;"ON",Universe!$B$430=""),"",Universe!$B$430)</f>
        <v/>
      </c>
      <c r="AGA1" s="11">
        <f>IF(OR(SwitchROE&lt;&gt;"ON",Universe!$B$431=""),"",Universe!$B$431)</f>
        <v/>
      </c>
      <c r="AGC1" s="11">
        <f>IF(OR(SwitchROE&lt;&gt;"ON",Universe!$B$432=""),"",Universe!$B$432)</f>
        <v/>
      </c>
      <c r="AGE1" s="11">
        <f>IF(OR(SwitchROE&lt;&gt;"ON",Universe!$B$433=""),"",Universe!$B$433)</f>
        <v/>
      </c>
      <c r="AGG1" s="11">
        <f>IF(OR(SwitchROE&lt;&gt;"ON",Universe!$B$434=""),"",Universe!$B$434)</f>
        <v/>
      </c>
      <c r="AGI1" s="11">
        <f>IF(OR(SwitchROE&lt;&gt;"ON",Universe!$B$435=""),"",Universe!$B$435)</f>
        <v/>
      </c>
      <c r="AGK1" s="11">
        <f>IF(OR(SwitchROE&lt;&gt;"ON",Universe!$B$436=""),"",Universe!$B$436)</f>
        <v/>
      </c>
      <c r="AGM1" s="11">
        <f>IF(OR(SwitchROE&lt;&gt;"ON",Universe!$B$437=""),"",Universe!$B$437)</f>
        <v/>
      </c>
      <c r="AGO1" s="11">
        <f>IF(OR(SwitchROE&lt;&gt;"ON",Universe!$B$438=""),"",Universe!$B$438)</f>
        <v/>
      </c>
      <c r="AGQ1" s="11">
        <f>IF(OR(SwitchROE&lt;&gt;"ON",Universe!$B$439=""),"",Universe!$B$439)</f>
        <v/>
      </c>
      <c r="AGS1" s="11">
        <f>IF(OR(SwitchROE&lt;&gt;"ON",Universe!$B$440=""),"",Universe!$B$440)</f>
        <v/>
      </c>
      <c r="AGU1" s="11">
        <f>IF(OR(SwitchROE&lt;&gt;"ON",Universe!$B$441=""),"",Universe!$B$441)</f>
        <v/>
      </c>
      <c r="AGW1" s="11">
        <f>IF(OR(SwitchROE&lt;&gt;"ON",Universe!$B$442=""),"",Universe!$B$442)</f>
        <v/>
      </c>
      <c r="AGY1" s="11">
        <f>IF(OR(SwitchROE&lt;&gt;"ON",Universe!$B$443=""),"",Universe!$B$443)</f>
        <v/>
      </c>
      <c r="AHA1" s="11">
        <f>IF(OR(SwitchROE&lt;&gt;"ON",Universe!$B$444=""),"",Universe!$B$444)</f>
        <v/>
      </c>
      <c r="AHC1" s="11">
        <f>IF(OR(SwitchROE&lt;&gt;"ON",Universe!$B$445=""),"",Universe!$B$445)</f>
        <v/>
      </c>
      <c r="AHE1" s="11">
        <f>IF(OR(SwitchROE&lt;&gt;"ON",Universe!$B$446=""),"",Universe!$B$446)</f>
        <v/>
      </c>
      <c r="AHG1" s="11">
        <f>IF(OR(SwitchROE&lt;&gt;"ON",Universe!$B$447=""),"",Universe!$B$447)</f>
        <v/>
      </c>
      <c r="AHI1" s="11">
        <f>IF(OR(SwitchROE&lt;&gt;"ON",Universe!$B$448=""),"",Universe!$B$448)</f>
        <v/>
      </c>
      <c r="AHK1" s="11">
        <f>IF(OR(SwitchROE&lt;&gt;"ON",Universe!$B$449=""),"",Universe!$B$449)</f>
        <v/>
      </c>
      <c r="AHM1" s="11">
        <f>IF(OR(SwitchROE&lt;&gt;"ON",Universe!$B$450=""),"",Universe!$B$450)</f>
        <v/>
      </c>
      <c r="AHO1" s="11">
        <f>IF(OR(SwitchROE&lt;&gt;"ON",Universe!$B$451=""),"",Universe!$B$451)</f>
        <v/>
      </c>
      <c r="AHQ1" s="11">
        <f>IF(OR(SwitchROE&lt;&gt;"ON",Universe!$B$452=""),"",Universe!$B$452)</f>
        <v/>
      </c>
      <c r="AHS1" s="11">
        <f>IF(OR(SwitchROE&lt;&gt;"ON",Universe!$B$453=""),"",Universe!$B$453)</f>
        <v/>
      </c>
      <c r="AHU1" s="11">
        <f>IF(OR(SwitchROE&lt;&gt;"ON",Universe!$B$454=""),"",Universe!$B$454)</f>
        <v/>
      </c>
      <c r="AHW1" s="11">
        <f>IF(OR(SwitchROE&lt;&gt;"ON",Universe!$B$455=""),"",Universe!$B$455)</f>
        <v/>
      </c>
      <c r="AHY1" s="11">
        <f>IF(OR(SwitchROE&lt;&gt;"ON",Universe!$B$456=""),"",Universe!$B$456)</f>
        <v/>
      </c>
      <c r="AIA1" s="11">
        <f>IF(OR(SwitchROE&lt;&gt;"ON",Universe!$B$457=""),"",Universe!$B$457)</f>
        <v/>
      </c>
      <c r="AIC1" s="11">
        <f>IF(OR(SwitchROE&lt;&gt;"ON",Universe!$B$458=""),"",Universe!$B$458)</f>
        <v/>
      </c>
      <c r="AIE1" s="11">
        <f>IF(OR(SwitchROE&lt;&gt;"ON",Universe!$B$459=""),"",Universe!$B$459)</f>
        <v/>
      </c>
      <c r="AIG1" s="11">
        <f>IF(OR(SwitchROE&lt;&gt;"ON",Universe!$B$460=""),"",Universe!$B$460)</f>
        <v/>
      </c>
      <c r="AII1" s="11">
        <f>IF(OR(SwitchROE&lt;&gt;"ON",Universe!$B$461=""),"",Universe!$B$461)</f>
        <v/>
      </c>
      <c r="AIK1" s="11">
        <f>IF(OR(SwitchROE&lt;&gt;"ON",Universe!$B$462=""),"",Universe!$B$462)</f>
        <v/>
      </c>
      <c r="AIM1" s="11">
        <f>IF(OR(SwitchROE&lt;&gt;"ON",Universe!$B$463=""),"",Universe!$B$463)</f>
        <v/>
      </c>
      <c r="AIO1" s="11">
        <f>IF(OR(SwitchROE&lt;&gt;"ON",Universe!$B$464=""),"",Universe!$B$464)</f>
        <v/>
      </c>
      <c r="AIQ1" s="11">
        <f>IF(OR(SwitchROE&lt;&gt;"ON",Universe!$B$465=""),"",Universe!$B$465)</f>
        <v/>
      </c>
      <c r="AIS1" s="11">
        <f>IF(OR(SwitchROE&lt;&gt;"ON",Universe!$B$466=""),"",Universe!$B$466)</f>
        <v/>
      </c>
      <c r="AIU1" s="11">
        <f>IF(OR(SwitchROE&lt;&gt;"ON",Universe!$B$467=""),"",Universe!$B$467)</f>
        <v/>
      </c>
      <c r="AIW1" s="11">
        <f>IF(OR(SwitchROE&lt;&gt;"ON",Universe!$B$468=""),"",Universe!$B$468)</f>
        <v/>
      </c>
      <c r="AIY1" s="11">
        <f>IF(OR(SwitchROE&lt;&gt;"ON",Universe!$B$469=""),"",Universe!$B$469)</f>
        <v/>
      </c>
      <c r="AJA1" s="11">
        <f>IF(OR(SwitchROE&lt;&gt;"ON",Universe!$B$470=""),"",Universe!$B$470)</f>
        <v/>
      </c>
      <c r="AJC1" s="11">
        <f>IF(OR(SwitchROE&lt;&gt;"ON",Universe!$B$471=""),"",Universe!$B$471)</f>
        <v/>
      </c>
      <c r="AJE1" s="11">
        <f>IF(OR(SwitchROE&lt;&gt;"ON",Universe!$B$472=""),"",Universe!$B$472)</f>
        <v/>
      </c>
      <c r="AJG1" s="11">
        <f>IF(OR(SwitchROE&lt;&gt;"ON",Universe!$B$473=""),"",Universe!$B$473)</f>
        <v/>
      </c>
      <c r="AJI1" s="11">
        <f>IF(OR(SwitchROE&lt;&gt;"ON",Universe!$B$474=""),"",Universe!$B$474)</f>
        <v/>
      </c>
      <c r="AJK1" s="11">
        <f>IF(OR(SwitchROE&lt;&gt;"ON",Universe!$B$475=""),"",Universe!$B$475)</f>
        <v/>
      </c>
      <c r="AJM1" s="11">
        <f>IF(OR(SwitchROE&lt;&gt;"ON",Universe!$B$476=""),"",Universe!$B$476)</f>
        <v/>
      </c>
      <c r="AJO1" s="11">
        <f>IF(OR(SwitchROE&lt;&gt;"ON",Universe!$B$477=""),"",Universe!$B$477)</f>
        <v/>
      </c>
      <c r="AJQ1" s="11">
        <f>IF(OR(SwitchROE&lt;&gt;"ON",Universe!$B$478=""),"",Universe!$B$478)</f>
        <v/>
      </c>
      <c r="AJS1" s="11">
        <f>IF(OR(SwitchROE&lt;&gt;"ON",Universe!$B$479=""),"",Universe!$B$479)</f>
        <v/>
      </c>
      <c r="AJU1" s="11">
        <f>IF(OR(SwitchROE&lt;&gt;"ON",Universe!$B$480=""),"",Universe!$B$480)</f>
        <v/>
      </c>
      <c r="AJW1" s="11">
        <f>IF(OR(SwitchROE&lt;&gt;"ON",Universe!$B$481=""),"",Universe!$B$481)</f>
        <v/>
      </c>
      <c r="AJY1" s="11">
        <f>IF(OR(SwitchROE&lt;&gt;"ON",Universe!$B$482=""),"",Universe!$B$482)</f>
        <v/>
      </c>
      <c r="AKA1" s="11">
        <f>IF(OR(SwitchROE&lt;&gt;"ON",Universe!$B$483=""),"",Universe!$B$483)</f>
        <v/>
      </c>
      <c r="AKC1" s="11">
        <f>IF(OR(SwitchROE&lt;&gt;"ON",Universe!$B$484=""),"",Universe!$B$484)</f>
        <v/>
      </c>
      <c r="AKE1" s="11">
        <f>IF(OR(SwitchROE&lt;&gt;"ON",Universe!$B$485=""),"",Universe!$B$485)</f>
        <v/>
      </c>
      <c r="AKG1" s="11">
        <f>IF(OR(SwitchROE&lt;&gt;"ON",Universe!$B$486=""),"",Universe!$B$486)</f>
        <v/>
      </c>
      <c r="AKI1" s="11">
        <f>IF(OR(SwitchROE&lt;&gt;"ON",Universe!$B$487=""),"",Universe!$B$487)</f>
        <v/>
      </c>
      <c r="AKK1" s="11">
        <f>IF(OR(SwitchROE&lt;&gt;"ON",Universe!$B$488=""),"",Universe!$B$488)</f>
        <v/>
      </c>
      <c r="AKM1" s="11">
        <f>IF(OR(SwitchROE&lt;&gt;"ON",Universe!$B$489=""),"",Universe!$B$489)</f>
        <v/>
      </c>
      <c r="AKO1" s="11">
        <f>IF(OR(SwitchROE&lt;&gt;"ON",Universe!$B$490=""),"",Universe!$B$490)</f>
        <v/>
      </c>
      <c r="AKQ1" s="11">
        <f>IF(OR(SwitchROE&lt;&gt;"ON",Universe!$B$491=""),"",Universe!$B$491)</f>
        <v/>
      </c>
      <c r="AKS1" s="11">
        <f>IF(OR(SwitchROE&lt;&gt;"ON",Universe!$B$492=""),"",Universe!$B$492)</f>
        <v/>
      </c>
      <c r="AKU1" s="11">
        <f>IF(OR(SwitchROE&lt;&gt;"ON",Universe!$B$493=""),"",Universe!$B$493)</f>
        <v/>
      </c>
      <c r="AKW1" s="11">
        <f>IF(OR(SwitchROE&lt;&gt;"ON",Universe!$B$494=""),"",Universe!$B$494)</f>
        <v/>
      </c>
      <c r="AKY1" s="11">
        <f>IF(OR(SwitchROE&lt;&gt;"ON",Universe!$B$495=""),"",Universe!$B$495)</f>
        <v/>
      </c>
      <c r="ALA1" s="11">
        <f>IF(OR(SwitchROE&lt;&gt;"ON",Universe!$B$496=""),"",Universe!$B$496)</f>
        <v/>
      </c>
      <c r="ALC1" s="11">
        <f>IF(OR(SwitchROE&lt;&gt;"ON",Universe!$B$497=""),"",Universe!$B$497)</f>
        <v/>
      </c>
      <c r="ALE1" s="11">
        <f>IF(OR(SwitchROE&lt;&gt;"ON",Universe!$B$498=""),"",Universe!$B$498)</f>
        <v/>
      </c>
      <c r="ALG1" s="11">
        <f>IF(OR(SwitchROE&lt;&gt;"ON",Universe!$B$499=""),"",Universe!$B$499)</f>
        <v/>
      </c>
      <c r="ALI1" s="11">
        <f>IF(OR(SwitchROE&lt;&gt;"ON",Universe!$B$500=""),"",Universe!$B$500)</f>
        <v/>
      </c>
      <c r="ALK1" s="11">
        <f>IF(OR(SwitchROE&lt;&gt;"ON",Universe!$B$501=""),"",Universe!$B$501)</f>
        <v/>
      </c>
      <c r="ALM1" s="11">
        <f>IF(OR(SwitchROE&lt;&gt;"ON",Universe!$B$502=""),"",Universe!$B$502)</f>
        <v/>
      </c>
      <c r="ALO1" s="11">
        <f>IF(OR(SwitchROE&lt;&gt;"ON",Universe!$B$503=""),"",Universe!$B$503)</f>
        <v/>
      </c>
      <c r="ALQ1" s="11">
        <f>IF(OR(SwitchROE&lt;&gt;"ON",Universe!$B$504=""),"",Universe!$B$504)</f>
        <v/>
      </c>
      <c r="ALS1" s="11">
        <f>IF(OR(SwitchROE&lt;&gt;"ON",Universe!$B$505=""),"",Universe!$B$505)</f>
        <v/>
      </c>
      <c r="ALU1" s="11">
        <f>IF(OR(SwitchROE&lt;&gt;"ON",Universe!$B$506=""),"",Universe!$B$506)</f>
        <v/>
      </c>
      <c r="ALW1" s="11">
        <f>IF(OR(SwitchROE&lt;&gt;"ON",Universe!$B$507=""),"",Universe!$B$507)</f>
        <v/>
      </c>
      <c r="ALY1" s="11">
        <f>IF(OR(SwitchROE&lt;&gt;"ON",Universe!$B$508=""),"",Universe!$B$508)</f>
        <v/>
      </c>
      <c r="AMA1" s="11">
        <f>IF(OR(SwitchROE&lt;&gt;"ON",Universe!$B$509=""),"",Universe!$B$509)</f>
        <v/>
      </c>
      <c r="AMC1" s="11">
        <f>IF(OR(SwitchROE&lt;&gt;"ON",Universe!$B$510=""),"",Universe!$B$510)</f>
        <v/>
      </c>
      <c r="AME1" s="11">
        <f>IF(OR(SwitchROE&lt;&gt;"ON",Universe!$B$511=""),"",Universe!$B$511)</f>
        <v/>
      </c>
      <c r="AMG1" s="11">
        <f>IF(OR(SwitchROE&lt;&gt;"ON",Universe!$B$512=""),"",Universe!$B$512)</f>
        <v/>
      </c>
      <c r="AMI1" s="11">
        <f>IF(OR(SwitchROE&lt;&gt;"ON",Universe!$B$513=""),"",Universe!$B$513)</f>
        <v/>
      </c>
      <c r="AMK1" s="11">
        <f>IF(OR(SwitchROE&lt;&gt;"ON",Universe!$B$514=""),"",Universe!$B$514)</f>
        <v/>
      </c>
      <c r="AMM1" s="11">
        <f>IF(OR(SwitchROE&lt;&gt;"ON",Universe!$B$515=""),"",Universe!$B$515)</f>
        <v/>
      </c>
      <c r="AMO1" s="11">
        <f>IF(OR(SwitchROE&lt;&gt;"ON",Universe!$B$516=""),"",Universe!$B$516)</f>
        <v/>
      </c>
      <c r="AMQ1" s="11">
        <f>IF(OR(SwitchROE&lt;&gt;"ON",Universe!$B$517=""),"",Universe!$B$517)</f>
        <v/>
      </c>
      <c r="AMS1" s="11">
        <f>IF(OR(SwitchROE&lt;&gt;"ON",Universe!$B$518=""),"",Universe!$B$518)</f>
        <v/>
      </c>
      <c r="AMU1" s="11">
        <f>IF(OR(SwitchROE&lt;&gt;"ON",Universe!$B$519=""),"",Universe!$B$519)</f>
        <v/>
      </c>
      <c r="AMW1" s="11">
        <f>IF(OR(SwitchROE&lt;&gt;"ON",Universe!$B$520=""),"",Universe!$B$520)</f>
        <v/>
      </c>
      <c r="AMY1" s="11">
        <f>IF(OR(SwitchROE&lt;&gt;"ON",Universe!$B$521=""),"",Universe!$B$521)</f>
        <v/>
      </c>
      <c r="ANA1" s="11">
        <f>IF(OR(SwitchROE&lt;&gt;"ON",Universe!$B$522=""),"",Universe!$B$522)</f>
        <v/>
      </c>
      <c r="ANC1" s="11">
        <f>IF(OR(SwitchROE&lt;&gt;"ON",Universe!$B$523=""),"",Universe!$B$523)</f>
        <v/>
      </c>
      <c r="ANE1" s="11">
        <f>IF(OR(SwitchROE&lt;&gt;"ON",Universe!$B$524=""),"",Universe!$B$524)</f>
        <v/>
      </c>
      <c r="ANG1" s="11">
        <f>IF(OR(SwitchROE&lt;&gt;"ON",Universe!$B$525=""),"",Universe!$B$525)</f>
        <v/>
      </c>
      <c r="ANI1" s="11">
        <f>IF(OR(SwitchROE&lt;&gt;"ON",Universe!$B$526=""),"",Universe!$B$526)</f>
        <v/>
      </c>
      <c r="ANK1" s="11">
        <f>IF(OR(SwitchROE&lt;&gt;"ON",Universe!$B$527=""),"",Universe!$B$527)</f>
        <v/>
      </c>
      <c r="ANM1" s="11">
        <f>IF(OR(SwitchROE&lt;&gt;"ON",Universe!$B$528=""),"",Universe!$B$528)</f>
        <v/>
      </c>
      <c r="ANO1" s="11">
        <f>IF(OR(SwitchROE&lt;&gt;"ON",Universe!$B$529=""),"",Universe!$B$529)</f>
        <v/>
      </c>
      <c r="ANQ1" s="11">
        <f>IF(OR(SwitchROE&lt;&gt;"ON",Universe!$B$530=""),"",Universe!$B$530)</f>
        <v/>
      </c>
      <c r="ANS1" s="11">
        <f>IF(OR(SwitchROE&lt;&gt;"ON",Universe!$B$531=""),"",Universe!$B$531)</f>
        <v/>
      </c>
      <c r="ANU1" s="11">
        <f>IF(OR(SwitchROE&lt;&gt;"ON",Universe!$B$532=""),"",Universe!$B$532)</f>
        <v/>
      </c>
      <c r="ANW1" s="11">
        <f>IF(OR(SwitchROE&lt;&gt;"ON",Universe!$B$533=""),"",Universe!$B$533)</f>
        <v/>
      </c>
      <c r="ANY1" s="11">
        <f>IF(OR(SwitchROE&lt;&gt;"ON",Universe!$B$534=""),"",Universe!$B$534)</f>
        <v/>
      </c>
      <c r="AOA1" s="11">
        <f>IF(OR(SwitchROE&lt;&gt;"ON",Universe!$B$535=""),"",Universe!$B$535)</f>
        <v/>
      </c>
      <c r="AOC1" s="11">
        <f>IF(OR(SwitchROE&lt;&gt;"ON",Universe!$B$536=""),"",Universe!$B$536)</f>
        <v/>
      </c>
      <c r="AOE1" s="11">
        <f>IF(OR(SwitchROE&lt;&gt;"ON",Universe!$B$537=""),"",Universe!$B$537)</f>
        <v/>
      </c>
      <c r="AOG1" s="11">
        <f>IF(OR(SwitchROE&lt;&gt;"ON",Universe!$B$538=""),"",Universe!$B$538)</f>
        <v/>
      </c>
      <c r="AOI1" s="11">
        <f>IF(OR(SwitchROE&lt;&gt;"ON",Universe!$B$539=""),"",Universe!$B$539)</f>
        <v/>
      </c>
      <c r="AOK1" s="11">
        <f>IF(OR(SwitchROE&lt;&gt;"ON",Universe!$B$540=""),"",Universe!$B$540)</f>
        <v/>
      </c>
      <c r="AOM1" s="11">
        <f>IF(OR(SwitchROE&lt;&gt;"ON",Universe!$B$541=""),"",Universe!$B$541)</f>
        <v/>
      </c>
      <c r="AOO1" s="11">
        <f>IF(OR(SwitchROE&lt;&gt;"ON",Universe!$B$542=""),"",Universe!$B$542)</f>
        <v/>
      </c>
      <c r="AOQ1" s="11">
        <f>IF(OR(SwitchROE&lt;&gt;"ON",Universe!$B$543=""),"",Universe!$B$543)</f>
        <v/>
      </c>
      <c r="AOS1" s="11">
        <f>IF(OR(SwitchROE&lt;&gt;"ON",Universe!$B$544=""),"",Universe!$B$544)</f>
        <v/>
      </c>
      <c r="AOU1" s="11">
        <f>IF(OR(SwitchROE&lt;&gt;"ON",Universe!$B$545=""),"",Universe!$B$545)</f>
        <v/>
      </c>
      <c r="AOW1" s="11">
        <f>IF(OR(SwitchROE&lt;&gt;"ON",Universe!$B$546=""),"",Universe!$B$546)</f>
        <v/>
      </c>
      <c r="AOY1" s="11">
        <f>IF(OR(SwitchROE&lt;&gt;"ON",Universe!$B$547=""),"",Universe!$B$547)</f>
        <v/>
      </c>
      <c r="APA1" s="11">
        <f>IF(OR(SwitchROE&lt;&gt;"ON",Universe!$B$548=""),"",Universe!$B$548)</f>
        <v/>
      </c>
      <c r="APC1" s="11">
        <f>IF(OR(SwitchROE&lt;&gt;"ON",Universe!$B$549=""),"",Universe!$B$549)</f>
        <v/>
      </c>
      <c r="APE1" s="11">
        <f>IF(OR(SwitchROE&lt;&gt;"ON",Universe!$B$550=""),"",Universe!$B$550)</f>
        <v/>
      </c>
      <c r="APG1" s="11">
        <f>IF(OR(SwitchROE&lt;&gt;"ON",Universe!$B$551=""),"",Universe!$B$551)</f>
        <v/>
      </c>
      <c r="API1" s="11">
        <f>IF(OR(SwitchROE&lt;&gt;"ON",Universe!$B$552=""),"",Universe!$B$552)</f>
        <v/>
      </c>
      <c r="APK1" s="11">
        <f>IF(OR(SwitchROE&lt;&gt;"ON",Universe!$B$553=""),"",Universe!$B$553)</f>
        <v/>
      </c>
      <c r="APM1" s="11">
        <f>IF(OR(SwitchROE&lt;&gt;"ON",Universe!$B$554=""),"",Universe!$B$554)</f>
        <v/>
      </c>
      <c r="APO1" s="11">
        <f>IF(OR(SwitchROE&lt;&gt;"ON",Universe!$B$555=""),"",Universe!$B$555)</f>
        <v/>
      </c>
      <c r="APQ1" s="11">
        <f>IF(OR(SwitchROE&lt;&gt;"ON",Universe!$B$556=""),"",Universe!$B$556)</f>
        <v/>
      </c>
      <c r="APS1" s="11">
        <f>IF(OR(SwitchROE&lt;&gt;"ON",Universe!$B$557=""),"",Universe!$B$557)</f>
        <v/>
      </c>
      <c r="APU1" s="11">
        <f>IF(OR(SwitchROE&lt;&gt;"ON",Universe!$B$558=""),"",Universe!$B$558)</f>
        <v/>
      </c>
      <c r="APW1" s="11">
        <f>IF(OR(SwitchROE&lt;&gt;"ON",Universe!$B$559=""),"",Universe!$B$559)</f>
        <v/>
      </c>
      <c r="APY1" s="11">
        <f>IF(OR(SwitchROE&lt;&gt;"ON",Universe!$B$560=""),"",Universe!$B$560)</f>
        <v/>
      </c>
      <c r="AQA1" s="11">
        <f>IF(OR(SwitchROE&lt;&gt;"ON",Universe!$B$561=""),"",Universe!$B$561)</f>
        <v/>
      </c>
      <c r="AQC1" s="11">
        <f>IF(OR(SwitchROE&lt;&gt;"ON",Universe!$B$562=""),"",Universe!$B$562)</f>
        <v/>
      </c>
      <c r="AQE1" s="11">
        <f>IF(OR(SwitchROE&lt;&gt;"ON",Universe!$B$563=""),"",Universe!$B$563)</f>
        <v/>
      </c>
      <c r="AQG1" s="11">
        <f>IF(OR(SwitchROE&lt;&gt;"ON",Universe!$B$564=""),"",Universe!$B$564)</f>
        <v/>
      </c>
      <c r="AQI1" s="11">
        <f>IF(OR(SwitchROE&lt;&gt;"ON",Universe!$B$565=""),"",Universe!$B$565)</f>
        <v/>
      </c>
      <c r="AQK1" s="11">
        <f>IF(OR(SwitchROE&lt;&gt;"ON",Universe!$B$566=""),"",Universe!$B$566)</f>
        <v/>
      </c>
      <c r="AQM1" s="11">
        <f>IF(OR(SwitchROE&lt;&gt;"ON",Universe!$B$567=""),"",Universe!$B$567)</f>
        <v/>
      </c>
      <c r="AQO1" s="11">
        <f>IF(OR(SwitchROE&lt;&gt;"ON",Universe!$B$568=""),"",Universe!$B$568)</f>
        <v/>
      </c>
      <c r="AQQ1" s="11">
        <f>IF(OR(SwitchROE&lt;&gt;"ON",Universe!$B$569=""),"",Universe!$B$569)</f>
        <v/>
      </c>
      <c r="AQS1" s="11">
        <f>IF(OR(SwitchROE&lt;&gt;"ON",Universe!$B$570=""),"",Universe!$B$570)</f>
        <v/>
      </c>
      <c r="AQU1" s="11">
        <f>IF(OR(SwitchROE&lt;&gt;"ON",Universe!$B$571=""),"",Universe!$B$571)</f>
        <v/>
      </c>
      <c r="AQW1" s="11">
        <f>IF(OR(SwitchROE&lt;&gt;"ON",Universe!$B$572=""),"",Universe!$B$572)</f>
        <v/>
      </c>
      <c r="AQY1" s="11">
        <f>IF(OR(SwitchROE&lt;&gt;"ON",Universe!$B$573=""),"",Universe!$B$573)</f>
        <v/>
      </c>
      <c r="ARA1" s="11">
        <f>IF(OR(SwitchROE&lt;&gt;"ON",Universe!$B$574=""),"",Universe!$B$574)</f>
        <v/>
      </c>
      <c r="ARC1" s="11">
        <f>IF(OR(SwitchROE&lt;&gt;"ON",Universe!$B$575=""),"",Universe!$B$575)</f>
        <v/>
      </c>
      <c r="ARE1" s="11">
        <f>IF(OR(SwitchROE&lt;&gt;"ON",Universe!$B$576=""),"",Universe!$B$576)</f>
        <v/>
      </c>
      <c r="ARG1" s="11">
        <f>IF(OR(SwitchROE&lt;&gt;"ON",Universe!$B$577=""),"",Universe!$B$577)</f>
        <v/>
      </c>
      <c r="ARI1" s="11">
        <f>IF(OR(SwitchROE&lt;&gt;"ON",Universe!$B$578=""),"",Universe!$B$578)</f>
        <v/>
      </c>
      <c r="ARK1" s="11">
        <f>IF(OR(SwitchROE&lt;&gt;"ON",Universe!$B$579=""),"",Universe!$B$579)</f>
        <v/>
      </c>
      <c r="ARM1" s="11">
        <f>IF(OR(SwitchROE&lt;&gt;"ON",Universe!$B$580=""),"",Universe!$B$580)</f>
        <v/>
      </c>
      <c r="ARO1" s="11">
        <f>IF(OR(SwitchROE&lt;&gt;"ON",Universe!$B$581=""),"",Universe!$B$581)</f>
        <v/>
      </c>
      <c r="ARQ1" s="11">
        <f>IF(OR(SwitchROE&lt;&gt;"ON",Universe!$B$582=""),"",Universe!$B$582)</f>
        <v/>
      </c>
      <c r="ARS1" s="11">
        <f>IF(OR(SwitchROE&lt;&gt;"ON",Universe!$B$583=""),"",Universe!$B$583)</f>
        <v/>
      </c>
      <c r="ARU1" s="11">
        <f>IF(OR(SwitchROE&lt;&gt;"ON",Universe!$B$584=""),"",Universe!$B$584)</f>
        <v/>
      </c>
      <c r="ARW1" s="11">
        <f>IF(OR(SwitchROE&lt;&gt;"ON",Universe!$B$585=""),"",Universe!$B$585)</f>
        <v/>
      </c>
      <c r="ARY1" s="11">
        <f>IF(OR(SwitchROE&lt;&gt;"ON",Universe!$B$586=""),"",Universe!$B$586)</f>
        <v/>
      </c>
      <c r="ASA1" s="11">
        <f>IF(OR(SwitchROE&lt;&gt;"ON",Universe!$B$587=""),"",Universe!$B$587)</f>
        <v/>
      </c>
      <c r="ASC1" s="11">
        <f>IF(OR(SwitchROE&lt;&gt;"ON",Universe!$B$588=""),"",Universe!$B$588)</f>
        <v/>
      </c>
      <c r="ASE1" s="11">
        <f>IF(OR(SwitchROE&lt;&gt;"ON",Universe!$B$589=""),"",Universe!$B$589)</f>
        <v/>
      </c>
      <c r="ASG1" s="11">
        <f>IF(OR(SwitchROE&lt;&gt;"ON",Universe!$B$590=""),"",Universe!$B$590)</f>
        <v/>
      </c>
      <c r="ASI1" s="11">
        <f>IF(OR(SwitchROE&lt;&gt;"ON",Universe!$B$591=""),"",Universe!$B$591)</f>
        <v/>
      </c>
      <c r="ASK1" s="11">
        <f>IF(OR(SwitchROE&lt;&gt;"ON",Universe!$B$592=""),"",Universe!$B$592)</f>
        <v/>
      </c>
      <c r="ASM1" s="11">
        <f>IF(OR(SwitchROE&lt;&gt;"ON",Universe!$B$593=""),"",Universe!$B$593)</f>
        <v/>
      </c>
      <c r="ASO1" s="11">
        <f>IF(OR(SwitchROE&lt;&gt;"ON",Universe!$B$594=""),"",Universe!$B$594)</f>
        <v/>
      </c>
      <c r="ASQ1" s="11">
        <f>IF(OR(SwitchROE&lt;&gt;"ON",Universe!$B$595=""),"",Universe!$B$595)</f>
        <v/>
      </c>
      <c r="ASS1" s="11">
        <f>IF(OR(SwitchROE&lt;&gt;"ON",Universe!$B$596=""),"",Universe!$B$596)</f>
        <v/>
      </c>
      <c r="ASU1" s="11">
        <f>IF(OR(SwitchROE&lt;&gt;"ON",Universe!$B$597=""),"",Universe!$B$597)</f>
        <v/>
      </c>
      <c r="ASW1" s="11">
        <f>IF(OR(SwitchROE&lt;&gt;"ON",Universe!$B$598=""),"",Universe!$B$598)</f>
        <v/>
      </c>
      <c r="ASY1" s="11">
        <f>IF(OR(SwitchROE&lt;&gt;"ON",Universe!$B$599=""),"",Universe!$B$599)</f>
        <v/>
      </c>
      <c r="ATA1" s="11">
        <f>IF(OR(SwitchROE&lt;&gt;"ON",Universe!$B$600=""),"",Universe!$B$600)</f>
        <v/>
      </c>
      <c r="ATC1" s="11">
        <f>IF(OR(SwitchROE&lt;&gt;"ON",Universe!$B$601=""),"",Universe!$B$601)</f>
        <v/>
      </c>
      <c r="ATE1" s="11">
        <f>IF(OR(SwitchROE&lt;&gt;"ON",Universe!$B$602=""),"",Universe!$B$602)</f>
        <v/>
      </c>
      <c r="ATG1" s="11">
        <f>IF(OR(SwitchROE&lt;&gt;"ON",Universe!$B$603=""),"",Universe!$B$603)</f>
        <v/>
      </c>
      <c r="ATI1" s="11">
        <f>IF(OR(SwitchROE&lt;&gt;"ON",Universe!$B$604=""),"",Universe!$B$604)</f>
        <v/>
      </c>
      <c r="ATK1" s="11">
        <f>IF(OR(SwitchROE&lt;&gt;"ON",Universe!$B$605=""),"",Universe!$B$605)</f>
        <v/>
      </c>
      <c r="ATM1" s="11">
        <f>IF(OR(SwitchROE&lt;&gt;"ON",Universe!$B$606=""),"",Universe!$B$606)</f>
        <v/>
      </c>
      <c r="ATO1" s="11">
        <f>IF(OR(SwitchROE&lt;&gt;"ON",Universe!$B$607=""),"",Universe!$B$607)</f>
        <v/>
      </c>
      <c r="ATQ1" s="11">
        <f>IF(OR(SwitchROE&lt;&gt;"ON",Universe!$B$608=""),"",Universe!$B$608)</f>
        <v/>
      </c>
      <c r="ATS1" s="11">
        <f>IF(OR(SwitchROE&lt;&gt;"ON",Universe!$B$609=""),"",Universe!$B$609)</f>
        <v/>
      </c>
      <c r="ATU1" s="11">
        <f>IF(OR(SwitchROE&lt;&gt;"ON",Universe!$B$610=""),"",Universe!$B$610)</f>
        <v/>
      </c>
      <c r="ATW1" s="11">
        <f>IF(OR(SwitchROE&lt;&gt;"ON",Universe!$B$611=""),"",Universe!$B$611)</f>
        <v/>
      </c>
      <c r="ATY1" s="11">
        <f>IF(OR(SwitchROE&lt;&gt;"ON",Universe!$B$612=""),"",Universe!$B$612)</f>
        <v/>
      </c>
      <c r="AUA1" s="11">
        <f>IF(OR(SwitchROE&lt;&gt;"ON",Universe!$B$613=""),"",Universe!$B$613)</f>
        <v/>
      </c>
      <c r="AUC1" s="11">
        <f>IF(OR(SwitchROE&lt;&gt;"ON",Universe!$B$614=""),"",Universe!$B$614)</f>
        <v/>
      </c>
      <c r="AUE1" s="11">
        <f>IF(OR(SwitchROE&lt;&gt;"ON",Universe!$B$615=""),"",Universe!$B$615)</f>
        <v/>
      </c>
      <c r="AUG1" s="11">
        <f>IF(OR(SwitchROE&lt;&gt;"ON",Universe!$B$616=""),"",Universe!$B$616)</f>
        <v/>
      </c>
      <c r="AUI1" s="11">
        <f>IF(OR(SwitchROE&lt;&gt;"ON",Universe!$B$617=""),"",Universe!$B$617)</f>
        <v/>
      </c>
      <c r="AUK1" s="11">
        <f>IF(OR(SwitchROE&lt;&gt;"ON",Universe!$B$618=""),"",Universe!$B$618)</f>
        <v/>
      </c>
      <c r="AUM1" s="11">
        <f>IF(OR(SwitchROE&lt;&gt;"ON",Universe!$B$619=""),"",Universe!$B$619)</f>
        <v/>
      </c>
      <c r="AUO1" s="11">
        <f>IF(OR(SwitchROE&lt;&gt;"ON",Universe!$B$620=""),"",Universe!$B$620)</f>
        <v/>
      </c>
      <c r="AUQ1" s="11">
        <f>IF(OR(SwitchROE&lt;&gt;"ON",Universe!$B$621=""),"",Universe!$B$621)</f>
        <v/>
      </c>
      <c r="AUS1" s="11">
        <f>IF(OR(SwitchROE&lt;&gt;"ON",Universe!$B$622=""),"",Universe!$B$622)</f>
        <v/>
      </c>
      <c r="AUU1" s="11">
        <f>IF(OR(SwitchROE&lt;&gt;"ON",Universe!$B$623=""),"",Universe!$B$623)</f>
        <v/>
      </c>
      <c r="AUW1" s="11">
        <f>IF(OR(SwitchROE&lt;&gt;"ON",Universe!$B$624=""),"",Universe!$B$624)</f>
        <v/>
      </c>
      <c r="AUY1" s="11">
        <f>IF(OR(SwitchROE&lt;&gt;"ON",Universe!$B$625=""),"",Universe!$B$625)</f>
        <v/>
      </c>
      <c r="AVA1" s="11">
        <f>IF(OR(SwitchROE&lt;&gt;"ON",Universe!$B$626=""),"",Universe!$B$626)</f>
        <v/>
      </c>
      <c r="AVC1" s="11">
        <f>IF(OR(SwitchROE&lt;&gt;"ON",Universe!$B$627=""),"",Universe!$B$627)</f>
        <v/>
      </c>
      <c r="AVE1" s="11">
        <f>IF(OR(SwitchROE&lt;&gt;"ON",Universe!$B$628=""),"",Universe!$B$628)</f>
        <v/>
      </c>
      <c r="AVG1" s="11">
        <f>IF(OR(SwitchROE&lt;&gt;"ON",Universe!$B$629=""),"",Universe!$B$629)</f>
        <v/>
      </c>
      <c r="AVI1" s="11">
        <f>IF(OR(SwitchROE&lt;&gt;"ON",Universe!$B$630=""),"",Universe!$B$630)</f>
        <v/>
      </c>
      <c r="AVK1" s="11">
        <f>IF(OR(SwitchROE&lt;&gt;"ON",Universe!$B$631=""),"",Universe!$B$631)</f>
        <v/>
      </c>
      <c r="AVM1" s="11">
        <f>IF(OR(SwitchROE&lt;&gt;"ON",Universe!$B$632=""),"",Universe!$B$632)</f>
        <v/>
      </c>
      <c r="AVO1" s="11">
        <f>IF(OR(SwitchROE&lt;&gt;"ON",Universe!$B$633=""),"",Universe!$B$633)</f>
        <v/>
      </c>
      <c r="AVQ1" s="11">
        <f>IF(OR(SwitchROE&lt;&gt;"ON",Universe!$B$634=""),"",Universe!$B$634)</f>
        <v/>
      </c>
      <c r="AVS1" s="11">
        <f>IF(OR(SwitchROE&lt;&gt;"ON",Universe!$B$635=""),"",Universe!$B$635)</f>
        <v/>
      </c>
      <c r="AVU1" s="11">
        <f>IF(OR(SwitchROE&lt;&gt;"ON",Universe!$B$636=""),"",Universe!$B$636)</f>
        <v/>
      </c>
      <c r="AVW1" s="11">
        <f>IF(OR(SwitchROE&lt;&gt;"ON",Universe!$B$637=""),"",Universe!$B$637)</f>
        <v/>
      </c>
      <c r="AVY1" s="11">
        <f>IF(OR(SwitchROE&lt;&gt;"ON",Universe!$B$638=""),"",Universe!$B$638)</f>
        <v/>
      </c>
      <c r="AWA1" s="11">
        <f>IF(OR(SwitchROE&lt;&gt;"ON",Universe!$B$639=""),"",Universe!$B$639)</f>
        <v/>
      </c>
      <c r="AWC1" s="11">
        <f>IF(OR(SwitchROE&lt;&gt;"ON",Universe!$B$640=""),"",Universe!$B$640)</f>
        <v/>
      </c>
      <c r="AWE1" s="11">
        <f>IF(OR(SwitchROE&lt;&gt;"ON",Universe!$B$641=""),"",Universe!$B$641)</f>
        <v/>
      </c>
      <c r="AWG1" s="11">
        <f>IF(OR(SwitchROE&lt;&gt;"ON",Universe!$B$642=""),"",Universe!$B$642)</f>
        <v/>
      </c>
      <c r="AWI1" s="11">
        <f>IF(OR(SwitchROE&lt;&gt;"ON",Universe!$B$643=""),"",Universe!$B$643)</f>
        <v/>
      </c>
      <c r="AWK1" s="11">
        <f>IF(OR(SwitchROE&lt;&gt;"ON",Universe!$B$644=""),"",Universe!$B$644)</f>
        <v/>
      </c>
      <c r="AWM1" s="11">
        <f>IF(OR(SwitchROE&lt;&gt;"ON",Universe!$B$645=""),"",Universe!$B$645)</f>
        <v/>
      </c>
      <c r="AWO1" s="11">
        <f>IF(OR(SwitchROE&lt;&gt;"ON",Universe!$B$646=""),"",Universe!$B$646)</f>
        <v/>
      </c>
      <c r="AWQ1" s="11">
        <f>IF(OR(SwitchROE&lt;&gt;"ON",Universe!$B$647=""),"",Universe!$B$647)</f>
        <v/>
      </c>
      <c r="AWS1" s="11">
        <f>IF(OR(SwitchROE&lt;&gt;"ON",Universe!$B$648=""),"",Universe!$B$648)</f>
        <v/>
      </c>
      <c r="AWU1" s="11">
        <f>IF(OR(SwitchROE&lt;&gt;"ON",Universe!$B$649=""),"",Universe!$B$649)</f>
        <v/>
      </c>
      <c r="AWW1" s="11">
        <f>IF(OR(SwitchROE&lt;&gt;"ON",Universe!$B$650=""),"",Universe!$B$650)</f>
        <v/>
      </c>
      <c r="AWY1" s="11">
        <f>IF(OR(SwitchROE&lt;&gt;"ON",Universe!$B$651=""),"",Universe!$B$651)</f>
        <v/>
      </c>
      <c r="AXA1" s="11">
        <f>IF(OR(SwitchROE&lt;&gt;"ON",Universe!$B$652=""),"",Universe!$B$652)</f>
        <v/>
      </c>
      <c r="AXC1" s="11">
        <f>IF(OR(SwitchROE&lt;&gt;"ON",Universe!$B$653=""),"",Universe!$B$653)</f>
        <v/>
      </c>
      <c r="AXE1" s="11">
        <f>IF(OR(SwitchROE&lt;&gt;"ON",Universe!$B$654=""),"",Universe!$B$654)</f>
        <v/>
      </c>
      <c r="AXG1" s="11">
        <f>IF(OR(SwitchROE&lt;&gt;"ON",Universe!$B$655=""),"",Universe!$B$655)</f>
        <v/>
      </c>
      <c r="AXI1" s="11">
        <f>IF(OR(SwitchROE&lt;&gt;"ON",Universe!$B$656=""),"",Universe!$B$656)</f>
        <v/>
      </c>
      <c r="AXK1" s="11">
        <f>IF(OR(SwitchROE&lt;&gt;"ON",Universe!$B$657=""),"",Universe!$B$657)</f>
        <v/>
      </c>
      <c r="AXM1" s="11">
        <f>IF(OR(SwitchROE&lt;&gt;"ON",Universe!$B$658=""),"",Universe!$B$658)</f>
        <v/>
      </c>
      <c r="AXO1" s="11">
        <f>IF(OR(SwitchROE&lt;&gt;"ON",Universe!$B$659=""),"",Universe!$B$659)</f>
        <v/>
      </c>
      <c r="AXQ1" s="11">
        <f>IF(OR(SwitchROE&lt;&gt;"ON",Universe!$B$660=""),"",Universe!$B$660)</f>
        <v/>
      </c>
      <c r="AXS1" s="11">
        <f>IF(OR(SwitchROE&lt;&gt;"ON",Universe!$B$661=""),"",Universe!$B$661)</f>
        <v/>
      </c>
      <c r="AXU1" s="11">
        <f>IF(OR(SwitchROE&lt;&gt;"ON",Universe!$B$662=""),"",Universe!$B$662)</f>
        <v/>
      </c>
      <c r="AXW1" s="11">
        <f>IF(OR(SwitchROE&lt;&gt;"ON",Universe!$B$663=""),"",Universe!$B$663)</f>
        <v/>
      </c>
      <c r="AXY1" s="11">
        <f>IF(OR(SwitchROE&lt;&gt;"ON",Universe!$B$664=""),"",Universe!$B$664)</f>
        <v/>
      </c>
      <c r="AYA1" s="11">
        <f>IF(OR(SwitchROE&lt;&gt;"ON",Universe!$B$665=""),"",Universe!$B$665)</f>
        <v/>
      </c>
      <c r="AYC1" s="11">
        <f>IF(OR(SwitchROE&lt;&gt;"ON",Universe!$B$666=""),"",Universe!$B$666)</f>
        <v/>
      </c>
      <c r="AYE1" s="11">
        <f>IF(OR(SwitchROE&lt;&gt;"ON",Universe!$B$667=""),"",Universe!$B$667)</f>
        <v/>
      </c>
      <c r="AYG1" s="11">
        <f>IF(OR(SwitchROE&lt;&gt;"ON",Universe!$B$668=""),"",Universe!$B$668)</f>
        <v/>
      </c>
      <c r="AYI1" s="11">
        <f>IF(OR(SwitchROE&lt;&gt;"ON",Universe!$B$669=""),"",Universe!$B$669)</f>
        <v/>
      </c>
      <c r="AYK1" s="11">
        <f>IF(OR(SwitchROE&lt;&gt;"ON",Universe!$B$670=""),"",Universe!$B$670)</f>
        <v/>
      </c>
      <c r="AYM1" s="11">
        <f>IF(OR(SwitchROE&lt;&gt;"ON",Universe!$B$671=""),"",Universe!$B$671)</f>
        <v/>
      </c>
      <c r="AYO1" s="11">
        <f>IF(OR(SwitchROE&lt;&gt;"ON",Universe!$B$672=""),"",Universe!$B$672)</f>
        <v/>
      </c>
      <c r="AYQ1" s="11">
        <f>IF(OR(SwitchROE&lt;&gt;"ON",Universe!$B$673=""),"",Universe!$B$673)</f>
        <v/>
      </c>
      <c r="AYS1" s="11">
        <f>IF(OR(SwitchROE&lt;&gt;"ON",Universe!$B$674=""),"",Universe!$B$674)</f>
        <v/>
      </c>
      <c r="AYU1" s="11">
        <f>IF(OR(SwitchROE&lt;&gt;"ON",Universe!$B$675=""),"",Universe!$B$675)</f>
        <v/>
      </c>
      <c r="AYW1" s="11">
        <f>IF(OR(SwitchROE&lt;&gt;"ON",Universe!$B$676=""),"",Universe!$B$676)</f>
        <v/>
      </c>
      <c r="AYY1" s="11">
        <f>IF(OR(SwitchROE&lt;&gt;"ON",Universe!$B$677=""),"",Universe!$B$677)</f>
        <v/>
      </c>
      <c r="AZA1" s="11">
        <f>IF(OR(SwitchROE&lt;&gt;"ON",Universe!$B$678=""),"",Universe!$B$678)</f>
        <v/>
      </c>
      <c r="AZC1" s="11">
        <f>IF(OR(SwitchROE&lt;&gt;"ON",Universe!$B$679=""),"",Universe!$B$679)</f>
        <v/>
      </c>
      <c r="AZE1" s="11">
        <f>IF(OR(SwitchROE&lt;&gt;"ON",Universe!$B$680=""),"",Universe!$B$680)</f>
        <v/>
      </c>
      <c r="AZG1" s="11">
        <f>IF(OR(SwitchROE&lt;&gt;"ON",Universe!$B$681=""),"",Universe!$B$681)</f>
        <v/>
      </c>
      <c r="AZI1" s="11">
        <f>IF(OR(SwitchROE&lt;&gt;"ON",Universe!$B$682=""),"",Universe!$B$682)</f>
        <v/>
      </c>
      <c r="AZK1" s="11">
        <f>IF(OR(SwitchROE&lt;&gt;"ON",Universe!$B$683=""),"",Universe!$B$683)</f>
        <v/>
      </c>
      <c r="AZM1" s="11">
        <f>IF(OR(SwitchROE&lt;&gt;"ON",Universe!$B$684=""),"",Universe!$B$684)</f>
        <v/>
      </c>
      <c r="AZO1" s="11">
        <f>IF(OR(SwitchROE&lt;&gt;"ON",Universe!$B$685=""),"",Universe!$B$685)</f>
        <v/>
      </c>
      <c r="AZQ1" s="11">
        <f>IF(OR(SwitchROE&lt;&gt;"ON",Universe!$B$686=""),"",Universe!$B$686)</f>
        <v/>
      </c>
      <c r="AZS1" s="11">
        <f>IF(OR(SwitchROE&lt;&gt;"ON",Universe!$B$687=""),"",Universe!$B$687)</f>
        <v/>
      </c>
      <c r="AZU1" s="11">
        <f>IF(OR(SwitchROE&lt;&gt;"ON",Universe!$B$688=""),"",Universe!$B$688)</f>
        <v/>
      </c>
      <c r="AZW1" s="11">
        <f>IF(OR(SwitchROE&lt;&gt;"ON",Universe!$B$689=""),"",Universe!$B$689)</f>
        <v/>
      </c>
      <c r="AZY1" s="11">
        <f>IF(OR(SwitchROE&lt;&gt;"ON",Universe!$B$690=""),"",Universe!$B$690)</f>
        <v/>
      </c>
      <c r="BAA1" s="11">
        <f>IF(OR(SwitchROE&lt;&gt;"ON",Universe!$B$691=""),"",Universe!$B$691)</f>
        <v/>
      </c>
      <c r="BAC1" s="11">
        <f>IF(OR(SwitchROE&lt;&gt;"ON",Universe!$B$692=""),"",Universe!$B$692)</f>
        <v/>
      </c>
      <c r="BAE1" s="11">
        <f>IF(OR(SwitchROE&lt;&gt;"ON",Universe!$B$693=""),"",Universe!$B$693)</f>
        <v/>
      </c>
      <c r="BAG1" s="11">
        <f>IF(OR(SwitchROE&lt;&gt;"ON",Universe!$B$694=""),"",Universe!$B$694)</f>
        <v/>
      </c>
      <c r="BAI1" s="11">
        <f>IF(OR(SwitchROE&lt;&gt;"ON",Universe!$B$695=""),"",Universe!$B$695)</f>
        <v/>
      </c>
      <c r="BAK1" s="11">
        <f>IF(OR(SwitchROE&lt;&gt;"ON",Universe!$B$696=""),"",Universe!$B$696)</f>
        <v/>
      </c>
      <c r="BAM1" s="11">
        <f>IF(OR(SwitchROE&lt;&gt;"ON",Universe!$B$697=""),"",Universe!$B$697)</f>
        <v/>
      </c>
      <c r="BAO1" s="11">
        <f>IF(OR(SwitchROE&lt;&gt;"ON",Universe!$B$698=""),"",Universe!$B$698)</f>
        <v/>
      </c>
      <c r="BAQ1" s="11">
        <f>IF(OR(SwitchROE&lt;&gt;"ON",Universe!$B$699=""),"",Universe!$B$699)</f>
        <v/>
      </c>
      <c r="BAS1" s="11">
        <f>IF(OR(SwitchROE&lt;&gt;"ON",Universe!$B$700=""),"",Universe!$B$700)</f>
        <v/>
      </c>
      <c r="BAU1" s="11">
        <f>IF(OR(SwitchROE&lt;&gt;"ON",Universe!$B$701=""),"",Universe!$B$701)</f>
        <v/>
      </c>
      <c r="BAW1" s="11">
        <f>IF(OR(SwitchROE&lt;&gt;"ON",Universe!$B$702=""),"",Universe!$B$702)</f>
        <v/>
      </c>
      <c r="BAY1" s="11">
        <f>IF(OR(SwitchROE&lt;&gt;"ON",Universe!$B$703=""),"",Universe!$B$703)</f>
        <v/>
      </c>
      <c r="BBA1" s="11">
        <f>IF(OR(SwitchROE&lt;&gt;"ON",Universe!$B$704=""),"",Universe!$B$704)</f>
        <v/>
      </c>
      <c r="BBC1" s="11">
        <f>IF(OR(SwitchROE&lt;&gt;"ON",Universe!$B$705=""),"",Universe!$B$705)</f>
        <v/>
      </c>
      <c r="BBE1" s="11">
        <f>IF(OR(SwitchROE&lt;&gt;"ON",Universe!$B$706=""),"",Universe!$B$706)</f>
        <v/>
      </c>
      <c r="BBG1" s="11">
        <f>IF(OR(SwitchROE&lt;&gt;"ON",Universe!$B$707=""),"",Universe!$B$707)</f>
        <v/>
      </c>
      <c r="BBI1" s="11">
        <f>IF(OR(SwitchROE&lt;&gt;"ON",Universe!$B$708=""),"",Universe!$B$708)</f>
        <v/>
      </c>
      <c r="BBK1" s="11">
        <f>IF(OR(SwitchROE&lt;&gt;"ON",Universe!$B$709=""),"",Universe!$B$709)</f>
        <v/>
      </c>
      <c r="BBM1" s="11">
        <f>IF(OR(SwitchROE&lt;&gt;"ON",Universe!$B$710=""),"",Universe!$B$710)</f>
        <v/>
      </c>
      <c r="BBO1" s="11">
        <f>IF(OR(SwitchROE&lt;&gt;"ON",Universe!$B$711=""),"",Universe!$B$711)</f>
        <v/>
      </c>
      <c r="BBQ1" s="11">
        <f>IF(OR(SwitchROE&lt;&gt;"ON",Universe!$B$712=""),"",Universe!$B$712)</f>
        <v/>
      </c>
      <c r="BBS1" s="11">
        <f>IF(OR(SwitchROE&lt;&gt;"ON",Universe!$B$713=""),"",Universe!$B$713)</f>
        <v/>
      </c>
      <c r="BBU1" s="11">
        <f>IF(OR(SwitchROE&lt;&gt;"ON",Universe!$B$714=""),"",Universe!$B$714)</f>
        <v/>
      </c>
      <c r="BBW1" s="11">
        <f>IF(OR(SwitchROE&lt;&gt;"ON",Universe!$B$715=""),"",Universe!$B$715)</f>
        <v/>
      </c>
      <c r="BBY1" s="11">
        <f>IF(OR(SwitchROE&lt;&gt;"ON",Universe!$B$716=""),"",Universe!$B$716)</f>
        <v/>
      </c>
      <c r="BCA1" s="11">
        <f>IF(OR(SwitchROE&lt;&gt;"ON",Universe!$B$717=""),"",Universe!$B$717)</f>
        <v/>
      </c>
      <c r="BCC1" s="11">
        <f>IF(OR(SwitchROE&lt;&gt;"ON",Universe!$B$718=""),"",Universe!$B$718)</f>
        <v/>
      </c>
      <c r="BCE1" s="11">
        <f>IF(OR(SwitchROE&lt;&gt;"ON",Universe!$B$719=""),"",Universe!$B$719)</f>
        <v/>
      </c>
      <c r="BCG1" s="11">
        <f>IF(OR(SwitchROE&lt;&gt;"ON",Universe!$B$720=""),"",Universe!$B$720)</f>
        <v/>
      </c>
      <c r="BCI1" s="11">
        <f>IF(OR(SwitchROE&lt;&gt;"ON",Universe!$B$721=""),"",Universe!$B$721)</f>
        <v/>
      </c>
      <c r="BCK1" s="11">
        <f>IF(OR(SwitchROE&lt;&gt;"ON",Universe!$B$722=""),"",Universe!$B$722)</f>
        <v/>
      </c>
      <c r="BCM1" s="11">
        <f>IF(OR(SwitchROE&lt;&gt;"ON",Universe!$B$723=""),"",Universe!$B$723)</f>
        <v/>
      </c>
      <c r="BCO1" s="11">
        <f>IF(OR(SwitchROE&lt;&gt;"ON",Universe!$B$724=""),"",Universe!$B$724)</f>
        <v/>
      </c>
      <c r="BCQ1" s="11">
        <f>IF(OR(SwitchROE&lt;&gt;"ON",Universe!$B$725=""),"",Universe!$B$725)</f>
        <v/>
      </c>
      <c r="BCS1" s="11">
        <f>IF(OR(SwitchROE&lt;&gt;"ON",Universe!$B$726=""),"",Universe!$B$726)</f>
        <v/>
      </c>
      <c r="BCU1" s="11">
        <f>IF(OR(SwitchROE&lt;&gt;"ON",Universe!$B$727=""),"",Universe!$B$727)</f>
        <v/>
      </c>
      <c r="BCW1" s="11">
        <f>IF(OR(SwitchROE&lt;&gt;"ON",Universe!$B$728=""),"",Universe!$B$728)</f>
        <v/>
      </c>
      <c r="BCY1" s="11">
        <f>IF(OR(SwitchROE&lt;&gt;"ON",Universe!$B$729=""),"",Universe!$B$729)</f>
        <v/>
      </c>
      <c r="BDA1" s="11">
        <f>IF(OR(SwitchROE&lt;&gt;"ON",Universe!$B$730=""),"",Universe!$B$730)</f>
        <v/>
      </c>
      <c r="BDC1" s="11">
        <f>IF(OR(SwitchROE&lt;&gt;"ON",Universe!$B$731=""),"",Universe!$B$731)</f>
        <v/>
      </c>
      <c r="BDE1" s="11">
        <f>IF(OR(SwitchROE&lt;&gt;"ON",Universe!$B$732=""),"",Universe!$B$732)</f>
        <v/>
      </c>
      <c r="BDG1" s="11">
        <f>IF(OR(SwitchROE&lt;&gt;"ON",Universe!$B$733=""),"",Universe!$B$733)</f>
        <v/>
      </c>
      <c r="BDI1" s="11">
        <f>IF(OR(SwitchROE&lt;&gt;"ON",Universe!$B$734=""),"",Universe!$B$734)</f>
        <v/>
      </c>
      <c r="BDK1" s="11">
        <f>IF(OR(SwitchROE&lt;&gt;"ON",Universe!$B$735=""),"",Universe!$B$735)</f>
        <v/>
      </c>
      <c r="BDM1" s="11">
        <f>IF(OR(SwitchROE&lt;&gt;"ON",Universe!$B$736=""),"",Universe!$B$736)</f>
        <v/>
      </c>
      <c r="BDO1" s="11">
        <f>IF(OR(SwitchROE&lt;&gt;"ON",Universe!$B$737=""),"",Universe!$B$737)</f>
        <v/>
      </c>
      <c r="BDQ1" s="11">
        <f>IF(OR(SwitchROE&lt;&gt;"ON",Universe!$B$738=""),"",Universe!$B$738)</f>
        <v/>
      </c>
      <c r="BDS1" s="11">
        <f>IF(OR(SwitchROE&lt;&gt;"ON",Universe!$B$739=""),"",Universe!$B$739)</f>
        <v/>
      </c>
      <c r="BDU1" s="11">
        <f>IF(OR(SwitchROE&lt;&gt;"ON",Universe!$B$740=""),"",Universe!$B$740)</f>
        <v/>
      </c>
      <c r="BDW1" s="11">
        <f>IF(OR(SwitchROE&lt;&gt;"ON",Universe!$B$741=""),"",Universe!$B$741)</f>
        <v/>
      </c>
      <c r="BDY1" s="11">
        <f>IF(OR(SwitchROE&lt;&gt;"ON",Universe!$B$742=""),"",Universe!$B$742)</f>
        <v/>
      </c>
      <c r="BEA1" s="11">
        <f>IF(OR(SwitchROE&lt;&gt;"ON",Universe!$B$743=""),"",Universe!$B$743)</f>
        <v/>
      </c>
      <c r="BEC1" s="11">
        <f>IF(OR(SwitchROE&lt;&gt;"ON",Universe!$B$744=""),"",Universe!$B$744)</f>
        <v/>
      </c>
      <c r="BEE1" s="11">
        <f>IF(OR(SwitchROE&lt;&gt;"ON",Universe!$B$745=""),"",Universe!$B$745)</f>
        <v/>
      </c>
      <c r="BEG1" s="11">
        <f>IF(OR(SwitchROE&lt;&gt;"ON",Universe!$B$746=""),"",Universe!$B$746)</f>
        <v/>
      </c>
      <c r="BEI1" s="11">
        <f>IF(OR(SwitchROE&lt;&gt;"ON",Universe!$B$747=""),"",Universe!$B$747)</f>
        <v/>
      </c>
      <c r="BEK1" s="11">
        <f>IF(OR(SwitchROE&lt;&gt;"ON",Universe!$B$748=""),"",Universe!$B$748)</f>
        <v/>
      </c>
      <c r="BEM1" s="11">
        <f>IF(OR(SwitchROE&lt;&gt;"ON",Universe!$B$749=""),"",Universe!$B$749)</f>
        <v/>
      </c>
      <c r="BEO1" s="11">
        <f>IF(OR(SwitchROE&lt;&gt;"ON",Universe!$B$750=""),"",Universe!$B$750)</f>
        <v/>
      </c>
      <c r="BEQ1" s="11">
        <f>IF(OR(SwitchROE&lt;&gt;"ON",Universe!$B$751=""),"",Universe!$B$751)</f>
        <v/>
      </c>
      <c r="BES1" s="11">
        <f>IF(OR(SwitchROE&lt;&gt;"ON",Universe!$B$752=""),"",Universe!$B$752)</f>
        <v/>
      </c>
      <c r="BEU1" s="11">
        <f>IF(OR(SwitchROE&lt;&gt;"ON",Universe!$B$753=""),"",Universe!$B$753)</f>
        <v/>
      </c>
      <c r="BEW1" s="11">
        <f>IF(OR(SwitchROE&lt;&gt;"ON",Universe!$B$754=""),"",Universe!$B$754)</f>
        <v/>
      </c>
      <c r="BEY1" s="11">
        <f>IF(OR(SwitchROE&lt;&gt;"ON",Universe!$B$755=""),"",Universe!$B$755)</f>
        <v/>
      </c>
      <c r="BFA1" s="11">
        <f>IF(OR(SwitchROE&lt;&gt;"ON",Universe!$B$756=""),"",Universe!$B$756)</f>
        <v/>
      </c>
      <c r="BFC1" s="11">
        <f>IF(OR(SwitchROE&lt;&gt;"ON",Universe!$B$757=""),"",Universe!$B$757)</f>
        <v/>
      </c>
      <c r="BFE1" s="11">
        <f>IF(OR(SwitchROE&lt;&gt;"ON",Universe!$B$758=""),"",Universe!$B$758)</f>
        <v/>
      </c>
      <c r="BFG1" s="11">
        <f>IF(OR(SwitchROE&lt;&gt;"ON",Universe!$B$759=""),"",Universe!$B$759)</f>
        <v/>
      </c>
      <c r="BFI1" s="11">
        <f>IF(OR(SwitchROE&lt;&gt;"ON",Universe!$B$760=""),"",Universe!$B$760)</f>
        <v/>
      </c>
      <c r="BFK1" s="11">
        <f>IF(OR(SwitchROE&lt;&gt;"ON",Universe!$B$761=""),"",Universe!$B$761)</f>
        <v/>
      </c>
      <c r="BFM1" s="11">
        <f>IF(OR(SwitchROE&lt;&gt;"ON",Universe!$B$762=""),"",Universe!$B$762)</f>
        <v/>
      </c>
      <c r="BFO1" s="11">
        <f>IF(OR(SwitchROE&lt;&gt;"ON",Universe!$B$763=""),"",Universe!$B$763)</f>
        <v/>
      </c>
      <c r="BFQ1" s="11">
        <f>IF(OR(SwitchROE&lt;&gt;"ON",Universe!$B$764=""),"",Universe!$B$764)</f>
        <v/>
      </c>
      <c r="BFS1" s="11">
        <f>IF(OR(SwitchROE&lt;&gt;"ON",Universe!$B$765=""),"",Universe!$B$765)</f>
        <v/>
      </c>
      <c r="BFU1" s="11">
        <f>IF(OR(SwitchROE&lt;&gt;"ON",Universe!$B$766=""),"",Universe!$B$766)</f>
        <v/>
      </c>
      <c r="BFW1" s="11">
        <f>IF(OR(SwitchROE&lt;&gt;"ON",Universe!$B$767=""),"",Universe!$B$767)</f>
        <v/>
      </c>
      <c r="BFY1" s="11">
        <f>IF(OR(SwitchROE&lt;&gt;"ON",Universe!$B$768=""),"",Universe!$B$768)</f>
        <v/>
      </c>
      <c r="BGA1" s="11">
        <f>IF(OR(SwitchROE&lt;&gt;"ON",Universe!$B$769=""),"",Universe!$B$769)</f>
        <v/>
      </c>
      <c r="BGC1" s="11">
        <f>IF(OR(SwitchROE&lt;&gt;"ON",Universe!$B$770=""),"",Universe!$B$770)</f>
        <v/>
      </c>
      <c r="BGE1" s="11">
        <f>IF(OR(SwitchROE&lt;&gt;"ON",Universe!$B$771=""),"",Universe!$B$771)</f>
        <v/>
      </c>
      <c r="BGG1" s="11">
        <f>IF(OR(SwitchROE&lt;&gt;"ON",Universe!$B$772=""),"",Universe!$B$772)</f>
        <v/>
      </c>
      <c r="BGI1" s="11">
        <f>IF(OR(SwitchROE&lt;&gt;"ON",Universe!$B$773=""),"",Universe!$B$773)</f>
        <v/>
      </c>
      <c r="BGK1" s="11">
        <f>IF(OR(SwitchROE&lt;&gt;"ON",Universe!$B$774=""),"",Universe!$B$774)</f>
        <v/>
      </c>
      <c r="BGM1" s="11">
        <f>IF(OR(SwitchROE&lt;&gt;"ON",Universe!$B$775=""),"",Universe!$B$775)</f>
        <v/>
      </c>
      <c r="BGO1" s="11">
        <f>IF(OR(SwitchROE&lt;&gt;"ON",Universe!$B$776=""),"",Universe!$B$776)</f>
        <v/>
      </c>
      <c r="BGQ1" s="11">
        <f>IF(OR(SwitchROE&lt;&gt;"ON",Universe!$B$777=""),"",Universe!$B$777)</f>
        <v/>
      </c>
      <c r="BGS1" s="11">
        <f>IF(OR(SwitchROE&lt;&gt;"ON",Universe!$B$778=""),"",Universe!$B$778)</f>
        <v/>
      </c>
      <c r="BGU1" s="11">
        <f>IF(OR(SwitchROE&lt;&gt;"ON",Universe!$B$779=""),"",Universe!$B$779)</f>
        <v/>
      </c>
      <c r="BGW1" s="11">
        <f>IF(OR(SwitchROE&lt;&gt;"ON",Universe!$B$780=""),"",Universe!$B$780)</f>
        <v/>
      </c>
      <c r="BGY1" s="11">
        <f>IF(OR(SwitchROE&lt;&gt;"ON",Universe!$B$781=""),"",Universe!$B$781)</f>
        <v/>
      </c>
      <c r="BHA1" s="11">
        <f>IF(OR(SwitchROE&lt;&gt;"ON",Universe!$B$782=""),"",Universe!$B$782)</f>
        <v/>
      </c>
      <c r="BHC1" s="11">
        <f>IF(OR(SwitchROE&lt;&gt;"ON",Universe!$B$783=""),"",Universe!$B$783)</f>
        <v/>
      </c>
      <c r="BHE1" s="11">
        <f>IF(OR(SwitchROE&lt;&gt;"ON",Universe!$B$784=""),"",Universe!$B$784)</f>
        <v/>
      </c>
      <c r="BHG1" s="11">
        <f>IF(OR(SwitchROE&lt;&gt;"ON",Universe!$B$785=""),"",Universe!$B$785)</f>
        <v/>
      </c>
      <c r="BHI1" s="11">
        <f>IF(OR(SwitchROE&lt;&gt;"ON",Universe!$B$786=""),"",Universe!$B$786)</f>
        <v/>
      </c>
      <c r="BHK1" s="11">
        <f>IF(OR(SwitchROE&lt;&gt;"ON",Universe!$B$787=""),"",Universe!$B$787)</f>
        <v/>
      </c>
      <c r="BHM1" s="11">
        <f>IF(OR(SwitchROE&lt;&gt;"ON",Universe!$B$788=""),"",Universe!$B$788)</f>
        <v/>
      </c>
      <c r="BHO1" s="11">
        <f>IF(OR(SwitchROE&lt;&gt;"ON",Universe!$B$789=""),"",Universe!$B$789)</f>
        <v/>
      </c>
      <c r="BHQ1" s="11">
        <f>IF(OR(SwitchROE&lt;&gt;"ON",Universe!$B$790=""),"",Universe!$B$790)</f>
        <v/>
      </c>
      <c r="BHS1" s="11">
        <f>IF(OR(SwitchROE&lt;&gt;"ON",Universe!$B$791=""),"",Universe!$B$791)</f>
        <v/>
      </c>
      <c r="BHU1" s="11">
        <f>IF(OR(SwitchROE&lt;&gt;"ON",Universe!$B$792=""),"",Universe!$B$792)</f>
        <v/>
      </c>
      <c r="BHW1" s="11">
        <f>IF(OR(SwitchROE&lt;&gt;"ON",Universe!$B$793=""),"",Universe!$B$793)</f>
        <v/>
      </c>
      <c r="BHY1" s="11">
        <f>IF(OR(SwitchROE&lt;&gt;"ON",Universe!$B$794=""),"",Universe!$B$794)</f>
        <v/>
      </c>
      <c r="BIA1" s="11">
        <f>IF(OR(SwitchROE&lt;&gt;"ON",Universe!$B$795=""),"",Universe!$B$795)</f>
        <v/>
      </c>
      <c r="BIC1" s="11">
        <f>IF(OR(SwitchROE&lt;&gt;"ON",Universe!$B$796=""),"",Universe!$B$796)</f>
        <v/>
      </c>
      <c r="BIE1" s="11">
        <f>IF(OR(SwitchROE&lt;&gt;"ON",Universe!$B$797=""),"",Universe!$B$797)</f>
        <v/>
      </c>
      <c r="BIG1" s="11">
        <f>IF(OR(SwitchROE&lt;&gt;"ON",Universe!$B$798=""),"",Universe!$B$798)</f>
        <v/>
      </c>
      <c r="BII1" s="11">
        <f>IF(OR(SwitchROE&lt;&gt;"ON",Universe!$B$799=""),"",Universe!$B$799)</f>
        <v/>
      </c>
      <c r="BIK1" s="11">
        <f>IF(OR(SwitchROE&lt;&gt;"ON",Universe!$B$800=""),"",Universe!$B$800)</f>
        <v/>
      </c>
      <c r="BIM1" s="11">
        <f>IF(OR(SwitchROE&lt;&gt;"ON",Universe!$B$801=""),"",Universe!$B$801)</f>
        <v/>
      </c>
      <c r="BIO1" s="11">
        <f>IF(OR(SwitchROE&lt;&gt;"ON",Universe!$B$802=""),"",Universe!$B$802)</f>
        <v/>
      </c>
      <c r="BIQ1" s="11">
        <f>IF(OR(SwitchROE&lt;&gt;"ON",Universe!$B$803=""),"",Universe!$B$803)</f>
        <v/>
      </c>
      <c r="BIS1" s="11">
        <f>IF(OR(SwitchROE&lt;&gt;"ON",Universe!$B$804=""),"",Universe!$B$804)</f>
        <v/>
      </c>
      <c r="BIU1" s="11">
        <f>IF(OR(SwitchROE&lt;&gt;"ON",Universe!$B$805=""),"",Universe!$B$805)</f>
        <v/>
      </c>
      <c r="BIW1" s="11">
        <f>IF(OR(SwitchROE&lt;&gt;"ON",Universe!$B$806=""),"",Universe!$B$806)</f>
        <v/>
      </c>
      <c r="BIY1" s="11">
        <f>IF(OR(SwitchROE&lt;&gt;"ON",Universe!$B$807=""),"",Universe!$B$807)</f>
        <v/>
      </c>
      <c r="BJA1" s="11">
        <f>IF(OR(SwitchROE&lt;&gt;"ON",Universe!$B$808=""),"",Universe!$B$808)</f>
        <v/>
      </c>
      <c r="BJC1" s="11">
        <f>IF(OR(SwitchROE&lt;&gt;"ON",Universe!$B$809=""),"",Universe!$B$809)</f>
        <v/>
      </c>
      <c r="BJE1" s="11">
        <f>IF(OR(SwitchROE&lt;&gt;"ON",Universe!$B$810=""),"",Universe!$B$810)</f>
        <v/>
      </c>
      <c r="BJG1" s="11">
        <f>IF(OR(SwitchROE&lt;&gt;"ON",Universe!$B$811=""),"",Universe!$B$811)</f>
        <v/>
      </c>
      <c r="BJI1" s="11">
        <f>IF(OR(SwitchROE&lt;&gt;"ON",Universe!$B$812=""),"",Universe!$B$812)</f>
        <v/>
      </c>
      <c r="BJK1" s="11">
        <f>IF(OR(SwitchROE&lt;&gt;"ON",Universe!$B$813=""),"",Universe!$B$813)</f>
        <v/>
      </c>
      <c r="BJM1" s="11">
        <f>IF(OR(SwitchROE&lt;&gt;"ON",Universe!$B$814=""),"",Universe!$B$814)</f>
        <v/>
      </c>
      <c r="BJO1" s="11">
        <f>IF(OR(SwitchROE&lt;&gt;"ON",Universe!$B$815=""),"",Universe!$B$815)</f>
        <v/>
      </c>
      <c r="BJQ1" s="11">
        <f>IF(OR(SwitchROE&lt;&gt;"ON",Universe!$B$816=""),"",Universe!$B$816)</f>
        <v/>
      </c>
      <c r="BJS1" s="11">
        <f>IF(OR(SwitchROE&lt;&gt;"ON",Universe!$B$817=""),"",Universe!$B$817)</f>
        <v/>
      </c>
      <c r="BJU1" s="11">
        <f>IF(OR(SwitchROE&lt;&gt;"ON",Universe!$B$818=""),"",Universe!$B$818)</f>
        <v/>
      </c>
      <c r="BJW1" s="11">
        <f>IF(OR(SwitchROE&lt;&gt;"ON",Universe!$B$819=""),"",Universe!$B$819)</f>
        <v/>
      </c>
      <c r="BJY1" s="11">
        <f>IF(OR(SwitchROE&lt;&gt;"ON",Universe!$B$820=""),"",Universe!$B$820)</f>
        <v/>
      </c>
      <c r="BKA1" s="11">
        <f>IF(OR(SwitchROE&lt;&gt;"ON",Universe!$B$821=""),"",Universe!$B$821)</f>
        <v/>
      </c>
      <c r="BKC1" s="11">
        <f>IF(OR(SwitchROE&lt;&gt;"ON",Universe!$B$822=""),"",Universe!$B$822)</f>
        <v/>
      </c>
      <c r="BKE1" s="11">
        <f>IF(OR(SwitchROE&lt;&gt;"ON",Universe!$B$823=""),"",Universe!$B$823)</f>
        <v/>
      </c>
      <c r="BKG1" s="11">
        <f>IF(OR(SwitchROE&lt;&gt;"ON",Universe!$B$824=""),"",Universe!$B$824)</f>
        <v/>
      </c>
      <c r="BKI1" s="11">
        <f>IF(OR(SwitchROE&lt;&gt;"ON",Universe!$B$825=""),"",Universe!$B$825)</f>
        <v/>
      </c>
      <c r="BKK1" s="11">
        <f>IF(OR(SwitchROE&lt;&gt;"ON",Universe!$B$826=""),"",Universe!$B$826)</f>
        <v/>
      </c>
      <c r="BKM1" s="11">
        <f>IF(OR(SwitchROE&lt;&gt;"ON",Universe!$B$827=""),"",Universe!$B$827)</f>
        <v/>
      </c>
      <c r="BKO1" s="11">
        <f>IF(OR(SwitchROE&lt;&gt;"ON",Universe!$B$828=""),"",Universe!$B$828)</f>
        <v/>
      </c>
      <c r="BKQ1" s="11">
        <f>IF(OR(SwitchROE&lt;&gt;"ON",Universe!$B$829=""),"",Universe!$B$829)</f>
        <v/>
      </c>
      <c r="BKS1" s="11">
        <f>IF(OR(SwitchROE&lt;&gt;"ON",Universe!$B$830=""),"",Universe!$B$830)</f>
        <v/>
      </c>
      <c r="BKU1" s="11">
        <f>IF(OR(SwitchROE&lt;&gt;"ON",Universe!$B$831=""),"",Universe!$B$831)</f>
        <v/>
      </c>
      <c r="BKW1" s="11">
        <f>IF(OR(SwitchROE&lt;&gt;"ON",Universe!$B$832=""),"",Universe!$B$832)</f>
        <v/>
      </c>
      <c r="BKY1" s="11">
        <f>IF(OR(SwitchROE&lt;&gt;"ON",Universe!$B$833=""),"",Universe!$B$833)</f>
        <v/>
      </c>
      <c r="BLA1" s="11">
        <f>IF(OR(SwitchROE&lt;&gt;"ON",Universe!$B$834=""),"",Universe!$B$834)</f>
        <v/>
      </c>
      <c r="BLC1" s="11">
        <f>IF(OR(SwitchROE&lt;&gt;"ON",Universe!$B$835=""),"",Universe!$B$835)</f>
        <v/>
      </c>
      <c r="BLE1" s="11">
        <f>IF(OR(SwitchROE&lt;&gt;"ON",Universe!$B$836=""),"",Universe!$B$836)</f>
        <v/>
      </c>
      <c r="BLG1" s="11">
        <f>IF(OR(SwitchROE&lt;&gt;"ON",Universe!$B$837=""),"",Universe!$B$837)</f>
        <v/>
      </c>
      <c r="BLI1" s="11">
        <f>IF(OR(SwitchROE&lt;&gt;"ON",Universe!$B$838=""),"",Universe!$B$838)</f>
        <v/>
      </c>
      <c r="BLK1" s="11">
        <f>IF(OR(SwitchROE&lt;&gt;"ON",Universe!$B$839=""),"",Universe!$B$839)</f>
        <v/>
      </c>
      <c r="BLM1" s="11">
        <f>IF(OR(SwitchROE&lt;&gt;"ON",Universe!$B$840=""),"",Universe!$B$840)</f>
        <v/>
      </c>
      <c r="BLO1" s="11">
        <f>IF(OR(SwitchROE&lt;&gt;"ON",Universe!$B$841=""),"",Universe!$B$841)</f>
        <v/>
      </c>
      <c r="BLQ1" s="11">
        <f>IF(OR(SwitchROE&lt;&gt;"ON",Universe!$B$842=""),"",Universe!$B$842)</f>
        <v/>
      </c>
      <c r="BLS1" s="11">
        <f>IF(OR(SwitchROE&lt;&gt;"ON",Universe!$B$843=""),"",Universe!$B$843)</f>
        <v/>
      </c>
      <c r="BLU1" s="11">
        <f>IF(OR(SwitchROE&lt;&gt;"ON",Universe!$B$844=""),"",Universe!$B$844)</f>
        <v/>
      </c>
      <c r="BLW1" s="11">
        <f>IF(OR(SwitchROE&lt;&gt;"ON",Universe!$B$845=""),"",Universe!$B$845)</f>
        <v/>
      </c>
      <c r="BLY1" s="11">
        <f>IF(OR(SwitchROE&lt;&gt;"ON",Universe!$B$846=""),"",Universe!$B$846)</f>
        <v/>
      </c>
      <c r="BMA1" s="11">
        <f>IF(OR(SwitchROE&lt;&gt;"ON",Universe!$B$847=""),"",Universe!$B$847)</f>
        <v/>
      </c>
      <c r="BMC1" s="11">
        <f>IF(OR(SwitchROE&lt;&gt;"ON",Universe!$B$848=""),"",Universe!$B$848)</f>
        <v/>
      </c>
      <c r="BME1" s="11">
        <f>IF(OR(SwitchROE&lt;&gt;"ON",Universe!$B$849=""),"",Universe!$B$849)</f>
        <v/>
      </c>
      <c r="BMG1" s="11">
        <f>IF(OR(SwitchROE&lt;&gt;"ON",Universe!$B$850=""),"",Universe!$B$850)</f>
        <v/>
      </c>
      <c r="BMI1" s="11">
        <f>IF(OR(SwitchROE&lt;&gt;"ON",Universe!$B$851=""),"",Universe!$B$851)</f>
        <v/>
      </c>
      <c r="BMK1" s="11">
        <f>IF(OR(SwitchROE&lt;&gt;"ON",Universe!$B$852=""),"",Universe!$B$852)</f>
        <v/>
      </c>
      <c r="BMM1" s="11">
        <f>IF(OR(SwitchROE&lt;&gt;"ON",Universe!$B$853=""),"",Universe!$B$853)</f>
        <v/>
      </c>
      <c r="BMO1" s="11">
        <f>IF(OR(SwitchROE&lt;&gt;"ON",Universe!$B$854=""),"",Universe!$B$854)</f>
        <v/>
      </c>
      <c r="BMQ1" s="11">
        <f>IF(OR(SwitchROE&lt;&gt;"ON",Universe!$B$855=""),"",Universe!$B$855)</f>
        <v/>
      </c>
      <c r="BMS1" s="11">
        <f>IF(OR(SwitchROE&lt;&gt;"ON",Universe!$B$856=""),"",Universe!$B$856)</f>
        <v/>
      </c>
      <c r="BMU1" s="11">
        <f>IF(OR(SwitchROE&lt;&gt;"ON",Universe!$B$857=""),"",Universe!$B$857)</f>
        <v/>
      </c>
      <c r="BMW1" s="11">
        <f>IF(OR(SwitchROE&lt;&gt;"ON",Universe!$B$858=""),"",Universe!$B$858)</f>
        <v/>
      </c>
      <c r="BMY1" s="11">
        <f>IF(OR(SwitchROE&lt;&gt;"ON",Universe!$B$859=""),"",Universe!$B$859)</f>
        <v/>
      </c>
      <c r="BNA1" s="11">
        <f>IF(OR(SwitchROE&lt;&gt;"ON",Universe!$B$860=""),"",Universe!$B$860)</f>
        <v/>
      </c>
      <c r="BNC1" s="11">
        <f>IF(OR(SwitchROE&lt;&gt;"ON",Universe!$B$861=""),"",Universe!$B$861)</f>
        <v/>
      </c>
      <c r="BNE1" s="11">
        <f>IF(OR(SwitchROE&lt;&gt;"ON",Universe!$B$862=""),"",Universe!$B$862)</f>
        <v/>
      </c>
      <c r="BNG1" s="11">
        <f>IF(OR(SwitchROE&lt;&gt;"ON",Universe!$B$863=""),"",Universe!$B$863)</f>
        <v/>
      </c>
      <c r="BNI1" s="11">
        <f>IF(OR(SwitchROE&lt;&gt;"ON",Universe!$B$864=""),"",Universe!$B$864)</f>
        <v/>
      </c>
      <c r="BNK1" s="11">
        <f>IF(OR(SwitchROE&lt;&gt;"ON",Universe!$B$865=""),"",Universe!$B$865)</f>
        <v/>
      </c>
      <c r="BNM1" s="11">
        <f>IF(OR(SwitchROE&lt;&gt;"ON",Universe!$B$866=""),"",Universe!$B$866)</f>
        <v/>
      </c>
      <c r="BNO1" s="11">
        <f>IF(OR(SwitchROE&lt;&gt;"ON",Universe!$B$867=""),"",Universe!$B$867)</f>
        <v/>
      </c>
      <c r="BNQ1" s="11">
        <f>IF(OR(SwitchROE&lt;&gt;"ON",Universe!$B$868=""),"",Universe!$B$868)</f>
        <v/>
      </c>
      <c r="BNS1" s="11">
        <f>IF(OR(SwitchROE&lt;&gt;"ON",Universe!$B$869=""),"",Universe!$B$869)</f>
        <v/>
      </c>
      <c r="BNU1" s="11">
        <f>IF(OR(SwitchROE&lt;&gt;"ON",Universe!$B$870=""),"",Universe!$B$870)</f>
        <v/>
      </c>
      <c r="BNW1" s="11">
        <f>IF(OR(SwitchROE&lt;&gt;"ON",Universe!$B$871=""),"",Universe!$B$871)</f>
        <v/>
      </c>
      <c r="BNY1" s="11">
        <f>IF(OR(SwitchROE&lt;&gt;"ON",Universe!$B$872=""),"",Universe!$B$872)</f>
        <v/>
      </c>
      <c r="BOA1" s="11">
        <f>IF(OR(SwitchROE&lt;&gt;"ON",Universe!$B$873=""),"",Universe!$B$873)</f>
        <v/>
      </c>
      <c r="BOC1" s="11">
        <f>IF(OR(SwitchROE&lt;&gt;"ON",Universe!$B$874=""),"",Universe!$B$874)</f>
        <v/>
      </c>
      <c r="BOE1" s="11">
        <f>IF(OR(SwitchROE&lt;&gt;"ON",Universe!$B$875=""),"",Universe!$B$875)</f>
        <v/>
      </c>
      <c r="BOG1" s="11">
        <f>IF(OR(SwitchROE&lt;&gt;"ON",Universe!$B$876=""),"",Universe!$B$876)</f>
        <v/>
      </c>
      <c r="BOI1" s="11">
        <f>IF(OR(SwitchROE&lt;&gt;"ON",Universe!$B$877=""),"",Universe!$B$877)</f>
        <v/>
      </c>
      <c r="BOK1" s="11">
        <f>IF(OR(SwitchROE&lt;&gt;"ON",Universe!$B$878=""),"",Universe!$B$878)</f>
        <v/>
      </c>
      <c r="BOM1" s="11">
        <f>IF(OR(SwitchROE&lt;&gt;"ON",Universe!$B$879=""),"",Universe!$B$879)</f>
        <v/>
      </c>
      <c r="BOO1" s="11">
        <f>IF(OR(SwitchROE&lt;&gt;"ON",Universe!$B$880=""),"",Universe!$B$880)</f>
        <v/>
      </c>
      <c r="BOQ1" s="11">
        <f>IF(OR(SwitchROE&lt;&gt;"ON",Universe!$B$881=""),"",Universe!$B$881)</f>
        <v/>
      </c>
      <c r="BOS1" s="11">
        <f>IF(OR(SwitchROE&lt;&gt;"ON",Universe!$B$882=""),"",Universe!$B$882)</f>
        <v/>
      </c>
      <c r="BOU1" s="11">
        <f>IF(OR(SwitchROE&lt;&gt;"ON",Universe!$B$883=""),"",Universe!$B$883)</f>
        <v/>
      </c>
      <c r="BOW1" s="11">
        <f>IF(OR(SwitchROE&lt;&gt;"ON",Universe!$B$884=""),"",Universe!$B$884)</f>
        <v/>
      </c>
      <c r="BOY1" s="11">
        <f>IF(OR(SwitchROE&lt;&gt;"ON",Universe!$B$885=""),"",Universe!$B$885)</f>
        <v/>
      </c>
      <c r="BPA1" s="11">
        <f>IF(OR(SwitchROE&lt;&gt;"ON",Universe!$B$886=""),"",Universe!$B$886)</f>
        <v/>
      </c>
      <c r="BPC1" s="11">
        <f>IF(OR(SwitchROE&lt;&gt;"ON",Universe!$B$887=""),"",Universe!$B$887)</f>
        <v/>
      </c>
      <c r="BPE1" s="11">
        <f>IF(OR(SwitchROE&lt;&gt;"ON",Universe!$B$888=""),"",Universe!$B$888)</f>
        <v/>
      </c>
      <c r="BPG1" s="11">
        <f>IF(OR(SwitchROE&lt;&gt;"ON",Universe!$B$889=""),"",Universe!$B$889)</f>
        <v/>
      </c>
      <c r="BPI1" s="11">
        <f>IF(OR(SwitchROE&lt;&gt;"ON",Universe!$B$890=""),"",Universe!$B$890)</f>
        <v/>
      </c>
      <c r="BPK1" s="11">
        <f>IF(OR(SwitchROE&lt;&gt;"ON",Universe!$B$891=""),"",Universe!$B$891)</f>
        <v/>
      </c>
      <c r="BPM1" s="11">
        <f>IF(OR(SwitchROE&lt;&gt;"ON",Universe!$B$892=""),"",Universe!$B$892)</f>
        <v/>
      </c>
      <c r="BPO1" s="11">
        <f>IF(OR(SwitchROE&lt;&gt;"ON",Universe!$B$893=""),"",Universe!$B$893)</f>
        <v/>
      </c>
      <c r="BPQ1" s="11">
        <f>IF(OR(SwitchROE&lt;&gt;"ON",Universe!$B$894=""),"",Universe!$B$894)</f>
        <v/>
      </c>
      <c r="BPS1" s="11">
        <f>IF(OR(SwitchROE&lt;&gt;"ON",Universe!$B$895=""),"",Universe!$B$895)</f>
        <v/>
      </c>
      <c r="BPU1" s="11">
        <f>IF(OR(SwitchROE&lt;&gt;"ON",Universe!$B$896=""),"",Universe!$B$896)</f>
        <v/>
      </c>
      <c r="BPW1" s="11">
        <f>IF(OR(SwitchROE&lt;&gt;"ON",Universe!$B$897=""),"",Universe!$B$897)</f>
        <v/>
      </c>
      <c r="BPY1" s="11">
        <f>IF(OR(SwitchROE&lt;&gt;"ON",Universe!$B$898=""),"",Universe!$B$898)</f>
        <v/>
      </c>
      <c r="BQA1" s="11">
        <f>IF(OR(SwitchROE&lt;&gt;"ON",Universe!$B$899=""),"",Universe!$B$899)</f>
        <v/>
      </c>
      <c r="BQC1" s="11">
        <f>IF(OR(SwitchROE&lt;&gt;"ON",Universe!$B$900=""),"",Universe!$B$900)</f>
        <v/>
      </c>
      <c r="BQE1" s="11">
        <f>IF(OR(SwitchROE&lt;&gt;"ON",Universe!$B$901=""),"",Universe!$B$901)</f>
        <v/>
      </c>
      <c r="BQG1" s="11">
        <f>IF(OR(SwitchROE&lt;&gt;"ON",Universe!$B$902=""),"",Universe!$B$902)</f>
        <v/>
      </c>
      <c r="BQI1" s="11">
        <f>IF(OR(SwitchROE&lt;&gt;"ON",Universe!$B$903=""),"",Universe!$B$903)</f>
        <v/>
      </c>
      <c r="BQK1" s="11">
        <f>IF(OR(SwitchROE&lt;&gt;"ON",Universe!$B$904=""),"",Universe!$B$904)</f>
        <v/>
      </c>
      <c r="BQM1" s="11">
        <f>IF(OR(SwitchROE&lt;&gt;"ON",Universe!$B$905=""),"",Universe!$B$905)</f>
        <v/>
      </c>
      <c r="BQO1" s="11">
        <f>IF(OR(SwitchROE&lt;&gt;"ON",Universe!$B$906=""),"",Universe!$B$906)</f>
        <v/>
      </c>
      <c r="BQQ1" s="11">
        <f>IF(OR(SwitchROE&lt;&gt;"ON",Universe!$B$907=""),"",Universe!$B$907)</f>
        <v/>
      </c>
      <c r="BQS1" s="11">
        <f>IF(OR(SwitchROE&lt;&gt;"ON",Universe!$B$908=""),"",Universe!$B$908)</f>
        <v/>
      </c>
      <c r="BQU1" s="11">
        <f>IF(OR(SwitchROE&lt;&gt;"ON",Universe!$B$909=""),"",Universe!$B$909)</f>
        <v/>
      </c>
      <c r="BQW1" s="11">
        <f>IF(OR(SwitchROE&lt;&gt;"ON",Universe!$B$910=""),"",Universe!$B$910)</f>
        <v/>
      </c>
      <c r="BQY1" s="11">
        <f>IF(OR(SwitchROE&lt;&gt;"ON",Universe!$B$911=""),"",Universe!$B$911)</f>
        <v/>
      </c>
      <c r="BRA1" s="11">
        <f>IF(OR(SwitchROE&lt;&gt;"ON",Universe!$B$912=""),"",Universe!$B$912)</f>
        <v/>
      </c>
      <c r="BRC1" s="11">
        <f>IF(OR(SwitchROE&lt;&gt;"ON",Universe!$B$913=""),"",Universe!$B$913)</f>
        <v/>
      </c>
      <c r="BRE1" s="11">
        <f>IF(OR(SwitchROE&lt;&gt;"ON",Universe!$B$914=""),"",Universe!$B$914)</f>
        <v/>
      </c>
      <c r="BRG1" s="11">
        <f>IF(OR(SwitchROE&lt;&gt;"ON",Universe!$B$915=""),"",Universe!$B$915)</f>
        <v/>
      </c>
      <c r="BRI1" s="11">
        <f>IF(OR(SwitchROE&lt;&gt;"ON",Universe!$B$916=""),"",Universe!$B$916)</f>
        <v/>
      </c>
      <c r="BRK1" s="11">
        <f>IF(OR(SwitchROE&lt;&gt;"ON",Universe!$B$917=""),"",Universe!$B$917)</f>
        <v/>
      </c>
      <c r="BRM1" s="11">
        <f>IF(OR(SwitchROE&lt;&gt;"ON",Universe!$B$918=""),"",Universe!$B$918)</f>
        <v/>
      </c>
      <c r="BRO1" s="11">
        <f>IF(OR(SwitchROE&lt;&gt;"ON",Universe!$B$919=""),"",Universe!$B$919)</f>
        <v/>
      </c>
      <c r="BRQ1" s="11">
        <f>IF(OR(SwitchROE&lt;&gt;"ON",Universe!$B$920=""),"",Universe!$B$920)</f>
        <v/>
      </c>
      <c r="BRS1" s="11">
        <f>IF(OR(SwitchROE&lt;&gt;"ON",Universe!$B$921=""),"",Universe!$B$921)</f>
        <v/>
      </c>
      <c r="BRU1" s="11">
        <f>IF(OR(SwitchROE&lt;&gt;"ON",Universe!$B$922=""),"",Universe!$B$922)</f>
        <v/>
      </c>
      <c r="BRW1" s="11">
        <f>IF(OR(SwitchROE&lt;&gt;"ON",Universe!$B$923=""),"",Universe!$B$923)</f>
        <v/>
      </c>
      <c r="BRY1" s="11">
        <f>IF(OR(SwitchROE&lt;&gt;"ON",Universe!$B$924=""),"",Universe!$B$924)</f>
        <v/>
      </c>
      <c r="BSA1" s="11">
        <f>IF(OR(SwitchROE&lt;&gt;"ON",Universe!$B$925=""),"",Universe!$B$925)</f>
        <v/>
      </c>
      <c r="BSC1" s="11">
        <f>IF(OR(SwitchROE&lt;&gt;"ON",Universe!$B$926=""),"",Universe!$B$926)</f>
        <v/>
      </c>
      <c r="BSE1" s="11">
        <f>IF(OR(SwitchROE&lt;&gt;"ON",Universe!$B$927=""),"",Universe!$B$927)</f>
        <v/>
      </c>
      <c r="BSG1" s="11">
        <f>IF(OR(SwitchROE&lt;&gt;"ON",Universe!$B$928=""),"",Universe!$B$928)</f>
        <v/>
      </c>
      <c r="BSI1" s="11">
        <f>IF(OR(SwitchROE&lt;&gt;"ON",Universe!$B$929=""),"",Universe!$B$929)</f>
        <v/>
      </c>
      <c r="BSK1" s="11">
        <f>IF(OR(SwitchROE&lt;&gt;"ON",Universe!$B$930=""),"",Universe!$B$930)</f>
        <v/>
      </c>
      <c r="BSM1" s="11">
        <f>IF(OR(SwitchROE&lt;&gt;"ON",Universe!$B$931=""),"",Universe!$B$931)</f>
        <v/>
      </c>
      <c r="BSO1" s="11">
        <f>IF(OR(SwitchROE&lt;&gt;"ON",Universe!$B$932=""),"",Universe!$B$932)</f>
        <v/>
      </c>
      <c r="BSQ1" s="11">
        <f>IF(OR(SwitchROE&lt;&gt;"ON",Universe!$B$933=""),"",Universe!$B$933)</f>
        <v/>
      </c>
      <c r="BSS1" s="11">
        <f>IF(OR(SwitchROE&lt;&gt;"ON",Universe!$B$934=""),"",Universe!$B$934)</f>
        <v/>
      </c>
      <c r="BSU1" s="11">
        <f>IF(OR(SwitchROE&lt;&gt;"ON",Universe!$B$935=""),"",Universe!$B$935)</f>
        <v/>
      </c>
      <c r="BSW1" s="11">
        <f>IF(OR(SwitchROE&lt;&gt;"ON",Universe!$B$936=""),"",Universe!$B$936)</f>
        <v/>
      </c>
      <c r="BSY1" s="11">
        <f>IF(OR(SwitchROE&lt;&gt;"ON",Universe!$B$937=""),"",Universe!$B$937)</f>
        <v/>
      </c>
      <c r="BTA1" s="11">
        <f>IF(OR(SwitchROE&lt;&gt;"ON",Universe!$B$938=""),"",Universe!$B$938)</f>
        <v/>
      </c>
      <c r="BTC1" s="11">
        <f>IF(OR(SwitchROE&lt;&gt;"ON",Universe!$B$939=""),"",Universe!$B$939)</f>
        <v/>
      </c>
      <c r="BTE1" s="11">
        <f>IF(OR(SwitchROE&lt;&gt;"ON",Universe!$B$940=""),"",Universe!$B$940)</f>
        <v/>
      </c>
      <c r="BTG1" s="11">
        <f>IF(OR(SwitchROE&lt;&gt;"ON",Universe!$B$941=""),"",Universe!$B$941)</f>
        <v/>
      </c>
      <c r="BTI1" s="11">
        <f>IF(OR(SwitchROE&lt;&gt;"ON",Universe!$B$942=""),"",Universe!$B$942)</f>
        <v/>
      </c>
      <c r="BTK1" s="11">
        <f>IF(OR(SwitchROE&lt;&gt;"ON",Universe!$B$943=""),"",Universe!$B$943)</f>
        <v/>
      </c>
      <c r="BTM1" s="11">
        <f>IF(OR(SwitchROE&lt;&gt;"ON",Universe!$B$944=""),"",Universe!$B$944)</f>
        <v/>
      </c>
      <c r="BTO1" s="11">
        <f>IF(OR(SwitchROE&lt;&gt;"ON",Universe!$B$945=""),"",Universe!$B$945)</f>
        <v/>
      </c>
      <c r="BTQ1" s="11">
        <f>IF(OR(SwitchROE&lt;&gt;"ON",Universe!$B$946=""),"",Universe!$B$946)</f>
        <v/>
      </c>
      <c r="BTS1" s="11">
        <f>IF(OR(SwitchROE&lt;&gt;"ON",Universe!$B$947=""),"",Universe!$B$947)</f>
        <v/>
      </c>
      <c r="BTU1" s="11">
        <f>IF(OR(SwitchROE&lt;&gt;"ON",Universe!$B$948=""),"",Universe!$B$948)</f>
        <v/>
      </c>
      <c r="BTW1" s="11">
        <f>IF(OR(SwitchROE&lt;&gt;"ON",Universe!$B$949=""),"",Universe!$B$949)</f>
        <v/>
      </c>
      <c r="BTY1" s="11">
        <f>IF(OR(SwitchROE&lt;&gt;"ON",Universe!$B$950=""),"",Universe!$B$950)</f>
        <v/>
      </c>
      <c r="BUA1" s="11">
        <f>IF(OR(SwitchROE&lt;&gt;"ON",Universe!$B$951=""),"",Universe!$B$951)</f>
        <v/>
      </c>
      <c r="BUC1" s="11">
        <f>IF(OR(SwitchROE&lt;&gt;"ON",Universe!$B$952=""),"",Universe!$B$952)</f>
        <v/>
      </c>
      <c r="BUE1" s="11">
        <f>IF(OR(SwitchROE&lt;&gt;"ON",Universe!$B$953=""),"",Universe!$B$953)</f>
        <v/>
      </c>
      <c r="BUG1" s="11">
        <f>IF(OR(SwitchROE&lt;&gt;"ON",Universe!$B$954=""),"",Universe!$B$954)</f>
        <v/>
      </c>
      <c r="BUI1" s="11">
        <f>IF(OR(SwitchROE&lt;&gt;"ON",Universe!$B$955=""),"",Universe!$B$955)</f>
        <v/>
      </c>
      <c r="BUK1" s="11">
        <f>IF(OR(SwitchROE&lt;&gt;"ON",Universe!$B$956=""),"",Universe!$B$956)</f>
        <v/>
      </c>
      <c r="BUM1" s="11">
        <f>IF(OR(SwitchROE&lt;&gt;"ON",Universe!$B$957=""),"",Universe!$B$957)</f>
        <v/>
      </c>
      <c r="BUO1" s="11">
        <f>IF(OR(SwitchROE&lt;&gt;"ON",Universe!$B$958=""),"",Universe!$B$958)</f>
        <v/>
      </c>
      <c r="BUQ1" s="11">
        <f>IF(OR(SwitchROE&lt;&gt;"ON",Universe!$B$959=""),"",Universe!$B$959)</f>
        <v/>
      </c>
      <c r="BUS1" s="11">
        <f>IF(OR(SwitchROE&lt;&gt;"ON",Universe!$B$960=""),"",Universe!$B$960)</f>
        <v/>
      </c>
      <c r="BUU1" s="11">
        <f>IF(OR(SwitchROE&lt;&gt;"ON",Universe!$B$961=""),"",Universe!$B$961)</f>
        <v/>
      </c>
      <c r="BUW1" s="11">
        <f>IF(OR(SwitchROE&lt;&gt;"ON",Universe!$B$962=""),"",Universe!$B$962)</f>
        <v/>
      </c>
      <c r="BUY1" s="11">
        <f>IF(OR(SwitchROE&lt;&gt;"ON",Universe!$B$963=""),"",Universe!$B$963)</f>
        <v/>
      </c>
      <c r="BVA1" s="11">
        <f>IF(OR(SwitchROE&lt;&gt;"ON",Universe!$B$964=""),"",Universe!$B$964)</f>
        <v/>
      </c>
      <c r="BVC1" s="11">
        <f>IF(OR(SwitchROE&lt;&gt;"ON",Universe!$B$965=""),"",Universe!$B$965)</f>
        <v/>
      </c>
      <c r="BVE1" s="11">
        <f>IF(OR(SwitchROE&lt;&gt;"ON",Universe!$B$966=""),"",Universe!$B$966)</f>
        <v/>
      </c>
      <c r="BVG1" s="11">
        <f>IF(OR(SwitchROE&lt;&gt;"ON",Universe!$B$967=""),"",Universe!$B$967)</f>
        <v/>
      </c>
      <c r="BVI1" s="11">
        <f>IF(OR(SwitchROE&lt;&gt;"ON",Universe!$B$968=""),"",Universe!$B$968)</f>
        <v/>
      </c>
      <c r="BVK1" s="11">
        <f>IF(OR(SwitchROE&lt;&gt;"ON",Universe!$B$969=""),"",Universe!$B$969)</f>
        <v/>
      </c>
      <c r="BVM1" s="11">
        <f>IF(OR(SwitchROE&lt;&gt;"ON",Universe!$B$970=""),"",Universe!$B$970)</f>
        <v/>
      </c>
      <c r="BVO1" s="11">
        <f>IF(OR(SwitchROE&lt;&gt;"ON",Universe!$B$971=""),"",Universe!$B$971)</f>
        <v/>
      </c>
      <c r="BVQ1" s="11">
        <f>IF(OR(SwitchROE&lt;&gt;"ON",Universe!$B$972=""),"",Universe!$B$972)</f>
        <v/>
      </c>
      <c r="BVS1" s="11">
        <f>IF(OR(SwitchROE&lt;&gt;"ON",Universe!$B$973=""),"",Universe!$B$973)</f>
        <v/>
      </c>
      <c r="BVU1" s="11">
        <f>IF(OR(SwitchROE&lt;&gt;"ON",Universe!$B$974=""),"",Universe!$B$974)</f>
        <v/>
      </c>
      <c r="BVW1" s="11">
        <f>IF(OR(SwitchROE&lt;&gt;"ON",Universe!$B$975=""),"",Universe!$B$975)</f>
        <v/>
      </c>
      <c r="BVY1" s="11">
        <f>IF(OR(SwitchROE&lt;&gt;"ON",Universe!$B$976=""),"",Universe!$B$976)</f>
        <v/>
      </c>
      <c r="BWA1" s="11">
        <f>IF(OR(SwitchROE&lt;&gt;"ON",Universe!$B$977=""),"",Universe!$B$977)</f>
        <v/>
      </c>
      <c r="BWC1" s="11">
        <f>IF(OR(SwitchROE&lt;&gt;"ON",Universe!$B$978=""),"",Universe!$B$978)</f>
        <v/>
      </c>
      <c r="BWE1" s="11">
        <f>IF(OR(SwitchROE&lt;&gt;"ON",Universe!$B$979=""),"",Universe!$B$979)</f>
        <v/>
      </c>
      <c r="BWG1" s="11">
        <f>IF(OR(SwitchROE&lt;&gt;"ON",Universe!$B$980=""),"",Universe!$B$980)</f>
        <v/>
      </c>
      <c r="BWI1" s="11">
        <f>IF(OR(SwitchROE&lt;&gt;"ON",Universe!$B$981=""),"",Universe!$B$981)</f>
        <v/>
      </c>
      <c r="BWK1" s="11">
        <f>IF(OR(SwitchROE&lt;&gt;"ON",Universe!$B$982=""),"",Universe!$B$982)</f>
        <v/>
      </c>
      <c r="BWM1" s="11">
        <f>IF(OR(SwitchROE&lt;&gt;"ON",Universe!$B$983=""),"",Universe!$B$983)</f>
        <v/>
      </c>
      <c r="BWO1" s="11">
        <f>IF(OR(SwitchROE&lt;&gt;"ON",Universe!$B$984=""),"",Universe!$B$984)</f>
        <v/>
      </c>
      <c r="BWQ1" s="11">
        <f>IF(OR(SwitchROE&lt;&gt;"ON",Universe!$B$985=""),"",Universe!$B$985)</f>
        <v/>
      </c>
      <c r="BWS1" s="11">
        <f>IF(OR(SwitchROE&lt;&gt;"ON",Universe!$B$986=""),"",Universe!$B$986)</f>
        <v/>
      </c>
      <c r="BWU1" s="11">
        <f>IF(OR(SwitchROE&lt;&gt;"ON",Universe!$B$987=""),"",Universe!$B$987)</f>
        <v/>
      </c>
      <c r="BWW1" s="11">
        <f>IF(OR(SwitchROE&lt;&gt;"ON",Universe!$B$988=""),"",Universe!$B$988)</f>
        <v/>
      </c>
      <c r="BWY1" s="11">
        <f>IF(OR(SwitchROE&lt;&gt;"ON",Universe!$B$989=""),"",Universe!$B$989)</f>
        <v/>
      </c>
      <c r="BXA1" s="11">
        <f>IF(OR(SwitchROE&lt;&gt;"ON",Universe!$B$990=""),"",Universe!$B$990)</f>
        <v/>
      </c>
      <c r="BXC1" s="11">
        <f>IF(OR(SwitchROE&lt;&gt;"ON",Universe!$B$991=""),"",Universe!$B$991)</f>
        <v/>
      </c>
      <c r="BXE1" s="11">
        <f>IF(OR(SwitchROE&lt;&gt;"ON",Universe!$B$992=""),"",Universe!$B$992)</f>
        <v/>
      </c>
      <c r="BXG1" s="11">
        <f>IF(OR(SwitchROE&lt;&gt;"ON",Universe!$B$993=""),"",Universe!$B$993)</f>
        <v/>
      </c>
      <c r="BXI1" s="11">
        <f>IF(OR(SwitchROE&lt;&gt;"ON",Universe!$B$994=""),"",Universe!$B$994)</f>
        <v/>
      </c>
      <c r="BXK1" s="11">
        <f>IF(OR(SwitchROE&lt;&gt;"ON",Universe!$B$995=""),"",Universe!$B$995)</f>
        <v/>
      </c>
      <c r="BXM1" s="11">
        <f>IF(OR(SwitchROE&lt;&gt;"ON",Universe!$B$996=""),"",Universe!$B$996)</f>
        <v/>
      </c>
      <c r="BXO1" s="11">
        <f>IF(OR(SwitchROE&lt;&gt;"ON",Universe!$B$997=""),"",Universe!$B$997)</f>
        <v/>
      </c>
      <c r="BXQ1" s="11">
        <f>IF(OR(SwitchROE&lt;&gt;"ON",Universe!$B$998=""),"",Universe!$B$998)</f>
        <v/>
      </c>
      <c r="BXS1" s="11">
        <f>IF(OR(SwitchROE&lt;&gt;"ON",Universe!$B$999=""),"",Universe!$B$999)</f>
        <v/>
      </c>
      <c r="BXU1" s="11">
        <f>IF(OR(SwitchROE&lt;&gt;"ON",Universe!$B$1000=""),"",Universe!$B$1000)</f>
        <v/>
      </c>
      <c r="BXW1" s="11">
        <f>IF(OR(SwitchROE&lt;&gt;"ON",Universe!$B$1001=""),"",Universe!$B$1001)</f>
        <v/>
      </c>
      <c r="BXY1" s="11">
        <f>IF(OR(SwitchROE&lt;&gt;"ON",Universe!$B$1002=""),"",Universe!$B$1002)</f>
        <v/>
      </c>
      <c r="BYA1" s="11">
        <f>IF(OR(SwitchROE&lt;&gt;"ON",Universe!$B$1003=""),"",Universe!$B$1003)</f>
        <v/>
      </c>
      <c r="BYC1" s="11">
        <f>IF(OR(SwitchROE&lt;&gt;"ON",Universe!$B$1004=""),"",Universe!$B$1004)</f>
        <v/>
      </c>
      <c r="BYE1" s="11">
        <f>IF(OR(SwitchROE&lt;&gt;"ON",Universe!$B$1005=""),"",Universe!$B$1005)</f>
        <v/>
      </c>
      <c r="BYG1" s="11">
        <f>IF(OR(SwitchROE&lt;&gt;"ON",Universe!$B$1006=""),"",Universe!$B$1006)</f>
        <v/>
      </c>
      <c r="BYI1" s="11">
        <f>IF(OR(SwitchROE&lt;&gt;"ON",Universe!$B$1007=""),"",Universe!$B$1007)</f>
        <v/>
      </c>
      <c r="BYK1" s="11">
        <f>IF(OR(SwitchROE&lt;&gt;"ON",Universe!$B$1008=""),"",Universe!$B$1008)</f>
        <v/>
      </c>
      <c r="BYM1" s="11">
        <f>IF(OR(SwitchROE&lt;&gt;"ON",Universe!$B$1009=""),"",Universe!$B$1009)</f>
        <v/>
      </c>
      <c r="BYO1" s="11">
        <f>IF(OR(SwitchROE&lt;&gt;"ON",Universe!$B$1010=""),"",Universe!$B$1010)</f>
        <v/>
      </c>
      <c r="BYQ1" s="11">
        <f>IF(OR(SwitchROE&lt;&gt;"ON",Universe!$B$1011=""),"",Universe!$B$1011)</f>
        <v/>
      </c>
      <c r="BYS1" s="11">
        <f>IF(OR(SwitchROE&lt;&gt;"ON",Universe!$B$1012=""),"",Universe!$B$1012)</f>
        <v/>
      </c>
      <c r="BYU1" s="11">
        <f>IF(OR(SwitchROE&lt;&gt;"ON",Universe!$B$1013=""),"",Universe!$B$1013)</f>
        <v/>
      </c>
      <c r="BYW1" s="11">
        <f>IF(OR(SwitchROE&lt;&gt;"ON",Universe!$B$1014=""),"",Universe!$B$1014)</f>
        <v/>
      </c>
      <c r="BYY1" s="11">
        <f>IF(OR(SwitchROE&lt;&gt;"ON",Universe!$B$1015=""),"",Universe!$B$1015)</f>
        <v/>
      </c>
      <c r="BZA1" s="11">
        <f>IF(OR(SwitchROE&lt;&gt;"ON",Universe!$B$1016=""),"",Universe!$B$1016)</f>
        <v/>
      </c>
      <c r="BZC1" s="11">
        <f>IF(OR(SwitchROE&lt;&gt;"ON",Universe!$B$1017=""),"",Universe!$B$1017)</f>
        <v/>
      </c>
      <c r="BZE1" s="11">
        <f>IF(OR(SwitchROE&lt;&gt;"ON",Universe!$B$1018=""),"",Universe!$B$1018)</f>
        <v/>
      </c>
      <c r="BZG1" s="11">
        <f>IF(OR(SwitchROE&lt;&gt;"ON",Universe!$B$1019=""),"",Universe!$B$1019)</f>
        <v/>
      </c>
      <c r="BZI1" s="11">
        <f>IF(OR(SwitchROE&lt;&gt;"ON",Universe!$B$1020=""),"",Universe!$B$1020)</f>
        <v/>
      </c>
      <c r="BZK1" s="11">
        <f>IF(OR(SwitchROE&lt;&gt;"ON",Universe!$B$1021=""),"",Universe!$B$1021)</f>
        <v/>
      </c>
      <c r="BZM1" s="11">
        <f>IF(OR(SwitchROE&lt;&gt;"ON",Universe!$B$1022=""),"",Universe!$B$1022)</f>
        <v/>
      </c>
      <c r="BZO1" s="11">
        <f>IF(OR(SwitchROE&lt;&gt;"ON",Universe!$B$1023=""),"",Universe!$B$1023)</f>
        <v/>
      </c>
      <c r="BZQ1" s="11">
        <f>IF(OR(SwitchROE&lt;&gt;"ON",Universe!$B$1024=""),"",Universe!$B$1024)</f>
        <v/>
      </c>
      <c r="BZS1" s="11">
        <f>IF(OR(SwitchROE&lt;&gt;"ON",Universe!$B$1025=""),"",Universe!$B$1025)</f>
        <v/>
      </c>
      <c r="BZU1" s="11">
        <f>IF(OR(SwitchROE&lt;&gt;"ON",Universe!$B$1026=""),"",Universe!$B$1026)</f>
        <v/>
      </c>
      <c r="BZW1" s="11">
        <f>IF(OR(SwitchROE&lt;&gt;"ON",Universe!$B$1027=""),"",Universe!$B$1027)</f>
        <v/>
      </c>
      <c r="BZY1" s="11">
        <f>IF(OR(SwitchROE&lt;&gt;"ON",Universe!$B$1028=""),"",Universe!$B$1028)</f>
        <v/>
      </c>
      <c r="CAA1" s="11">
        <f>IF(OR(SwitchROE&lt;&gt;"ON",Universe!$B$1029=""),"",Universe!$B$1029)</f>
        <v/>
      </c>
      <c r="CAC1" s="11">
        <f>IF(OR(SwitchROE&lt;&gt;"ON",Universe!$B$1030=""),"",Universe!$B$1030)</f>
        <v/>
      </c>
      <c r="CAE1" s="11">
        <f>IF(OR(SwitchROE&lt;&gt;"ON",Universe!$B$1031=""),"",Universe!$B$1031)</f>
        <v/>
      </c>
      <c r="CAG1" s="11">
        <f>IF(OR(SwitchROE&lt;&gt;"ON",Universe!$B$1032=""),"",Universe!$B$1032)</f>
        <v/>
      </c>
      <c r="CAI1" s="11">
        <f>IF(OR(SwitchROE&lt;&gt;"ON",Universe!$B$1033=""),"",Universe!$B$1033)</f>
        <v/>
      </c>
      <c r="CAK1" s="11">
        <f>IF(OR(SwitchROE&lt;&gt;"ON",Universe!$B$1034=""),"",Universe!$B$1034)</f>
        <v/>
      </c>
      <c r="CAM1" s="11">
        <f>IF(OR(SwitchROE&lt;&gt;"ON",Universe!$B$1035=""),"",Universe!$B$1035)</f>
        <v/>
      </c>
      <c r="CAO1" s="11">
        <f>IF(OR(SwitchROE&lt;&gt;"ON",Universe!$B$1036=""),"",Universe!$B$1036)</f>
        <v/>
      </c>
      <c r="CAQ1" s="11">
        <f>IF(OR(SwitchROE&lt;&gt;"ON",Universe!$B$1037=""),"",Universe!$B$1037)</f>
        <v/>
      </c>
      <c r="CAS1" s="11">
        <f>IF(OR(SwitchROE&lt;&gt;"ON",Universe!$B$1038=""),"",Universe!$B$1038)</f>
        <v/>
      </c>
      <c r="CAU1" s="11">
        <f>IF(OR(SwitchROE&lt;&gt;"ON",Universe!$B$1039=""),"",Universe!$B$1039)</f>
        <v/>
      </c>
      <c r="CAW1" s="11">
        <f>IF(OR(SwitchROE&lt;&gt;"ON",Universe!$B$1040=""),"",Universe!$B$1040)</f>
        <v/>
      </c>
      <c r="CAY1" s="11">
        <f>IF(OR(SwitchROE&lt;&gt;"ON",Universe!$B$1041=""),"",Universe!$B$1041)</f>
        <v/>
      </c>
      <c r="CBA1" s="11">
        <f>IF(OR(SwitchROE&lt;&gt;"ON",Universe!$B$1042=""),"",Universe!$B$1042)</f>
        <v/>
      </c>
      <c r="CBC1" s="11">
        <f>IF(OR(SwitchROE&lt;&gt;"ON",Universe!$B$1043=""),"",Universe!$B$1043)</f>
        <v/>
      </c>
      <c r="CBE1" s="11">
        <f>IF(OR(SwitchROE&lt;&gt;"ON",Universe!$B$1044=""),"",Universe!$B$1044)</f>
        <v/>
      </c>
      <c r="CBG1" s="11">
        <f>IF(OR(SwitchROE&lt;&gt;"ON",Universe!$B$1045=""),"",Universe!$B$1045)</f>
        <v/>
      </c>
      <c r="CBI1" s="11">
        <f>IF(OR(SwitchROE&lt;&gt;"ON",Universe!$B$1046=""),"",Universe!$B$1046)</f>
        <v/>
      </c>
      <c r="CBK1" s="11">
        <f>IF(OR(SwitchROE&lt;&gt;"ON",Universe!$B$1047=""),"",Universe!$B$1047)</f>
        <v/>
      </c>
      <c r="CBM1" s="11">
        <f>IF(OR(SwitchROE&lt;&gt;"ON",Universe!$B$1048=""),"",Universe!$B$1048)</f>
        <v/>
      </c>
      <c r="CBO1" s="11">
        <f>IF(OR(SwitchROE&lt;&gt;"ON",Universe!$B$1049=""),"",Universe!$B$1049)</f>
        <v/>
      </c>
      <c r="CBQ1" s="11">
        <f>IF(OR(SwitchROE&lt;&gt;"ON",Universe!$B$1050=""),"",Universe!$B$1050)</f>
        <v/>
      </c>
      <c r="CBS1" s="11">
        <f>IF(OR(SwitchROE&lt;&gt;"ON",Universe!$B$1051=""),"",Universe!$B$1051)</f>
        <v/>
      </c>
      <c r="CBU1" s="11">
        <f>IF(OR(SwitchROE&lt;&gt;"ON",Universe!$B$1052=""),"",Universe!$B$1052)</f>
        <v/>
      </c>
      <c r="CBW1" s="11">
        <f>IF(OR(SwitchROE&lt;&gt;"ON",Universe!$B$1053=""),"",Universe!$B$1053)</f>
        <v/>
      </c>
      <c r="CBY1" s="11">
        <f>IF(OR(SwitchROE&lt;&gt;"ON",Universe!$B$1054=""),"",Universe!$B$1054)</f>
        <v/>
      </c>
      <c r="CCA1" s="11">
        <f>IF(OR(SwitchROE&lt;&gt;"ON",Universe!$B$1055=""),"",Universe!$B$1055)</f>
        <v/>
      </c>
      <c r="CCC1" s="11">
        <f>IF(OR(SwitchROE&lt;&gt;"ON",Universe!$B$1056=""),"",Universe!$B$1056)</f>
        <v/>
      </c>
      <c r="CCE1" s="11">
        <f>IF(OR(SwitchROE&lt;&gt;"ON",Universe!$B$1057=""),"",Universe!$B$1057)</f>
        <v/>
      </c>
      <c r="CCG1" s="11">
        <f>IF(OR(SwitchROE&lt;&gt;"ON",Universe!$B$1058=""),"",Universe!$B$1058)</f>
        <v/>
      </c>
      <c r="CCI1" s="11">
        <f>IF(OR(SwitchROE&lt;&gt;"ON",Universe!$B$1059=""),"",Universe!$B$1059)</f>
        <v/>
      </c>
      <c r="CCK1" s="11">
        <f>IF(OR(SwitchROE&lt;&gt;"ON",Universe!$B$1060=""),"",Universe!$B$1060)</f>
        <v/>
      </c>
      <c r="CCM1" s="11">
        <f>IF(OR(SwitchROE&lt;&gt;"ON",Universe!$B$1061=""),"",Universe!$B$1061)</f>
        <v/>
      </c>
      <c r="CCO1" s="11">
        <f>IF(OR(SwitchROE&lt;&gt;"ON",Universe!$B$1062=""),"",Universe!$B$1062)</f>
        <v/>
      </c>
      <c r="CCQ1" s="11">
        <f>IF(OR(SwitchROE&lt;&gt;"ON",Universe!$B$1063=""),"",Universe!$B$1063)</f>
        <v/>
      </c>
      <c r="CCS1" s="11">
        <f>IF(OR(SwitchROE&lt;&gt;"ON",Universe!$B$1064=""),"",Universe!$B$1064)</f>
        <v/>
      </c>
      <c r="CCU1" s="11">
        <f>IF(OR(SwitchROE&lt;&gt;"ON",Universe!$B$1065=""),"",Universe!$B$1065)</f>
        <v/>
      </c>
      <c r="CCW1" s="11">
        <f>IF(OR(SwitchROE&lt;&gt;"ON",Universe!$B$1066=""),"",Universe!$B$1066)</f>
        <v/>
      </c>
      <c r="CCY1" s="11">
        <f>IF(OR(SwitchROE&lt;&gt;"ON",Universe!$B$1067=""),"",Universe!$B$1067)</f>
        <v/>
      </c>
      <c r="CDA1" s="11">
        <f>IF(OR(SwitchROE&lt;&gt;"ON",Universe!$B$1068=""),"",Universe!$B$1068)</f>
        <v/>
      </c>
      <c r="CDC1" s="11">
        <f>IF(OR(SwitchROE&lt;&gt;"ON",Universe!$B$1069=""),"",Universe!$B$1069)</f>
        <v/>
      </c>
      <c r="CDE1" s="11">
        <f>IF(OR(SwitchROE&lt;&gt;"ON",Universe!$B$1070=""),"",Universe!$B$1070)</f>
        <v/>
      </c>
      <c r="CDG1" s="11">
        <f>IF(OR(SwitchROE&lt;&gt;"ON",Universe!$B$1071=""),"",Universe!$B$1071)</f>
        <v/>
      </c>
      <c r="CDI1" s="11">
        <f>IF(OR(SwitchROE&lt;&gt;"ON",Universe!$B$1072=""),"",Universe!$B$1072)</f>
        <v/>
      </c>
      <c r="CDK1" s="11">
        <f>IF(OR(SwitchROE&lt;&gt;"ON",Universe!$B$1073=""),"",Universe!$B$1073)</f>
        <v/>
      </c>
      <c r="CDM1" s="11">
        <f>IF(OR(SwitchROE&lt;&gt;"ON",Universe!$B$1074=""),"",Universe!$B$1074)</f>
        <v/>
      </c>
      <c r="CDO1" s="11">
        <f>IF(OR(SwitchROE&lt;&gt;"ON",Universe!$B$1075=""),"",Universe!$B$1075)</f>
        <v/>
      </c>
      <c r="CDQ1" s="11">
        <f>IF(OR(SwitchROE&lt;&gt;"ON",Universe!$B$1076=""),"",Universe!$B$1076)</f>
        <v/>
      </c>
      <c r="CDS1" s="11">
        <f>IF(OR(SwitchROE&lt;&gt;"ON",Universe!$B$1077=""),"",Universe!$B$1077)</f>
        <v/>
      </c>
      <c r="CDU1" s="11">
        <f>IF(OR(SwitchROE&lt;&gt;"ON",Universe!$B$1078=""),"",Universe!$B$1078)</f>
        <v/>
      </c>
      <c r="CDW1" s="11">
        <f>IF(OR(SwitchROE&lt;&gt;"ON",Universe!$B$1079=""),"",Universe!$B$1079)</f>
        <v/>
      </c>
      <c r="CDY1" s="11">
        <f>IF(OR(SwitchROE&lt;&gt;"ON",Universe!$B$1080=""),"",Universe!$B$1080)</f>
        <v/>
      </c>
      <c r="CEA1" s="11">
        <f>IF(OR(SwitchROE&lt;&gt;"ON",Universe!$B$1081=""),"",Universe!$B$1081)</f>
        <v/>
      </c>
      <c r="CEC1" s="11">
        <f>IF(OR(SwitchROE&lt;&gt;"ON",Universe!$B$1082=""),"",Universe!$B$1082)</f>
        <v/>
      </c>
      <c r="CEE1" s="11">
        <f>IF(OR(SwitchROE&lt;&gt;"ON",Universe!$B$1083=""),"",Universe!$B$1083)</f>
        <v/>
      </c>
      <c r="CEG1" s="11">
        <f>IF(OR(SwitchROE&lt;&gt;"ON",Universe!$B$1084=""),"",Universe!$B$1084)</f>
        <v/>
      </c>
      <c r="CEI1" s="11">
        <f>IF(OR(SwitchROE&lt;&gt;"ON",Universe!$B$1085=""),"",Universe!$B$1085)</f>
        <v/>
      </c>
      <c r="CEK1" s="11">
        <f>IF(OR(SwitchROE&lt;&gt;"ON",Universe!$B$1086=""),"",Universe!$B$1086)</f>
        <v/>
      </c>
      <c r="CEM1" s="11">
        <f>IF(OR(SwitchROE&lt;&gt;"ON",Universe!$B$1087=""),"",Universe!$B$1087)</f>
        <v/>
      </c>
      <c r="CEO1" s="11">
        <f>IF(OR(SwitchROE&lt;&gt;"ON",Universe!$B$1088=""),"",Universe!$B$1088)</f>
        <v/>
      </c>
      <c r="CEQ1" s="11">
        <f>IF(OR(SwitchROE&lt;&gt;"ON",Universe!$B$1089=""),"",Universe!$B$1089)</f>
        <v/>
      </c>
      <c r="CES1" s="11">
        <f>IF(OR(SwitchROE&lt;&gt;"ON",Universe!$B$1090=""),"",Universe!$B$1090)</f>
        <v/>
      </c>
      <c r="CEU1" s="11">
        <f>IF(OR(SwitchROE&lt;&gt;"ON",Universe!$B$1091=""),"",Universe!$B$1091)</f>
        <v/>
      </c>
      <c r="CEW1" s="11">
        <f>IF(OR(SwitchROE&lt;&gt;"ON",Universe!$B$1092=""),"",Universe!$B$1092)</f>
        <v/>
      </c>
      <c r="CEY1" s="11">
        <f>IF(OR(SwitchROE&lt;&gt;"ON",Universe!$B$1093=""),"",Universe!$B$1093)</f>
        <v/>
      </c>
      <c r="CFA1" s="11">
        <f>IF(OR(SwitchROE&lt;&gt;"ON",Universe!$B$1094=""),"",Universe!$B$1094)</f>
        <v/>
      </c>
      <c r="CFC1" s="11">
        <f>IF(OR(SwitchROE&lt;&gt;"ON",Universe!$B$1095=""),"",Universe!$B$1095)</f>
        <v/>
      </c>
      <c r="CFE1" s="11">
        <f>IF(OR(SwitchROE&lt;&gt;"ON",Universe!$B$1096=""),"",Universe!$B$1096)</f>
        <v/>
      </c>
      <c r="CFG1" s="11">
        <f>IF(OR(SwitchROE&lt;&gt;"ON",Universe!$B$1097=""),"",Universe!$B$1097)</f>
        <v/>
      </c>
      <c r="CFI1" s="11">
        <f>IF(OR(SwitchROE&lt;&gt;"ON",Universe!$B$1098=""),"",Universe!$B$1098)</f>
        <v/>
      </c>
      <c r="CFK1" s="11">
        <f>IF(OR(SwitchROE&lt;&gt;"ON",Universe!$B$1099=""),"",Universe!$B$1099)</f>
        <v/>
      </c>
      <c r="CFM1" s="11">
        <f>IF(OR(SwitchROE&lt;&gt;"ON",Universe!$B$1100=""),"",Universe!$B$1100)</f>
        <v/>
      </c>
      <c r="CFO1" s="11">
        <f>IF(OR(SwitchROE&lt;&gt;"ON",Universe!$B$1101=""),"",Universe!$B$1101)</f>
        <v/>
      </c>
      <c r="CFQ1" s="11">
        <f>IF(OR(SwitchROE&lt;&gt;"ON",Universe!$B$1102=""),"",Universe!$B$1102)</f>
        <v/>
      </c>
      <c r="CFS1" s="11">
        <f>IF(OR(SwitchROE&lt;&gt;"ON",Universe!$B$1103=""),"",Universe!$B$1103)</f>
        <v/>
      </c>
      <c r="CFU1" s="11">
        <f>IF(OR(SwitchROE&lt;&gt;"ON",Universe!$B$1104=""),"",Universe!$B$1104)</f>
        <v/>
      </c>
      <c r="CFW1" s="11">
        <f>IF(OR(SwitchROE&lt;&gt;"ON",Universe!$B$1105=""),"",Universe!$B$1105)</f>
        <v/>
      </c>
      <c r="CFY1" s="11">
        <f>IF(OR(SwitchROE&lt;&gt;"ON",Universe!$B$1106=""),"",Universe!$B$1106)</f>
        <v/>
      </c>
      <c r="CGA1" s="11">
        <f>IF(OR(SwitchROE&lt;&gt;"ON",Universe!$B$1107=""),"",Universe!$B$1107)</f>
        <v/>
      </c>
      <c r="CGC1" s="11">
        <f>IF(OR(SwitchROE&lt;&gt;"ON",Universe!$B$1108=""),"",Universe!$B$1108)</f>
        <v/>
      </c>
      <c r="CGE1" s="11">
        <f>IF(OR(SwitchROE&lt;&gt;"ON",Universe!$B$1109=""),"",Universe!$B$1109)</f>
        <v/>
      </c>
      <c r="CGG1" s="11">
        <f>IF(OR(SwitchROE&lt;&gt;"ON",Universe!$B$1110=""),"",Universe!$B$1110)</f>
        <v/>
      </c>
      <c r="CGI1" s="11">
        <f>IF(OR(SwitchROE&lt;&gt;"ON",Universe!$B$1111=""),"",Universe!$B$1111)</f>
        <v/>
      </c>
      <c r="CGK1" s="11">
        <f>IF(OR(SwitchROE&lt;&gt;"ON",Universe!$B$1112=""),"",Universe!$B$1112)</f>
        <v/>
      </c>
      <c r="CGM1" s="11">
        <f>IF(OR(SwitchROE&lt;&gt;"ON",Universe!$B$1113=""),"",Universe!$B$1113)</f>
        <v/>
      </c>
      <c r="CGO1" s="11">
        <f>IF(OR(SwitchROE&lt;&gt;"ON",Universe!$B$1114=""),"",Universe!$B$1114)</f>
        <v/>
      </c>
      <c r="CGQ1" s="11">
        <f>IF(OR(SwitchROE&lt;&gt;"ON",Universe!$B$1115=""),"",Universe!$B$1115)</f>
        <v/>
      </c>
      <c r="CGS1" s="11">
        <f>IF(OR(SwitchROE&lt;&gt;"ON",Universe!$B$1116=""),"",Universe!$B$1116)</f>
        <v/>
      </c>
      <c r="CGU1" s="11">
        <f>IF(OR(SwitchROE&lt;&gt;"ON",Universe!$B$1117=""),"",Universe!$B$1117)</f>
        <v/>
      </c>
      <c r="CGW1" s="11">
        <f>IF(OR(SwitchROE&lt;&gt;"ON",Universe!$B$1118=""),"",Universe!$B$1118)</f>
        <v/>
      </c>
      <c r="CGY1" s="11">
        <f>IF(OR(SwitchROE&lt;&gt;"ON",Universe!$B$1119=""),"",Universe!$B$1119)</f>
        <v/>
      </c>
      <c r="CHA1" s="11">
        <f>IF(OR(SwitchROE&lt;&gt;"ON",Universe!$B$1120=""),"",Universe!$B$1120)</f>
        <v/>
      </c>
      <c r="CHC1" s="11">
        <f>IF(OR(SwitchROE&lt;&gt;"ON",Universe!$B$1121=""),"",Universe!$B$1121)</f>
        <v/>
      </c>
      <c r="CHE1" s="11">
        <f>IF(OR(SwitchROE&lt;&gt;"ON",Universe!$B$1122=""),"",Universe!$B$1122)</f>
        <v/>
      </c>
      <c r="CHG1" s="11">
        <f>IF(OR(SwitchROE&lt;&gt;"ON",Universe!$B$1123=""),"",Universe!$B$1123)</f>
        <v/>
      </c>
      <c r="CHI1" s="11">
        <f>IF(OR(SwitchROE&lt;&gt;"ON",Universe!$B$1124=""),"",Universe!$B$1124)</f>
        <v/>
      </c>
      <c r="CHK1" s="11">
        <f>IF(OR(SwitchROE&lt;&gt;"ON",Universe!$B$1125=""),"",Universe!$B$1125)</f>
        <v/>
      </c>
      <c r="CHM1" s="11">
        <f>IF(OR(SwitchROE&lt;&gt;"ON",Universe!$B$1126=""),"",Universe!$B$1126)</f>
        <v/>
      </c>
      <c r="CHO1" s="11">
        <f>IF(OR(SwitchROE&lt;&gt;"ON",Universe!$B$1127=""),"",Universe!$B$1127)</f>
        <v/>
      </c>
      <c r="CHQ1" s="11">
        <f>IF(OR(SwitchROE&lt;&gt;"ON",Universe!$B$1128=""),"",Universe!$B$1128)</f>
        <v/>
      </c>
      <c r="CHS1" s="11">
        <f>IF(OR(SwitchROE&lt;&gt;"ON",Universe!$B$1129=""),"",Universe!$B$1129)</f>
        <v/>
      </c>
      <c r="CHU1" s="11">
        <f>IF(OR(SwitchROE&lt;&gt;"ON",Universe!$B$1130=""),"",Universe!$B$1130)</f>
        <v/>
      </c>
      <c r="CHW1" s="11">
        <f>IF(OR(SwitchROE&lt;&gt;"ON",Universe!$B$1131=""),"",Universe!$B$1131)</f>
        <v/>
      </c>
      <c r="CHY1" s="11">
        <f>IF(OR(SwitchROE&lt;&gt;"ON",Universe!$B$1132=""),"",Universe!$B$1132)</f>
        <v/>
      </c>
      <c r="CIA1" s="11">
        <f>IF(OR(SwitchROE&lt;&gt;"ON",Universe!$B$1133=""),"",Universe!$B$1133)</f>
        <v/>
      </c>
      <c r="CIC1" s="11">
        <f>IF(OR(SwitchROE&lt;&gt;"ON",Universe!$B$1134=""),"",Universe!$B$1134)</f>
        <v/>
      </c>
      <c r="CIE1" s="11">
        <f>IF(OR(SwitchROE&lt;&gt;"ON",Universe!$B$1135=""),"",Universe!$B$1135)</f>
        <v/>
      </c>
      <c r="CIG1" s="11">
        <f>IF(OR(SwitchROE&lt;&gt;"ON",Universe!$B$1136=""),"",Universe!$B$1136)</f>
        <v/>
      </c>
      <c r="CII1" s="11">
        <f>IF(OR(SwitchROE&lt;&gt;"ON",Universe!$B$1137=""),"",Universe!$B$1137)</f>
        <v/>
      </c>
      <c r="CIK1" s="11">
        <f>IF(OR(SwitchROE&lt;&gt;"ON",Universe!$B$1138=""),"",Universe!$B$1138)</f>
        <v/>
      </c>
      <c r="CIM1" s="11">
        <f>IF(OR(SwitchROE&lt;&gt;"ON",Universe!$B$1139=""),"",Universe!$B$1139)</f>
        <v/>
      </c>
      <c r="CIO1" s="11">
        <f>IF(OR(SwitchROE&lt;&gt;"ON",Universe!$B$1140=""),"",Universe!$B$1140)</f>
        <v/>
      </c>
      <c r="CIQ1" s="11">
        <f>IF(OR(SwitchROE&lt;&gt;"ON",Universe!$B$1141=""),"",Universe!$B$1141)</f>
        <v/>
      </c>
      <c r="CIS1" s="11">
        <f>IF(OR(SwitchROE&lt;&gt;"ON",Universe!$B$1142=""),"",Universe!$B$1142)</f>
        <v/>
      </c>
      <c r="CIU1" s="11">
        <f>IF(OR(SwitchROE&lt;&gt;"ON",Universe!$B$1143=""),"",Universe!$B$1143)</f>
        <v/>
      </c>
      <c r="CIW1" s="11">
        <f>IF(OR(SwitchROE&lt;&gt;"ON",Universe!$B$1144=""),"",Universe!$B$1144)</f>
        <v/>
      </c>
      <c r="CIY1" s="11">
        <f>IF(OR(SwitchROE&lt;&gt;"ON",Universe!$B$1145=""),"",Universe!$B$1145)</f>
        <v/>
      </c>
      <c r="CJA1" s="11">
        <f>IF(OR(SwitchROE&lt;&gt;"ON",Universe!$B$1146=""),"",Universe!$B$1146)</f>
        <v/>
      </c>
      <c r="CJC1" s="11">
        <f>IF(OR(SwitchROE&lt;&gt;"ON",Universe!$B$1147=""),"",Universe!$B$1147)</f>
        <v/>
      </c>
      <c r="CJE1" s="11">
        <f>IF(OR(SwitchROE&lt;&gt;"ON",Universe!$B$1148=""),"",Universe!$B$1148)</f>
        <v/>
      </c>
      <c r="CJG1" s="11">
        <f>IF(OR(SwitchROE&lt;&gt;"ON",Universe!$B$1149=""),"",Universe!$B$1149)</f>
        <v/>
      </c>
      <c r="CJI1" s="11">
        <f>IF(OR(SwitchROE&lt;&gt;"ON",Universe!$B$1150=""),"",Universe!$B$1150)</f>
        <v/>
      </c>
      <c r="CJK1" s="11">
        <f>IF(OR(SwitchROE&lt;&gt;"ON",Universe!$B$1151=""),"",Universe!$B$1151)</f>
        <v/>
      </c>
      <c r="CJM1" s="11">
        <f>IF(OR(SwitchROE&lt;&gt;"ON",Universe!$B$1152=""),"",Universe!$B$1152)</f>
        <v/>
      </c>
      <c r="CJO1" s="11">
        <f>IF(OR(SwitchROE&lt;&gt;"ON",Universe!$B$1153=""),"",Universe!$B$1153)</f>
        <v/>
      </c>
      <c r="CJQ1" s="11">
        <f>IF(OR(SwitchROE&lt;&gt;"ON",Universe!$B$1154=""),"",Universe!$B$1154)</f>
        <v/>
      </c>
      <c r="CJS1" s="11">
        <f>IF(OR(SwitchROE&lt;&gt;"ON",Universe!$B$1155=""),"",Universe!$B$1155)</f>
        <v/>
      </c>
      <c r="CJU1" s="11">
        <f>IF(OR(SwitchROE&lt;&gt;"ON",Universe!$B$1156=""),"",Universe!$B$1156)</f>
        <v/>
      </c>
      <c r="CJW1" s="11">
        <f>IF(OR(SwitchROE&lt;&gt;"ON",Universe!$B$1157=""),"",Universe!$B$1157)</f>
        <v/>
      </c>
      <c r="CJY1" s="11">
        <f>IF(OR(SwitchROE&lt;&gt;"ON",Universe!$B$1158=""),"",Universe!$B$1158)</f>
        <v/>
      </c>
      <c r="CKA1" s="11">
        <f>IF(OR(SwitchROE&lt;&gt;"ON",Universe!$B$1159=""),"",Universe!$B$1159)</f>
        <v/>
      </c>
      <c r="CKC1" s="11">
        <f>IF(OR(SwitchROE&lt;&gt;"ON",Universe!$B$1160=""),"",Universe!$B$1160)</f>
        <v/>
      </c>
      <c r="CKE1" s="11">
        <f>IF(OR(SwitchROE&lt;&gt;"ON",Universe!$B$1161=""),"",Universe!$B$1161)</f>
        <v/>
      </c>
      <c r="CKG1" s="11">
        <f>IF(OR(SwitchROE&lt;&gt;"ON",Universe!$B$1162=""),"",Universe!$B$1162)</f>
        <v/>
      </c>
      <c r="CKI1" s="11">
        <f>IF(OR(SwitchROE&lt;&gt;"ON",Universe!$B$1163=""),"",Universe!$B$1163)</f>
        <v/>
      </c>
      <c r="CKK1" s="11">
        <f>IF(OR(SwitchROE&lt;&gt;"ON",Universe!$B$1164=""),"",Universe!$B$1164)</f>
        <v/>
      </c>
      <c r="CKM1" s="11">
        <f>IF(OR(SwitchROE&lt;&gt;"ON",Universe!$B$1165=""),"",Universe!$B$1165)</f>
        <v/>
      </c>
      <c r="CKO1" s="11">
        <f>IF(OR(SwitchROE&lt;&gt;"ON",Universe!$B$1166=""),"",Universe!$B$1166)</f>
        <v/>
      </c>
      <c r="CKQ1" s="11">
        <f>IF(OR(SwitchROE&lt;&gt;"ON",Universe!$B$1167=""),"",Universe!$B$1167)</f>
        <v/>
      </c>
      <c r="CKS1" s="11">
        <f>IF(OR(SwitchROE&lt;&gt;"ON",Universe!$B$1168=""),"",Universe!$B$1168)</f>
        <v/>
      </c>
      <c r="CKU1" s="11">
        <f>IF(OR(SwitchROE&lt;&gt;"ON",Universe!$B$1169=""),"",Universe!$B$1169)</f>
        <v/>
      </c>
      <c r="CKW1" s="11">
        <f>IF(OR(SwitchROE&lt;&gt;"ON",Universe!$B$1170=""),"",Universe!$B$1170)</f>
        <v/>
      </c>
      <c r="CKY1" s="11">
        <f>IF(OR(SwitchROE&lt;&gt;"ON",Universe!$B$1171=""),"",Universe!$B$1171)</f>
        <v/>
      </c>
      <c r="CLA1" s="11">
        <f>IF(OR(SwitchROE&lt;&gt;"ON",Universe!$B$1172=""),"",Universe!$B$1172)</f>
        <v/>
      </c>
      <c r="CLC1" s="11">
        <f>IF(OR(SwitchROE&lt;&gt;"ON",Universe!$B$1173=""),"",Universe!$B$1173)</f>
        <v/>
      </c>
      <c r="CLE1" s="11">
        <f>IF(OR(SwitchROE&lt;&gt;"ON",Universe!$B$1174=""),"",Universe!$B$1174)</f>
        <v/>
      </c>
      <c r="CLG1" s="11">
        <f>IF(OR(SwitchROE&lt;&gt;"ON",Universe!$B$1175=""),"",Universe!$B$1175)</f>
        <v/>
      </c>
      <c r="CLI1" s="11">
        <f>IF(OR(SwitchROE&lt;&gt;"ON",Universe!$B$1176=""),"",Universe!$B$1176)</f>
        <v/>
      </c>
      <c r="CLK1" s="11">
        <f>IF(OR(SwitchROE&lt;&gt;"ON",Universe!$B$1177=""),"",Universe!$B$1177)</f>
        <v/>
      </c>
      <c r="CLM1" s="11">
        <f>IF(OR(SwitchROE&lt;&gt;"ON",Universe!$B$1178=""),"",Universe!$B$1178)</f>
        <v/>
      </c>
      <c r="CLO1" s="11">
        <f>IF(OR(SwitchROE&lt;&gt;"ON",Universe!$B$1179=""),"",Universe!$B$1179)</f>
        <v/>
      </c>
      <c r="CLQ1" s="11">
        <f>IF(OR(SwitchROE&lt;&gt;"ON",Universe!$B$1180=""),"",Universe!$B$1180)</f>
        <v/>
      </c>
      <c r="CLS1" s="11">
        <f>IF(OR(SwitchROE&lt;&gt;"ON",Universe!$B$1181=""),"",Universe!$B$1181)</f>
        <v/>
      </c>
      <c r="CLU1" s="11">
        <f>IF(OR(SwitchROE&lt;&gt;"ON",Universe!$B$1182=""),"",Universe!$B$1182)</f>
        <v/>
      </c>
      <c r="CLW1" s="11">
        <f>IF(OR(SwitchROE&lt;&gt;"ON",Universe!$B$1183=""),"",Universe!$B$1183)</f>
        <v/>
      </c>
      <c r="CLY1" s="11">
        <f>IF(OR(SwitchROE&lt;&gt;"ON",Universe!$B$1184=""),"",Universe!$B$1184)</f>
        <v/>
      </c>
      <c r="CMA1" s="11">
        <f>IF(OR(SwitchROE&lt;&gt;"ON",Universe!$B$1185=""),"",Universe!$B$1185)</f>
        <v/>
      </c>
      <c r="CMC1" s="11">
        <f>IF(OR(SwitchROE&lt;&gt;"ON",Universe!$B$1186=""),"",Universe!$B$1186)</f>
        <v/>
      </c>
      <c r="CME1" s="11">
        <f>IF(OR(SwitchROE&lt;&gt;"ON",Universe!$B$1187=""),"",Universe!$B$1187)</f>
        <v/>
      </c>
      <c r="CMG1" s="11">
        <f>IF(OR(SwitchROE&lt;&gt;"ON",Universe!$B$1188=""),"",Universe!$B$1188)</f>
        <v/>
      </c>
      <c r="CMI1" s="11">
        <f>IF(OR(SwitchROE&lt;&gt;"ON",Universe!$B$1189=""),"",Universe!$B$1189)</f>
        <v/>
      </c>
      <c r="CMK1" s="11">
        <f>IF(OR(SwitchROE&lt;&gt;"ON",Universe!$B$1190=""),"",Universe!$B$1190)</f>
        <v/>
      </c>
      <c r="CMM1" s="11">
        <f>IF(OR(SwitchROE&lt;&gt;"ON",Universe!$B$1191=""),"",Universe!$B$1191)</f>
        <v/>
      </c>
      <c r="CMO1" s="11">
        <f>IF(OR(SwitchROE&lt;&gt;"ON",Universe!$B$1192=""),"",Universe!$B$1192)</f>
        <v/>
      </c>
      <c r="CMQ1" s="11">
        <f>IF(OR(SwitchROE&lt;&gt;"ON",Universe!$B$1193=""),"",Universe!$B$1193)</f>
        <v/>
      </c>
      <c r="CMS1" s="11">
        <f>IF(OR(SwitchROE&lt;&gt;"ON",Universe!$B$1194=""),"",Universe!$B$1194)</f>
        <v/>
      </c>
      <c r="CMU1" s="11">
        <f>IF(OR(SwitchROE&lt;&gt;"ON",Universe!$B$1195=""),"",Universe!$B$1195)</f>
        <v/>
      </c>
      <c r="CMW1" s="11">
        <f>IF(OR(SwitchROE&lt;&gt;"ON",Universe!$B$1196=""),"",Universe!$B$1196)</f>
        <v/>
      </c>
      <c r="CMY1" s="11">
        <f>IF(OR(SwitchROE&lt;&gt;"ON",Universe!$B$1197=""),"",Universe!$B$1197)</f>
        <v/>
      </c>
      <c r="CNA1" s="11">
        <f>IF(OR(SwitchROE&lt;&gt;"ON",Universe!$B$1198=""),"",Universe!$B$1198)</f>
        <v/>
      </c>
      <c r="CNC1" s="11">
        <f>IF(OR(SwitchROE&lt;&gt;"ON",Universe!$B$1199=""),"",Universe!$B$1199)</f>
        <v/>
      </c>
      <c r="CNE1" s="11">
        <f>IF(OR(SwitchROE&lt;&gt;"ON",Universe!$B$1200=""),"",Universe!$B$1200)</f>
        <v/>
      </c>
      <c r="CNG1" s="11">
        <f>IF(OR(SwitchROE&lt;&gt;"ON",Universe!$B$1201=""),"",Universe!$B$1201)</f>
        <v/>
      </c>
      <c r="CNI1" s="11">
        <f>IF(OR(SwitchROE&lt;&gt;"ON",Universe!$B$1202=""),"",Universe!$B$1202)</f>
        <v/>
      </c>
      <c r="CNK1" s="11">
        <f>IF(OR(SwitchROE&lt;&gt;"ON",Universe!$B$1203=""),"",Universe!$B$1203)</f>
        <v/>
      </c>
      <c r="CNM1" s="11">
        <f>IF(OR(SwitchROE&lt;&gt;"ON",Universe!$B$1204=""),"",Universe!$B$1204)</f>
        <v/>
      </c>
      <c r="CNO1" s="11">
        <f>IF(OR(SwitchROE&lt;&gt;"ON",Universe!$B$1205=""),"",Universe!$B$1205)</f>
        <v/>
      </c>
      <c r="CNQ1" s="11">
        <f>IF(OR(SwitchROE&lt;&gt;"ON",Universe!$B$1206=""),"",Universe!$B$1206)</f>
        <v/>
      </c>
      <c r="CNS1" s="11">
        <f>IF(OR(SwitchROE&lt;&gt;"ON",Universe!$B$1207=""),"",Universe!$B$1207)</f>
        <v/>
      </c>
      <c r="CNU1" s="11">
        <f>IF(OR(SwitchROE&lt;&gt;"ON",Universe!$B$1208=""),"",Universe!$B$1208)</f>
        <v/>
      </c>
      <c r="CNW1" s="11">
        <f>IF(OR(SwitchROE&lt;&gt;"ON",Universe!$B$1209=""),"",Universe!$B$1209)</f>
        <v/>
      </c>
      <c r="CNY1" s="11">
        <f>IF(OR(SwitchROE&lt;&gt;"ON",Universe!$B$1210=""),"",Universe!$B$1210)</f>
        <v/>
      </c>
      <c r="COA1" s="11">
        <f>IF(OR(SwitchROE&lt;&gt;"ON",Universe!$B$1211=""),"",Universe!$B$1211)</f>
        <v/>
      </c>
      <c r="COC1" s="11">
        <f>IF(OR(SwitchROE&lt;&gt;"ON",Universe!$B$1212=""),"",Universe!$B$1212)</f>
        <v/>
      </c>
      <c r="COE1" s="11">
        <f>IF(OR(SwitchROE&lt;&gt;"ON",Universe!$B$1213=""),"",Universe!$B$1213)</f>
        <v/>
      </c>
      <c r="COG1" s="11">
        <f>IF(OR(SwitchROE&lt;&gt;"ON",Universe!$B$1214=""),"",Universe!$B$1214)</f>
        <v/>
      </c>
      <c r="COI1" s="11">
        <f>IF(OR(SwitchROE&lt;&gt;"ON",Universe!$B$1215=""),"",Universe!$B$1215)</f>
        <v/>
      </c>
      <c r="COK1" s="11">
        <f>IF(OR(SwitchROE&lt;&gt;"ON",Universe!$B$1216=""),"",Universe!$B$1216)</f>
        <v/>
      </c>
      <c r="COM1" s="11">
        <f>IF(OR(SwitchROE&lt;&gt;"ON",Universe!$B$1217=""),"",Universe!$B$1217)</f>
        <v/>
      </c>
      <c r="COO1" s="11">
        <f>IF(OR(SwitchROE&lt;&gt;"ON",Universe!$B$1218=""),"",Universe!$B$1218)</f>
        <v/>
      </c>
      <c r="COQ1" s="11">
        <f>IF(OR(SwitchROE&lt;&gt;"ON",Universe!$B$1219=""),"",Universe!$B$1219)</f>
        <v/>
      </c>
      <c r="COS1" s="11">
        <f>IF(OR(SwitchROE&lt;&gt;"ON",Universe!$B$1220=""),"",Universe!$B$1220)</f>
        <v/>
      </c>
      <c r="COU1" s="11">
        <f>IF(OR(SwitchROE&lt;&gt;"ON",Universe!$B$1221=""),"",Universe!$B$1221)</f>
        <v/>
      </c>
      <c r="COW1" s="11">
        <f>IF(OR(SwitchROE&lt;&gt;"ON",Universe!$B$1222=""),"",Universe!$B$1222)</f>
        <v/>
      </c>
      <c r="COY1" s="11">
        <f>IF(OR(SwitchROE&lt;&gt;"ON",Universe!$B$1223=""),"",Universe!$B$1223)</f>
        <v/>
      </c>
      <c r="CPA1" s="11">
        <f>IF(OR(SwitchROE&lt;&gt;"ON",Universe!$B$1224=""),"",Universe!$B$1224)</f>
        <v/>
      </c>
      <c r="CPC1" s="11">
        <f>IF(OR(SwitchROE&lt;&gt;"ON",Universe!$B$1225=""),"",Universe!$B$1225)</f>
        <v/>
      </c>
      <c r="CPE1" s="11">
        <f>IF(OR(SwitchROE&lt;&gt;"ON",Universe!$B$1226=""),"",Universe!$B$1226)</f>
        <v/>
      </c>
      <c r="CPG1" s="11">
        <f>IF(OR(SwitchROE&lt;&gt;"ON",Universe!$B$1227=""),"",Universe!$B$1227)</f>
        <v/>
      </c>
      <c r="CPI1" s="11">
        <f>IF(OR(SwitchROE&lt;&gt;"ON",Universe!$B$1228=""),"",Universe!$B$1228)</f>
        <v/>
      </c>
      <c r="CPK1" s="11">
        <f>IF(OR(SwitchROE&lt;&gt;"ON",Universe!$B$1229=""),"",Universe!$B$1229)</f>
        <v/>
      </c>
      <c r="CPM1" s="11">
        <f>IF(OR(SwitchROE&lt;&gt;"ON",Universe!$B$1230=""),"",Universe!$B$1230)</f>
        <v/>
      </c>
      <c r="CPO1" s="11">
        <f>IF(OR(SwitchROE&lt;&gt;"ON",Universe!$B$1231=""),"",Universe!$B$1231)</f>
        <v/>
      </c>
      <c r="CPQ1" s="11">
        <f>IF(OR(SwitchROE&lt;&gt;"ON",Universe!$B$1232=""),"",Universe!$B$1232)</f>
        <v/>
      </c>
      <c r="CPS1" s="11">
        <f>IF(OR(SwitchROE&lt;&gt;"ON",Universe!$B$1233=""),"",Universe!$B$1233)</f>
        <v/>
      </c>
      <c r="CPU1" s="11">
        <f>IF(OR(SwitchROE&lt;&gt;"ON",Universe!$B$1234=""),"",Universe!$B$1234)</f>
        <v/>
      </c>
      <c r="CPW1" s="11">
        <f>IF(OR(SwitchROE&lt;&gt;"ON",Universe!$B$1235=""),"",Universe!$B$1235)</f>
        <v/>
      </c>
      <c r="CPY1" s="11">
        <f>IF(OR(SwitchROE&lt;&gt;"ON",Universe!$B$1236=""),"",Universe!$B$1236)</f>
        <v/>
      </c>
      <c r="CQA1" s="11">
        <f>IF(OR(SwitchROE&lt;&gt;"ON",Universe!$B$1237=""),"",Universe!$B$1237)</f>
        <v/>
      </c>
      <c r="CQC1" s="11">
        <f>IF(OR(SwitchROE&lt;&gt;"ON",Universe!$B$1238=""),"",Universe!$B$1238)</f>
        <v/>
      </c>
      <c r="CQE1" s="11">
        <f>IF(OR(SwitchROE&lt;&gt;"ON",Universe!$B$1239=""),"",Universe!$B$1239)</f>
        <v/>
      </c>
      <c r="CQG1" s="11">
        <f>IF(OR(SwitchROE&lt;&gt;"ON",Universe!$B$1240=""),"",Universe!$B$1240)</f>
        <v/>
      </c>
      <c r="CQI1" s="11">
        <f>IF(OR(SwitchROE&lt;&gt;"ON",Universe!$B$1241=""),"",Universe!$B$1241)</f>
        <v/>
      </c>
      <c r="CQK1" s="11">
        <f>IF(OR(SwitchROE&lt;&gt;"ON",Universe!$B$1242=""),"",Universe!$B$1242)</f>
        <v/>
      </c>
      <c r="CQM1" s="11">
        <f>IF(OR(SwitchROE&lt;&gt;"ON",Universe!$B$1243=""),"",Universe!$B$1243)</f>
        <v/>
      </c>
      <c r="CQO1" s="11">
        <f>IF(OR(SwitchROE&lt;&gt;"ON",Universe!$B$1244=""),"",Universe!$B$1244)</f>
        <v/>
      </c>
      <c r="CQQ1" s="11">
        <f>IF(OR(SwitchROE&lt;&gt;"ON",Universe!$B$1245=""),"",Universe!$B$1245)</f>
        <v/>
      </c>
      <c r="CQS1" s="11">
        <f>IF(OR(SwitchROE&lt;&gt;"ON",Universe!$B$1246=""),"",Universe!$B$1246)</f>
        <v/>
      </c>
      <c r="CQU1" s="11">
        <f>IF(OR(SwitchROE&lt;&gt;"ON",Universe!$B$1247=""),"",Universe!$B$1247)</f>
        <v/>
      </c>
      <c r="CQW1" s="11">
        <f>IF(OR(SwitchROE&lt;&gt;"ON",Universe!$B$1248=""),"",Universe!$B$1248)</f>
        <v/>
      </c>
      <c r="CQY1" s="11">
        <f>IF(OR(SwitchROE&lt;&gt;"ON",Universe!$B$1249=""),"",Universe!$B$1249)</f>
        <v/>
      </c>
      <c r="CRA1" s="11">
        <f>IF(OR(SwitchROE&lt;&gt;"ON",Universe!$B$1250=""),"",Universe!$B$1250)</f>
        <v/>
      </c>
      <c r="CRC1" s="11">
        <f>IF(OR(SwitchROE&lt;&gt;"ON",Universe!$B$1251=""),"",Universe!$B$1251)</f>
        <v/>
      </c>
      <c r="CRE1" s="11">
        <f>IF(OR(SwitchROE&lt;&gt;"ON",Universe!$B$1252=""),"",Universe!$B$1252)</f>
        <v/>
      </c>
      <c r="CRG1" s="11">
        <f>IF(OR(SwitchROE&lt;&gt;"ON",Universe!$B$1253=""),"",Universe!$B$1253)</f>
        <v/>
      </c>
      <c r="CRI1" s="11">
        <f>IF(OR(SwitchROE&lt;&gt;"ON",Universe!$B$1254=""),"",Universe!$B$1254)</f>
        <v/>
      </c>
      <c r="CRK1" s="11">
        <f>IF(OR(SwitchROE&lt;&gt;"ON",Universe!$B$1255=""),"",Universe!$B$1255)</f>
        <v/>
      </c>
      <c r="CRM1" s="11">
        <f>IF(OR(SwitchROE&lt;&gt;"ON",Universe!$B$1256=""),"",Universe!$B$1256)</f>
        <v/>
      </c>
      <c r="CRO1" s="11">
        <f>IF(OR(SwitchROE&lt;&gt;"ON",Universe!$B$1257=""),"",Universe!$B$1257)</f>
        <v/>
      </c>
      <c r="CRQ1" s="11">
        <f>IF(OR(SwitchROE&lt;&gt;"ON",Universe!$B$1258=""),"",Universe!$B$1258)</f>
        <v/>
      </c>
      <c r="CRS1" s="11">
        <f>IF(OR(SwitchROE&lt;&gt;"ON",Universe!$B$1259=""),"",Universe!$B$1259)</f>
        <v/>
      </c>
      <c r="CRU1" s="11">
        <f>IF(OR(SwitchROE&lt;&gt;"ON",Universe!$B$1260=""),"",Universe!$B$1260)</f>
        <v/>
      </c>
      <c r="CRW1" s="11">
        <f>IF(OR(SwitchROE&lt;&gt;"ON",Universe!$B$1261=""),"",Universe!$B$1261)</f>
        <v/>
      </c>
      <c r="CRY1" s="11">
        <f>IF(OR(SwitchROE&lt;&gt;"ON",Universe!$B$1262=""),"",Universe!$B$1262)</f>
        <v/>
      </c>
      <c r="CSA1" s="11">
        <f>IF(OR(SwitchROE&lt;&gt;"ON",Universe!$B$1263=""),"",Universe!$B$1263)</f>
        <v/>
      </c>
      <c r="CSC1" s="11">
        <f>IF(OR(SwitchROE&lt;&gt;"ON",Universe!$B$1264=""),"",Universe!$B$1264)</f>
        <v/>
      </c>
      <c r="CSE1" s="11">
        <f>IF(OR(SwitchROE&lt;&gt;"ON",Universe!$B$1265=""),"",Universe!$B$1265)</f>
        <v/>
      </c>
      <c r="CSG1" s="11">
        <f>IF(OR(SwitchROE&lt;&gt;"ON",Universe!$B$1266=""),"",Universe!$B$1266)</f>
        <v/>
      </c>
      <c r="CSI1" s="11">
        <f>IF(OR(SwitchROE&lt;&gt;"ON",Universe!$B$1267=""),"",Universe!$B$1267)</f>
        <v/>
      </c>
      <c r="CSK1" s="11">
        <f>IF(OR(SwitchROE&lt;&gt;"ON",Universe!$B$1268=""),"",Universe!$B$1268)</f>
        <v/>
      </c>
      <c r="CSM1" s="11">
        <f>IF(OR(SwitchROE&lt;&gt;"ON",Universe!$B$1269=""),"",Universe!$B$1269)</f>
        <v/>
      </c>
      <c r="CSO1" s="11">
        <f>IF(OR(SwitchROE&lt;&gt;"ON",Universe!$B$1270=""),"",Universe!$B$1270)</f>
        <v/>
      </c>
      <c r="CSQ1" s="11">
        <f>IF(OR(SwitchROE&lt;&gt;"ON",Universe!$B$1271=""),"",Universe!$B$1271)</f>
        <v/>
      </c>
      <c r="CSS1" s="11">
        <f>IF(OR(SwitchROE&lt;&gt;"ON",Universe!$B$1272=""),"",Universe!$B$1272)</f>
        <v/>
      </c>
      <c r="CSU1" s="11">
        <f>IF(OR(SwitchROE&lt;&gt;"ON",Universe!$B$1273=""),"",Universe!$B$1273)</f>
        <v/>
      </c>
      <c r="CSW1" s="11">
        <f>IF(OR(SwitchROE&lt;&gt;"ON",Universe!$B$1274=""),"",Universe!$B$1274)</f>
        <v/>
      </c>
      <c r="CSY1" s="11">
        <f>IF(OR(SwitchROE&lt;&gt;"ON",Universe!$B$1275=""),"",Universe!$B$1275)</f>
        <v/>
      </c>
      <c r="CTA1" s="11">
        <f>IF(OR(SwitchROE&lt;&gt;"ON",Universe!$B$1276=""),"",Universe!$B$1276)</f>
        <v/>
      </c>
      <c r="CTC1" s="11">
        <f>IF(OR(SwitchROE&lt;&gt;"ON",Universe!$B$1277=""),"",Universe!$B$1277)</f>
        <v/>
      </c>
      <c r="CTE1" s="11">
        <f>IF(OR(SwitchROE&lt;&gt;"ON",Universe!$B$1278=""),"",Universe!$B$1278)</f>
        <v/>
      </c>
      <c r="CTG1" s="11">
        <f>IF(OR(SwitchROE&lt;&gt;"ON",Universe!$B$1279=""),"",Universe!$B$1279)</f>
        <v/>
      </c>
      <c r="CTI1" s="11">
        <f>IF(OR(SwitchROE&lt;&gt;"ON",Universe!$B$1280=""),"",Universe!$B$1280)</f>
        <v/>
      </c>
      <c r="CTK1" s="11">
        <f>IF(OR(SwitchROE&lt;&gt;"ON",Universe!$B$1281=""),"",Universe!$B$1281)</f>
        <v/>
      </c>
      <c r="CTM1" s="11">
        <f>IF(OR(SwitchROE&lt;&gt;"ON",Universe!$B$1282=""),"",Universe!$B$1282)</f>
        <v/>
      </c>
      <c r="CTO1" s="11">
        <f>IF(OR(SwitchROE&lt;&gt;"ON",Universe!$B$1283=""),"",Universe!$B$1283)</f>
        <v/>
      </c>
      <c r="CTQ1" s="11">
        <f>IF(OR(SwitchROE&lt;&gt;"ON",Universe!$B$1284=""),"",Universe!$B$1284)</f>
        <v/>
      </c>
      <c r="CTS1" s="11">
        <f>IF(OR(SwitchROE&lt;&gt;"ON",Universe!$B$1285=""),"",Universe!$B$1285)</f>
        <v/>
      </c>
      <c r="CTU1" s="11">
        <f>IF(OR(SwitchROE&lt;&gt;"ON",Universe!$B$1286=""),"",Universe!$B$1286)</f>
        <v/>
      </c>
      <c r="CTW1" s="11">
        <f>IF(OR(SwitchROE&lt;&gt;"ON",Universe!$B$1287=""),"",Universe!$B$1287)</f>
        <v/>
      </c>
      <c r="CTY1" s="11">
        <f>IF(OR(SwitchROE&lt;&gt;"ON",Universe!$B$1288=""),"",Universe!$B$1288)</f>
        <v/>
      </c>
      <c r="CUA1" s="11">
        <f>IF(OR(SwitchROE&lt;&gt;"ON",Universe!$B$1289=""),"",Universe!$B$1289)</f>
        <v/>
      </c>
      <c r="CUC1" s="11">
        <f>IF(OR(SwitchROE&lt;&gt;"ON",Universe!$B$1290=""),"",Universe!$B$1290)</f>
        <v/>
      </c>
      <c r="CUE1" s="11">
        <f>IF(OR(SwitchROE&lt;&gt;"ON",Universe!$B$1291=""),"",Universe!$B$1291)</f>
        <v/>
      </c>
      <c r="CUG1" s="11">
        <f>IF(OR(SwitchROE&lt;&gt;"ON",Universe!$B$1292=""),"",Universe!$B$1292)</f>
        <v/>
      </c>
      <c r="CUI1" s="11">
        <f>IF(OR(SwitchROE&lt;&gt;"ON",Universe!$B$1293=""),"",Universe!$B$1293)</f>
        <v/>
      </c>
      <c r="CUK1" s="11">
        <f>IF(OR(SwitchROE&lt;&gt;"ON",Universe!$B$1294=""),"",Universe!$B$1294)</f>
        <v/>
      </c>
      <c r="CUM1" s="11">
        <f>IF(OR(SwitchROE&lt;&gt;"ON",Universe!$B$1295=""),"",Universe!$B$1295)</f>
        <v/>
      </c>
      <c r="CUO1" s="11">
        <f>IF(OR(SwitchROE&lt;&gt;"ON",Universe!$B$1296=""),"",Universe!$B$1296)</f>
        <v/>
      </c>
      <c r="CUQ1" s="11">
        <f>IF(OR(SwitchROE&lt;&gt;"ON",Universe!$B$1297=""),"",Universe!$B$1297)</f>
        <v/>
      </c>
      <c r="CUS1" s="11">
        <f>IF(OR(SwitchROE&lt;&gt;"ON",Universe!$B$1298=""),"",Universe!$B$1298)</f>
        <v/>
      </c>
      <c r="CUU1" s="11">
        <f>IF(OR(SwitchROE&lt;&gt;"ON",Universe!$B$1299=""),"",Universe!$B$1299)</f>
        <v/>
      </c>
      <c r="CUW1" s="11">
        <f>IF(OR(SwitchROE&lt;&gt;"ON",Universe!$B$1300=""),"",Universe!$B$1300)</f>
        <v/>
      </c>
      <c r="CUY1" s="11">
        <f>IF(OR(SwitchROE&lt;&gt;"ON",Universe!$B$1301=""),"",Universe!$B$1301)</f>
        <v/>
      </c>
      <c r="CVA1" s="11">
        <f>IF(OR(SwitchROE&lt;&gt;"ON",Universe!$B$1302=""),"",Universe!$B$1302)</f>
        <v/>
      </c>
      <c r="CVC1" s="11">
        <f>IF(OR(SwitchROE&lt;&gt;"ON",Universe!$B$1303=""),"",Universe!$B$1303)</f>
        <v/>
      </c>
      <c r="CVE1" s="11">
        <f>IF(OR(SwitchROE&lt;&gt;"ON",Universe!$B$1304=""),"",Universe!$B$1304)</f>
        <v/>
      </c>
      <c r="CVG1" s="11">
        <f>IF(OR(SwitchROE&lt;&gt;"ON",Universe!$B$1305=""),"",Universe!$B$1305)</f>
        <v/>
      </c>
      <c r="CVI1" s="11">
        <f>IF(OR(SwitchROE&lt;&gt;"ON",Universe!$B$1306=""),"",Universe!$B$1306)</f>
        <v/>
      </c>
      <c r="CVK1" s="11">
        <f>IF(OR(SwitchROE&lt;&gt;"ON",Universe!$B$1307=""),"",Universe!$B$1307)</f>
        <v/>
      </c>
      <c r="CVM1" s="11">
        <f>IF(OR(SwitchROE&lt;&gt;"ON",Universe!$B$1308=""),"",Universe!$B$1308)</f>
        <v/>
      </c>
      <c r="CVO1" s="11">
        <f>IF(OR(SwitchROE&lt;&gt;"ON",Universe!$B$1309=""),"",Universe!$B$1309)</f>
        <v/>
      </c>
      <c r="CVQ1" s="11">
        <f>IF(OR(SwitchROE&lt;&gt;"ON",Universe!$B$1310=""),"",Universe!$B$1310)</f>
        <v/>
      </c>
      <c r="CVS1" s="11">
        <f>IF(OR(SwitchROE&lt;&gt;"ON",Universe!$B$1311=""),"",Universe!$B$1311)</f>
        <v/>
      </c>
      <c r="CVU1" s="11">
        <f>IF(OR(SwitchROE&lt;&gt;"ON",Universe!$B$1312=""),"",Universe!$B$1312)</f>
        <v/>
      </c>
      <c r="CVW1" s="11">
        <f>IF(OR(SwitchROE&lt;&gt;"ON",Universe!$B$1313=""),"",Universe!$B$1313)</f>
        <v/>
      </c>
      <c r="CVY1" s="11">
        <f>IF(OR(SwitchROE&lt;&gt;"ON",Universe!$B$1314=""),"",Universe!$B$1314)</f>
        <v/>
      </c>
      <c r="CWA1" s="11">
        <f>IF(OR(SwitchROE&lt;&gt;"ON",Universe!$B$1315=""),"",Universe!$B$1315)</f>
        <v/>
      </c>
      <c r="CWC1" s="11">
        <f>IF(OR(SwitchROE&lt;&gt;"ON",Universe!$B$1316=""),"",Universe!$B$1316)</f>
        <v/>
      </c>
      <c r="CWE1" s="11">
        <f>IF(OR(SwitchROE&lt;&gt;"ON",Universe!$B$1317=""),"",Universe!$B$1317)</f>
        <v/>
      </c>
      <c r="CWG1" s="11">
        <f>IF(OR(SwitchROE&lt;&gt;"ON",Universe!$B$1318=""),"",Universe!$B$1318)</f>
        <v/>
      </c>
      <c r="CWI1" s="11">
        <f>IF(OR(SwitchROE&lt;&gt;"ON",Universe!$B$1319=""),"",Universe!$B$1319)</f>
        <v/>
      </c>
      <c r="CWK1" s="11">
        <f>IF(OR(SwitchROE&lt;&gt;"ON",Universe!$B$1320=""),"",Universe!$B$1320)</f>
        <v/>
      </c>
      <c r="CWM1" s="11">
        <f>IF(OR(SwitchROE&lt;&gt;"ON",Universe!$B$1321=""),"",Universe!$B$1321)</f>
        <v/>
      </c>
      <c r="CWO1" s="11">
        <f>IF(OR(SwitchROE&lt;&gt;"ON",Universe!$B$1322=""),"",Universe!$B$1322)</f>
        <v/>
      </c>
      <c r="CWQ1" s="11">
        <f>IF(OR(SwitchROE&lt;&gt;"ON",Universe!$B$1323=""),"",Universe!$B$1323)</f>
        <v/>
      </c>
      <c r="CWS1" s="11">
        <f>IF(OR(SwitchROE&lt;&gt;"ON",Universe!$B$1324=""),"",Universe!$B$1324)</f>
        <v/>
      </c>
      <c r="CWU1" s="11">
        <f>IF(OR(SwitchROE&lt;&gt;"ON",Universe!$B$1325=""),"",Universe!$B$1325)</f>
        <v/>
      </c>
      <c r="CWW1" s="11">
        <f>IF(OR(SwitchROE&lt;&gt;"ON",Universe!$B$1326=""),"",Universe!$B$1326)</f>
        <v/>
      </c>
      <c r="CWY1" s="11">
        <f>IF(OR(SwitchROE&lt;&gt;"ON",Universe!$B$1327=""),"",Universe!$B$1327)</f>
        <v/>
      </c>
      <c r="CXA1" s="11">
        <f>IF(OR(SwitchROE&lt;&gt;"ON",Universe!$B$1328=""),"",Universe!$B$1328)</f>
        <v/>
      </c>
      <c r="CXC1" s="11">
        <f>IF(OR(SwitchROE&lt;&gt;"ON",Universe!$B$1329=""),"",Universe!$B$1329)</f>
        <v/>
      </c>
      <c r="CXE1" s="11">
        <f>IF(OR(SwitchROE&lt;&gt;"ON",Universe!$B$1330=""),"",Universe!$B$1330)</f>
        <v/>
      </c>
      <c r="CXG1" s="11">
        <f>IF(OR(SwitchROE&lt;&gt;"ON",Universe!$B$1331=""),"",Universe!$B$1331)</f>
        <v/>
      </c>
      <c r="CXI1" s="11">
        <f>IF(OR(SwitchROE&lt;&gt;"ON",Universe!$B$1332=""),"",Universe!$B$1332)</f>
        <v/>
      </c>
      <c r="CXK1" s="11">
        <f>IF(OR(SwitchROE&lt;&gt;"ON",Universe!$B$1333=""),"",Universe!$B$1333)</f>
        <v/>
      </c>
      <c r="CXM1" s="11">
        <f>IF(OR(SwitchROE&lt;&gt;"ON",Universe!$B$1334=""),"",Universe!$B$1334)</f>
        <v/>
      </c>
      <c r="CXO1" s="11">
        <f>IF(OR(SwitchROE&lt;&gt;"ON",Universe!$B$1335=""),"",Universe!$B$1335)</f>
        <v/>
      </c>
      <c r="CXQ1" s="11">
        <f>IF(OR(SwitchROE&lt;&gt;"ON",Universe!$B$1336=""),"",Universe!$B$1336)</f>
        <v/>
      </c>
      <c r="CXS1" s="11">
        <f>IF(OR(SwitchROE&lt;&gt;"ON",Universe!$B$1337=""),"",Universe!$B$1337)</f>
        <v/>
      </c>
      <c r="CXU1" s="11">
        <f>IF(OR(SwitchROE&lt;&gt;"ON",Universe!$B$1338=""),"",Universe!$B$1338)</f>
        <v/>
      </c>
      <c r="CXW1" s="11">
        <f>IF(OR(SwitchROE&lt;&gt;"ON",Universe!$B$1339=""),"",Universe!$B$1339)</f>
        <v/>
      </c>
      <c r="CXY1" s="11">
        <f>IF(OR(SwitchROE&lt;&gt;"ON",Universe!$B$1340=""),"",Universe!$B$1340)</f>
        <v/>
      </c>
      <c r="CYA1" s="11">
        <f>IF(OR(SwitchROE&lt;&gt;"ON",Universe!$B$1341=""),"",Universe!$B$1341)</f>
        <v/>
      </c>
      <c r="CYC1" s="11">
        <f>IF(OR(SwitchROE&lt;&gt;"ON",Universe!$B$1342=""),"",Universe!$B$1342)</f>
        <v/>
      </c>
      <c r="CYE1" s="11">
        <f>IF(OR(SwitchROE&lt;&gt;"ON",Universe!$B$1343=""),"",Universe!$B$1343)</f>
        <v/>
      </c>
      <c r="CYG1" s="11">
        <f>IF(OR(SwitchROE&lt;&gt;"ON",Universe!$B$1344=""),"",Universe!$B$1344)</f>
        <v/>
      </c>
      <c r="CYI1" s="11">
        <f>IF(OR(SwitchROE&lt;&gt;"ON",Universe!$B$1345=""),"",Universe!$B$1345)</f>
        <v/>
      </c>
      <c r="CYK1" s="11">
        <f>IF(OR(SwitchROE&lt;&gt;"ON",Universe!$B$1346=""),"",Universe!$B$1346)</f>
        <v/>
      </c>
      <c r="CYM1" s="11">
        <f>IF(OR(SwitchROE&lt;&gt;"ON",Universe!$B$1347=""),"",Universe!$B$1347)</f>
        <v/>
      </c>
      <c r="CYO1" s="11">
        <f>IF(OR(SwitchROE&lt;&gt;"ON",Universe!$B$1348=""),"",Universe!$B$1348)</f>
        <v/>
      </c>
      <c r="CYQ1" s="11">
        <f>IF(OR(SwitchROE&lt;&gt;"ON",Universe!$B$1349=""),"",Universe!$B$1349)</f>
        <v/>
      </c>
      <c r="CYS1" s="11">
        <f>IF(OR(SwitchROE&lt;&gt;"ON",Universe!$B$1350=""),"",Universe!$B$1350)</f>
        <v/>
      </c>
      <c r="CYU1" s="11">
        <f>IF(OR(SwitchROE&lt;&gt;"ON",Universe!$B$1351=""),"",Universe!$B$1351)</f>
        <v/>
      </c>
      <c r="CYW1" s="11">
        <f>IF(OR(SwitchROE&lt;&gt;"ON",Universe!$B$1352=""),"",Universe!$B$1352)</f>
        <v/>
      </c>
      <c r="CYY1" s="11">
        <f>IF(OR(SwitchROE&lt;&gt;"ON",Universe!$B$1353=""),"",Universe!$B$1353)</f>
        <v/>
      </c>
      <c r="CZA1" s="11">
        <f>IF(OR(SwitchROE&lt;&gt;"ON",Universe!$B$1354=""),"",Universe!$B$1354)</f>
        <v/>
      </c>
      <c r="CZC1" s="11">
        <f>IF(OR(SwitchROE&lt;&gt;"ON",Universe!$B$1355=""),"",Universe!$B$1355)</f>
        <v/>
      </c>
      <c r="CZE1" s="11">
        <f>IF(OR(SwitchROE&lt;&gt;"ON",Universe!$B$1356=""),"",Universe!$B$1356)</f>
        <v/>
      </c>
      <c r="CZG1" s="11">
        <f>IF(OR(SwitchROE&lt;&gt;"ON",Universe!$B$1357=""),"",Universe!$B$1357)</f>
        <v/>
      </c>
      <c r="CZI1" s="11">
        <f>IF(OR(SwitchROE&lt;&gt;"ON",Universe!$B$1358=""),"",Universe!$B$1358)</f>
        <v/>
      </c>
      <c r="CZK1" s="11">
        <f>IF(OR(SwitchROE&lt;&gt;"ON",Universe!$B$1359=""),"",Universe!$B$1359)</f>
        <v/>
      </c>
      <c r="CZM1" s="11">
        <f>IF(OR(SwitchROE&lt;&gt;"ON",Universe!$B$1360=""),"",Universe!$B$1360)</f>
        <v/>
      </c>
      <c r="CZO1" s="11">
        <f>IF(OR(SwitchROE&lt;&gt;"ON",Universe!$B$1361=""),"",Universe!$B$1361)</f>
        <v/>
      </c>
      <c r="CZQ1" s="11">
        <f>IF(OR(SwitchROE&lt;&gt;"ON",Universe!$B$1362=""),"",Universe!$B$1362)</f>
        <v/>
      </c>
      <c r="CZS1" s="11">
        <f>IF(OR(SwitchROE&lt;&gt;"ON",Universe!$B$1363=""),"",Universe!$B$1363)</f>
        <v/>
      </c>
      <c r="CZU1" s="11">
        <f>IF(OR(SwitchROE&lt;&gt;"ON",Universe!$B$1364=""),"",Universe!$B$1364)</f>
        <v/>
      </c>
      <c r="CZW1" s="11">
        <f>IF(OR(SwitchROE&lt;&gt;"ON",Universe!$B$1365=""),"",Universe!$B$1365)</f>
        <v/>
      </c>
      <c r="CZY1" s="11">
        <f>IF(OR(SwitchROE&lt;&gt;"ON",Universe!$B$1366=""),"",Universe!$B$1366)</f>
        <v/>
      </c>
      <c r="DAA1" s="11">
        <f>IF(OR(SwitchROE&lt;&gt;"ON",Universe!$B$1367=""),"",Universe!$B$1367)</f>
        <v/>
      </c>
      <c r="DAC1" s="11">
        <f>IF(OR(SwitchROE&lt;&gt;"ON",Universe!$B$1368=""),"",Universe!$B$1368)</f>
        <v/>
      </c>
      <c r="DAE1" s="11">
        <f>IF(OR(SwitchROE&lt;&gt;"ON",Universe!$B$1369=""),"",Universe!$B$1369)</f>
        <v/>
      </c>
      <c r="DAG1" s="11">
        <f>IF(OR(SwitchROE&lt;&gt;"ON",Universe!$B$1370=""),"",Universe!$B$1370)</f>
        <v/>
      </c>
      <c r="DAI1" s="11">
        <f>IF(OR(SwitchROE&lt;&gt;"ON",Universe!$B$1371=""),"",Universe!$B$1371)</f>
        <v/>
      </c>
      <c r="DAK1" s="11">
        <f>IF(OR(SwitchROE&lt;&gt;"ON",Universe!$B$1372=""),"",Universe!$B$1372)</f>
        <v/>
      </c>
      <c r="DAM1" s="11">
        <f>IF(OR(SwitchROE&lt;&gt;"ON",Universe!$B$1373=""),"",Universe!$B$1373)</f>
        <v/>
      </c>
      <c r="DAO1" s="11">
        <f>IF(OR(SwitchROE&lt;&gt;"ON",Universe!$B$1374=""),"",Universe!$B$1374)</f>
        <v/>
      </c>
      <c r="DAQ1" s="11">
        <f>IF(OR(SwitchROE&lt;&gt;"ON",Universe!$B$1375=""),"",Universe!$B$1375)</f>
        <v/>
      </c>
      <c r="DAS1" s="11">
        <f>IF(OR(SwitchROE&lt;&gt;"ON",Universe!$B$1376=""),"",Universe!$B$1376)</f>
        <v/>
      </c>
      <c r="DAU1" s="11">
        <f>IF(OR(SwitchROE&lt;&gt;"ON",Universe!$B$1377=""),"",Universe!$B$1377)</f>
        <v/>
      </c>
      <c r="DAW1" s="11">
        <f>IF(OR(SwitchROE&lt;&gt;"ON",Universe!$B$1378=""),"",Universe!$B$1378)</f>
        <v/>
      </c>
      <c r="DAY1" s="11">
        <f>IF(OR(SwitchROE&lt;&gt;"ON",Universe!$B$1379=""),"",Universe!$B$1379)</f>
        <v/>
      </c>
      <c r="DBA1" s="11">
        <f>IF(OR(SwitchROE&lt;&gt;"ON",Universe!$B$1380=""),"",Universe!$B$1380)</f>
        <v/>
      </c>
      <c r="DBC1" s="11">
        <f>IF(OR(SwitchROE&lt;&gt;"ON",Universe!$B$1381=""),"",Universe!$B$1381)</f>
        <v/>
      </c>
      <c r="DBE1" s="11">
        <f>IF(OR(SwitchROE&lt;&gt;"ON",Universe!$B$1382=""),"",Universe!$B$1382)</f>
        <v/>
      </c>
      <c r="DBG1" s="11">
        <f>IF(OR(SwitchROE&lt;&gt;"ON",Universe!$B$1383=""),"",Universe!$B$1383)</f>
        <v/>
      </c>
      <c r="DBI1" s="11">
        <f>IF(OR(SwitchROE&lt;&gt;"ON",Universe!$B$1384=""),"",Universe!$B$1384)</f>
        <v/>
      </c>
      <c r="DBK1" s="11">
        <f>IF(OR(SwitchROE&lt;&gt;"ON",Universe!$B$1385=""),"",Universe!$B$1385)</f>
        <v/>
      </c>
      <c r="DBM1" s="11">
        <f>IF(OR(SwitchROE&lt;&gt;"ON",Universe!$B$1386=""),"",Universe!$B$1386)</f>
        <v/>
      </c>
      <c r="DBO1" s="11">
        <f>IF(OR(SwitchROE&lt;&gt;"ON",Universe!$B$1387=""),"",Universe!$B$1387)</f>
        <v/>
      </c>
      <c r="DBQ1" s="11">
        <f>IF(OR(SwitchROE&lt;&gt;"ON",Universe!$B$1388=""),"",Universe!$B$1388)</f>
        <v/>
      </c>
      <c r="DBS1" s="11">
        <f>IF(OR(SwitchROE&lt;&gt;"ON",Universe!$B$1389=""),"",Universe!$B$1389)</f>
        <v/>
      </c>
      <c r="DBU1" s="11">
        <f>IF(OR(SwitchROE&lt;&gt;"ON",Universe!$B$1390=""),"",Universe!$B$1390)</f>
        <v/>
      </c>
      <c r="DBW1" s="11">
        <f>IF(OR(SwitchROE&lt;&gt;"ON",Universe!$B$1391=""),"",Universe!$B$1391)</f>
        <v/>
      </c>
      <c r="DBY1" s="11">
        <f>IF(OR(SwitchROE&lt;&gt;"ON",Universe!$B$1392=""),"",Universe!$B$1392)</f>
        <v/>
      </c>
      <c r="DCA1" s="11">
        <f>IF(OR(SwitchROE&lt;&gt;"ON",Universe!$B$1393=""),"",Universe!$B$1393)</f>
        <v/>
      </c>
      <c r="DCC1" s="11">
        <f>IF(OR(SwitchROE&lt;&gt;"ON",Universe!$B$1394=""),"",Universe!$B$1394)</f>
        <v/>
      </c>
      <c r="DCE1" s="11">
        <f>IF(OR(SwitchROE&lt;&gt;"ON",Universe!$B$1395=""),"",Universe!$B$1395)</f>
        <v/>
      </c>
      <c r="DCG1" s="11">
        <f>IF(OR(SwitchROE&lt;&gt;"ON",Universe!$B$1396=""),"",Universe!$B$1396)</f>
        <v/>
      </c>
      <c r="DCI1" s="11">
        <f>IF(OR(SwitchROE&lt;&gt;"ON",Universe!$B$1397=""),"",Universe!$B$1397)</f>
        <v/>
      </c>
      <c r="DCK1" s="11">
        <f>IF(OR(SwitchROE&lt;&gt;"ON",Universe!$B$1398=""),"",Universe!$B$1398)</f>
        <v/>
      </c>
      <c r="DCM1" s="11">
        <f>IF(OR(SwitchROE&lt;&gt;"ON",Universe!$B$1399=""),"",Universe!$B$1399)</f>
        <v/>
      </c>
      <c r="DCO1" s="11">
        <f>IF(OR(SwitchROE&lt;&gt;"ON",Universe!$B$1400=""),"",Universe!$B$1400)</f>
        <v/>
      </c>
      <c r="DCQ1" s="11">
        <f>IF(OR(SwitchROE&lt;&gt;"ON",Universe!$B$1401=""),"",Universe!$B$1401)</f>
        <v/>
      </c>
      <c r="DCS1" s="11">
        <f>IF(OR(SwitchROE&lt;&gt;"ON",Universe!$B$1402=""),"",Universe!$B$1402)</f>
        <v/>
      </c>
      <c r="DCU1" s="11">
        <f>IF(OR(SwitchROE&lt;&gt;"ON",Universe!$B$1403=""),"",Universe!$B$1403)</f>
        <v/>
      </c>
      <c r="DCW1" s="11">
        <f>IF(OR(SwitchROE&lt;&gt;"ON",Universe!$B$1404=""),"",Universe!$B$1404)</f>
        <v/>
      </c>
      <c r="DCY1" s="11">
        <f>IF(OR(SwitchROE&lt;&gt;"ON",Universe!$B$1405=""),"",Universe!$B$1405)</f>
        <v/>
      </c>
      <c r="DDA1" s="11">
        <f>IF(OR(SwitchROE&lt;&gt;"ON",Universe!$B$1406=""),"",Universe!$B$1406)</f>
        <v/>
      </c>
      <c r="DDC1" s="11">
        <f>IF(OR(SwitchROE&lt;&gt;"ON",Universe!$B$1407=""),"",Universe!$B$1407)</f>
        <v/>
      </c>
      <c r="DDE1" s="11">
        <f>IF(OR(SwitchROE&lt;&gt;"ON",Universe!$B$1408=""),"",Universe!$B$1408)</f>
        <v/>
      </c>
      <c r="DDG1" s="11">
        <f>IF(OR(SwitchROE&lt;&gt;"ON",Universe!$B$1409=""),"",Universe!$B$1409)</f>
        <v/>
      </c>
      <c r="DDI1" s="11">
        <f>IF(OR(SwitchROE&lt;&gt;"ON",Universe!$B$1410=""),"",Universe!$B$1410)</f>
        <v/>
      </c>
      <c r="DDK1" s="11">
        <f>IF(OR(SwitchROE&lt;&gt;"ON",Universe!$B$1411=""),"",Universe!$B$1411)</f>
        <v/>
      </c>
      <c r="DDM1" s="11">
        <f>IF(OR(SwitchROE&lt;&gt;"ON",Universe!$B$1412=""),"",Universe!$B$1412)</f>
        <v/>
      </c>
      <c r="DDO1" s="11">
        <f>IF(OR(SwitchROE&lt;&gt;"ON",Universe!$B$1413=""),"",Universe!$B$1413)</f>
        <v/>
      </c>
      <c r="DDQ1" s="11">
        <f>IF(OR(SwitchROE&lt;&gt;"ON",Universe!$B$1414=""),"",Universe!$B$1414)</f>
        <v/>
      </c>
      <c r="DDS1" s="11">
        <f>IF(OR(SwitchROE&lt;&gt;"ON",Universe!$B$1415=""),"",Universe!$B$1415)</f>
        <v/>
      </c>
      <c r="DDU1" s="11">
        <f>IF(OR(SwitchROE&lt;&gt;"ON",Universe!$B$1416=""),"",Universe!$B$1416)</f>
        <v/>
      </c>
      <c r="DDW1" s="11">
        <f>IF(OR(SwitchROE&lt;&gt;"ON",Universe!$B$1417=""),"",Universe!$B$1417)</f>
        <v/>
      </c>
      <c r="DDY1" s="11">
        <f>IF(OR(SwitchROE&lt;&gt;"ON",Universe!$B$1418=""),"",Universe!$B$1418)</f>
        <v/>
      </c>
      <c r="DEA1" s="11">
        <f>IF(OR(SwitchROE&lt;&gt;"ON",Universe!$B$1419=""),"",Universe!$B$1419)</f>
        <v/>
      </c>
      <c r="DEC1" s="11">
        <f>IF(OR(SwitchROE&lt;&gt;"ON",Universe!$B$1420=""),"",Universe!$B$1420)</f>
        <v/>
      </c>
      <c r="DEE1" s="11">
        <f>IF(OR(SwitchROE&lt;&gt;"ON",Universe!$B$1421=""),"",Universe!$B$1421)</f>
        <v/>
      </c>
      <c r="DEG1" s="11">
        <f>IF(OR(SwitchROE&lt;&gt;"ON",Universe!$B$1422=""),"",Universe!$B$1422)</f>
        <v/>
      </c>
      <c r="DEI1" s="11">
        <f>IF(OR(SwitchROE&lt;&gt;"ON",Universe!$B$1423=""),"",Universe!$B$1423)</f>
        <v/>
      </c>
      <c r="DEK1" s="11">
        <f>IF(OR(SwitchROE&lt;&gt;"ON",Universe!$B$1424=""),"",Universe!$B$1424)</f>
        <v/>
      </c>
      <c r="DEM1" s="11">
        <f>IF(OR(SwitchROE&lt;&gt;"ON",Universe!$B$1425=""),"",Universe!$B$1425)</f>
        <v/>
      </c>
      <c r="DEO1" s="11">
        <f>IF(OR(SwitchROE&lt;&gt;"ON",Universe!$B$1426=""),"",Universe!$B$1426)</f>
        <v/>
      </c>
      <c r="DEQ1" s="11">
        <f>IF(OR(SwitchROE&lt;&gt;"ON",Universe!$B$1427=""),"",Universe!$B$1427)</f>
        <v/>
      </c>
      <c r="DES1" s="11">
        <f>IF(OR(SwitchROE&lt;&gt;"ON",Universe!$B$1428=""),"",Universe!$B$1428)</f>
        <v/>
      </c>
      <c r="DEU1" s="11">
        <f>IF(OR(SwitchROE&lt;&gt;"ON",Universe!$B$1429=""),"",Universe!$B$1429)</f>
        <v/>
      </c>
      <c r="DEW1" s="11">
        <f>IF(OR(SwitchROE&lt;&gt;"ON",Universe!$B$1430=""),"",Universe!$B$1430)</f>
        <v/>
      </c>
      <c r="DEY1" s="11">
        <f>IF(OR(SwitchROE&lt;&gt;"ON",Universe!$B$1431=""),"",Universe!$B$1431)</f>
        <v/>
      </c>
      <c r="DFA1" s="11">
        <f>IF(OR(SwitchROE&lt;&gt;"ON",Universe!$B$1432=""),"",Universe!$B$1432)</f>
        <v/>
      </c>
      <c r="DFC1" s="11">
        <f>IF(OR(SwitchROE&lt;&gt;"ON",Universe!$B$1433=""),"",Universe!$B$1433)</f>
        <v/>
      </c>
      <c r="DFE1" s="11">
        <f>IF(OR(SwitchROE&lt;&gt;"ON",Universe!$B$1434=""),"",Universe!$B$1434)</f>
        <v/>
      </c>
      <c r="DFG1" s="11">
        <f>IF(OR(SwitchROE&lt;&gt;"ON",Universe!$B$1435=""),"",Universe!$B$1435)</f>
        <v/>
      </c>
      <c r="DFI1" s="11">
        <f>IF(OR(SwitchROE&lt;&gt;"ON",Universe!$B$1436=""),"",Universe!$B$1436)</f>
        <v/>
      </c>
      <c r="DFK1" s="11">
        <f>IF(OR(SwitchROE&lt;&gt;"ON",Universe!$B$1437=""),"",Universe!$B$1437)</f>
        <v/>
      </c>
      <c r="DFM1" s="11">
        <f>IF(OR(SwitchROE&lt;&gt;"ON",Universe!$B$1438=""),"",Universe!$B$1438)</f>
        <v/>
      </c>
      <c r="DFO1" s="11">
        <f>IF(OR(SwitchROE&lt;&gt;"ON",Universe!$B$1439=""),"",Universe!$B$1439)</f>
        <v/>
      </c>
      <c r="DFQ1" s="11">
        <f>IF(OR(SwitchROE&lt;&gt;"ON",Universe!$B$1440=""),"",Universe!$B$1440)</f>
        <v/>
      </c>
      <c r="DFS1" s="11">
        <f>IF(OR(SwitchROE&lt;&gt;"ON",Universe!$B$1441=""),"",Universe!$B$1441)</f>
        <v/>
      </c>
      <c r="DFU1" s="11">
        <f>IF(OR(SwitchROE&lt;&gt;"ON",Universe!$B$1442=""),"",Universe!$B$1442)</f>
        <v/>
      </c>
      <c r="DFW1" s="11">
        <f>IF(OR(SwitchROE&lt;&gt;"ON",Universe!$B$1443=""),"",Universe!$B$1443)</f>
        <v/>
      </c>
      <c r="DFY1" s="11">
        <f>IF(OR(SwitchROE&lt;&gt;"ON",Universe!$B$1444=""),"",Universe!$B$1444)</f>
        <v/>
      </c>
      <c r="DGA1" s="11">
        <f>IF(OR(SwitchROE&lt;&gt;"ON",Universe!$B$1445=""),"",Universe!$B$1445)</f>
        <v/>
      </c>
      <c r="DGC1" s="11">
        <f>IF(OR(SwitchROE&lt;&gt;"ON",Universe!$B$1446=""),"",Universe!$B$1446)</f>
        <v/>
      </c>
      <c r="DGE1" s="11">
        <f>IF(OR(SwitchROE&lt;&gt;"ON",Universe!$B$1447=""),"",Universe!$B$1447)</f>
        <v/>
      </c>
      <c r="DGG1" s="11">
        <f>IF(OR(SwitchROE&lt;&gt;"ON",Universe!$B$1448=""),"",Universe!$B$1448)</f>
        <v/>
      </c>
      <c r="DGI1" s="11">
        <f>IF(OR(SwitchROE&lt;&gt;"ON",Universe!$B$1449=""),"",Universe!$B$1449)</f>
        <v/>
      </c>
      <c r="DGK1" s="11">
        <f>IF(OR(SwitchROE&lt;&gt;"ON",Universe!$B$1450=""),"",Universe!$B$1450)</f>
        <v/>
      </c>
      <c r="DGM1" s="11">
        <f>IF(OR(SwitchROE&lt;&gt;"ON",Universe!$B$1451=""),"",Universe!$B$1451)</f>
        <v/>
      </c>
      <c r="DGO1" s="11">
        <f>IF(OR(SwitchROE&lt;&gt;"ON",Universe!$B$1452=""),"",Universe!$B$1452)</f>
        <v/>
      </c>
      <c r="DGQ1" s="11">
        <f>IF(OR(SwitchROE&lt;&gt;"ON",Universe!$B$1453=""),"",Universe!$B$1453)</f>
        <v/>
      </c>
      <c r="DGS1" s="11">
        <f>IF(OR(SwitchROE&lt;&gt;"ON",Universe!$B$1454=""),"",Universe!$B$1454)</f>
        <v/>
      </c>
      <c r="DGU1" s="11">
        <f>IF(OR(SwitchROE&lt;&gt;"ON",Universe!$B$1455=""),"",Universe!$B$1455)</f>
        <v/>
      </c>
      <c r="DGW1" s="11">
        <f>IF(OR(SwitchROE&lt;&gt;"ON",Universe!$B$1456=""),"",Universe!$B$1456)</f>
        <v/>
      </c>
      <c r="DGY1" s="11">
        <f>IF(OR(SwitchROE&lt;&gt;"ON",Universe!$B$1457=""),"",Universe!$B$1457)</f>
        <v/>
      </c>
      <c r="DHA1" s="11">
        <f>IF(OR(SwitchROE&lt;&gt;"ON",Universe!$B$1458=""),"",Universe!$B$1458)</f>
        <v/>
      </c>
      <c r="DHC1" s="11">
        <f>IF(OR(SwitchROE&lt;&gt;"ON",Universe!$B$1459=""),"",Universe!$B$1459)</f>
        <v/>
      </c>
      <c r="DHE1" s="11">
        <f>IF(OR(SwitchROE&lt;&gt;"ON",Universe!$B$1460=""),"",Universe!$B$1460)</f>
        <v/>
      </c>
      <c r="DHG1" s="11">
        <f>IF(OR(SwitchROE&lt;&gt;"ON",Universe!$B$1461=""),"",Universe!$B$1461)</f>
        <v/>
      </c>
      <c r="DHI1" s="11">
        <f>IF(OR(SwitchROE&lt;&gt;"ON",Universe!$B$1462=""),"",Universe!$B$1462)</f>
        <v/>
      </c>
      <c r="DHK1" s="11">
        <f>IF(OR(SwitchROE&lt;&gt;"ON",Universe!$B$1463=""),"",Universe!$B$1463)</f>
        <v/>
      </c>
      <c r="DHM1" s="11">
        <f>IF(OR(SwitchROE&lt;&gt;"ON",Universe!$B$1464=""),"",Universe!$B$1464)</f>
        <v/>
      </c>
      <c r="DHO1" s="11">
        <f>IF(OR(SwitchROE&lt;&gt;"ON",Universe!$B$1465=""),"",Universe!$B$1465)</f>
        <v/>
      </c>
      <c r="DHQ1" s="11">
        <f>IF(OR(SwitchROE&lt;&gt;"ON",Universe!$B$1466=""),"",Universe!$B$1466)</f>
        <v/>
      </c>
      <c r="DHS1" s="11">
        <f>IF(OR(SwitchROE&lt;&gt;"ON",Universe!$B$1467=""),"",Universe!$B$1467)</f>
        <v/>
      </c>
      <c r="DHU1" s="11">
        <f>IF(OR(SwitchROE&lt;&gt;"ON",Universe!$B$1468=""),"",Universe!$B$1468)</f>
        <v/>
      </c>
      <c r="DHW1" s="11">
        <f>IF(OR(SwitchROE&lt;&gt;"ON",Universe!$B$1469=""),"",Universe!$B$1469)</f>
        <v/>
      </c>
      <c r="DHY1" s="11">
        <f>IF(OR(SwitchROE&lt;&gt;"ON",Universe!$B$1470=""),"",Universe!$B$1470)</f>
        <v/>
      </c>
      <c r="DIA1" s="11">
        <f>IF(OR(SwitchROE&lt;&gt;"ON",Universe!$B$1471=""),"",Universe!$B$1471)</f>
        <v/>
      </c>
      <c r="DIC1" s="11">
        <f>IF(OR(SwitchROE&lt;&gt;"ON",Universe!$B$1472=""),"",Universe!$B$1472)</f>
        <v/>
      </c>
      <c r="DIE1" s="11">
        <f>IF(OR(SwitchROE&lt;&gt;"ON",Universe!$B$1473=""),"",Universe!$B$1473)</f>
        <v/>
      </c>
      <c r="DIG1" s="11">
        <f>IF(OR(SwitchROE&lt;&gt;"ON",Universe!$B$1474=""),"",Universe!$B$1474)</f>
        <v/>
      </c>
      <c r="DII1" s="11">
        <f>IF(OR(SwitchROE&lt;&gt;"ON",Universe!$B$1475=""),"",Universe!$B$1475)</f>
        <v/>
      </c>
      <c r="DIK1" s="11">
        <f>IF(OR(SwitchROE&lt;&gt;"ON",Universe!$B$1476=""),"",Universe!$B$1476)</f>
        <v/>
      </c>
      <c r="DIM1" s="11">
        <f>IF(OR(SwitchROE&lt;&gt;"ON",Universe!$B$1477=""),"",Universe!$B$1477)</f>
        <v/>
      </c>
      <c r="DIO1" s="11">
        <f>IF(OR(SwitchROE&lt;&gt;"ON",Universe!$B$1478=""),"",Universe!$B$1478)</f>
        <v/>
      </c>
      <c r="DIQ1" s="11">
        <f>IF(OR(SwitchROE&lt;&gt;"ON",Universe!$B$1479=""),"",Universe!$B$1479)</f>
        <v/>
      </c>
      <c r="DIS1" s="11">
        <f>IF(OR(SwitchROE&lt;&gt;"ON",Universe!$B$1480=""),"",Universe!$B$1480)</f>
        <v/>
      </c>
      <c r="DIU1" s="11">
        <f>IF(OR(SwitchROE&lt;&gt;"ON",Universe!$B$1481=""),"",Universe!$B$1481)</f>
        <v/>
      </c>
      <c r="DIW1" s="11">
        <f>IF(OR(SwitchROE&lt;&gt;"ON",Universe!$B$1482=""),"",Universe!$B$1482)</f>
        <v/>
      </c>
      <c r="DIY1" s="11">
        <f>IF(OR(SwitchROE&lt;&gt;"ON",Universe!$B$1483=""),"",Universe!$B$1483)</f>
        <v/>
      </c>
      <c r="DJA1" s="11">
        <f>IF(OR(SwitchROE&lt;&gt;"ON",Universe!$B$1484=""),"",Universe!$B$1484)</f>
        <v/>
      </c>
      <c r="DJC1" s="11">
        <f>IF(OR(SwitchROE&lt;&gt;"ON",Universe!$B$1485=""),"",Universe!$B$1485)</f>
        <v/>
      </c>
      <c r="DJE1" s="11">
        <f>IF(OR(SwitchROE&lt;&gt;"ON",Universe!$B$1486=""),"",Universe!$B$1486)</f>
        <v/>
      </c>
      <c r="DJG1" s="11">
        <f>IF(OR(SwitchROE&lt;&gt;"ON",Universe!$B$1487=""),"",Universe!$B$1487)</f>
        <v/>
      </c>
      <c r="DJI1" s="11">
        <f>IF(OR(SwitchROE&lt;&gt;"ON",Universe!$B$1488=""),"",Universe!$B$1488)</f>
        <v/>
      </c>
      <c r="DJK1" s="11">
        <f>IF(OR(SwitchROE&lt;&gt;"ON",Universe!$B$1489=""),"",Universe!$B$1489)</f>
        <v/>
      </c>
      <c r="DJM1" s="11">
        <f>IF(OR(SwitchROE&lt;&gt;"ON",Universe!$B$1490=""),"",Universe!$B$1490)</f>
        <v/>
      </c>
      <c r="DJO1" s="11">
        <f>IF(OR(SwitchROE&lt;&gt;"ON",Universe!$B$1491=""),"",Universe!$B$1491)</f>
        <v/>
      </c>
      <c r="DJQ1" s="11">
        <f>IF(OR(SwitchROE&lt;&gt;"ON",Universe!$B$1492=""),"",Universe!$B$1492)</f>
        <v/>
      </c>
      <c r="DJS1" s="11">
        <f>IF(OR(SwitchROE&lt;&gt;"ON",Universe!$B$1493=""),"",Universe!$B$1493)</f>
        <v/>
      </c>
      <c r="DJU1" s="11">
        <f>IF(OR(SwitchROE&lt;&gt;"ON",Universe!$B$1494=""),"",Universe!$B$1494)</f>
        <v/>
      </c>
      <c r="DJW1" s="11">
        <f>IF(OR(SwitchROE&lt;&gt;"ON",Universe!$B$1495=""),"",Universe!$B$1495)</f>
        <v/>
      </c>
      <c r="DJY1" s="11">
        <f>IF(OR(SwitchROE&lt;&gt;"ON",Universe!$B$1496=""),"",Universe!$B$1496)</f>
        <v/>
      </c>
      <c r="DKA1" s="11">
        <f>IF(OR(SwitchROE&lt;&gt;"ON",Universe!$B$1497=""),"",Universe!$B$1497)</f>
        <v/>
      </c>
      <c r="DKC1" s="11">
        <f>IF(OR(SwitchROE&lt;&gt;"ON",Universe!$B$1498=""),"",Universe!$B$1498)</f>
        <v/>
      </c>
      <c r="DKE1" s="11">
        <f>IF(OR(SwitchROE&lt;&gt;"ON",Universe!$B$1499=""),"",Universe!$B$1499)</f>
        <v/>
      </c>
      <c r="DKG1" s="11">
        <f>IF(OR(SwitchROE&lt;&gt;"ON",Universe!$B$1500=""),"",Universe!$B$1500)</f>
        <v/>
      </c>
      <c r="DKI1" s="11">
        <f>IF(OR(SwitchROE&lt;&gt;"ON",Universe!$B$1501=""),"",Universe!$B$1501)</f>
        <v/>
      </c>
      <c r="DKK1" s="11">
        <f>IF(OR(SwitchROE&lt;&gt;"ON",Universe!$B$1502=""),"",Universe!$B$1502)</f>
        <v/>
      </c>
      <c r="DKM1" s="11">
        <f>IF(OR(SwitchROE&lt;&gt;"ON",Universe!$B$1503=""),"",Universe!$B$1503)</f>
        <v/>
      </c>
      <c r="DKO1" s="11">
        <f>IF(OR(SwitchROE&lt;&gt;"ON",Universe!$B$1504=""),"",Universe!$B$1504)</f>
        <v/>
      </c>
      <c r="DKQ1" s="11">
        <f>IF(OR(SwitchROE&lt;&gt;"ON",Universe!$B$1505=""),"",Universe!$B$1505)</f>
        <v/>
      </c>
      <c r="DKS1" s="11">
        <f>IF(OR(SwitchROE&lt;&gt;"ON",Universe!$B$1506=""),"",Universe!$B$1506)</f>
        <v/>
      </c>
      <c r="DKU1" s="11">
        <f>IF(OR(SwitchROE&lt;&gt;"ON",Universe!$B$1507=""),"",Universe!$B$1507)</f>
        <v/>
      </c>
      <c r="DKW1" s="11">
        <f>IF(OR(SwitchROE&lt;&gt;"ON",Universe!$B$1508=""),"",Universe!$B$1508)</f>
        <v/>
      </c>
      <c r="DKY1" s="11">
        <f>IF(OR(SwitchROE&lt;&gt;"ON",Universe!$B$1509=""),"",Universe!$B$1509)</f>
        <v/>
      </c>
      <c r="DLA1" s="11">
        <f>IF(OR(SwitchROE&lt;&gt;"ON",Universe!$B$1510=""),"",Universe!$B$1510)</f>
        <v/>
      </c>
      <c r="DLC1" s="11">
        <f>IF(OR(SwitchROE&lt;&gt;"ON",Universe!$B$1511=""),"",Universe!$B$1511)</f>
        <v/>
      </c>
      <c r="DLE1" s="11">
        <f>IF(OR(SwitchROE&lt;&gt;"ON",Universe!$B$1512=""),"",Universe!$B$1512)</f>
        <v/>
      </c>
      <c r="DLG1" s="11">
        <f>IF(OR(SwitchROE&lt;&gt;"ON",Universe!$B$1513=""),"",Universe!$B$1513)</f>
        <v/>
      </c>
      <c r="DLI1" s="11">
        <f>IF(OR(SwitchROE&lt;&gt;"ON",Universe!$B$1514=""),"",Universe!$B$1514)</f>
        <v/>
      </c>
      <c r="DLK1" s="11">
        <f>IF(OR(SwitchROE&lt;&gt;"ON",Universe!$B$1515=""),"",Universe!$B$1515)</f>
        <v/>
      </c>
      <c r="DLM1" s="11">
        <f>IF(OR(SwitchROE&lt;&gt;"ON",Universe!$B$1516=""),"",Universe!$B$1516)</f>
        <v/>
      </c>
      <c r="DLO1" s="11">
        <f>IF(OR(SwitchROE&lt;&gt;"ON",Universe!$B$1517=""),"",Universe!$B$1517)</f>
        <v/>
      </c>
      <c r="DLQ1" s="11">
        <f>IF(OR(SwitchROE&lt;&gt;"ON",Universe!$B$1518=""),"",Universe!$B$1518)</f>
        <v/>
      </c>
      <c r="DLS1" s="11">
        <f>IF(OR(SwitchROE&lt;&gt;"ON",Universe!$B$1519=""),"",Universe!$B$1519)</f>
        <v/>
      </c>
      <c r="DLU1" s="11">
        <f>IF(OR(SwitchROE&lt;&gt;"ON",Universe!$B$1520=""),"",Universe!$B$1520)</f>
        <v/>
      </c>
      <c r="DLW1" s="11">
        <f>IF(OR(SwitchROE&lt;&gt;"ON",Universe!$B$1521=""),"",Universe!$B$1521)</f>
        <v/>
      </c>
      <c r="DLY1" s="11">
        <f>IF(OR(SwitchROE&lt;&gt;"ON",Universe!$B$1522=""),"",Universe!$B$1522)</f>
        <v/>
      </c>
      <c r="DMA1" s="11">
        <f>IF(OR(SwitchROE&lt;&gt;"ON",Universe!$B$1523=""),"",Universe!$B$1523)</f>
        <v/>
      </c>
      <c r="DMC1" s="11">
        <f>IF(OR(SwitchROE&lt;&gt;"ON",Universe!$B$1524=""),"",Universe!$B$1524)</f>
        <v/>
      </c>
      <c r="DME1" s="11">
        <f>IF(OR(SwitchROE&lt;&gt;"ON",Universe!$B$1525=""),"",Universe!$B$1525)</f>
        <v/>
      </c>
      <c r="DMG1" s="11">
        <f>IF(OR(SwitchROE&lt;&gt;"ON",Universe!$B$1526=""),"",Universe!$B$1526)</f>
        <v/>
      </c>
      <c r="DMI1" s="11">
        <f>IF(OR(SwitchROE&lt;&gt;"ON",Universe!$B$1527=""),"",Universe!$B$1527)</f>
        <v/>
      </c>
      <c r="DMK1" s="11">
        <f>IF(OR(SwitchROE&lt;&gt;"ON",Universe!$B$1528=""),"",Universe!$B$1528)</f>
        <v/>
      </c>
      <c r="DMM1" s="11">
        <f>IF(OR(SwitchROE&lt;&gt;"ON",Universe!$B$1529=""),"",Universe!$B$1529)</f>
        <v/>
      </c>
      <c r="DMO1" s="11">
        <f>IF(OR(SwitchROE&lt;&gt;"ON",Universe!$B$1530=""),"",Universe!$B$1530)</f>
        <v/>
      </c>
      <c r="DMQ1" s="11">
        <f>IF(OR(SwitchROE&lt;&gt;"ON",Universe!$B$1531=""),"",Universe!$B$1531)</f>
        <v/>
      </c>
      <c r="DMS1" s="11">
        <f>IF(OR(SwitchROE&lt;&gt;"ON",Universe!$B$1532=""),"",Universe!$B$1532)</f>
        <v/>
      </c>
      <c r="DMU1" s="11">
        <f>IF(OR(SwitchROE&lt;&gt;"ON",Universe!$B$1533=""),"",Universe!$B$1533)</f>
        <v/>
      </c>
      <c r="DMW1" s="11">
        <f>IF(OR(SwitchROE&lt;&gt;"ON",Universe!$B$1534=""),"",Universe!$B$1534)</f>
        <v/>
      </c>
      <c r="DMY1" s="11">
        <f>IF(OR(SwitchROE&lt;&gt;"ON",Universe!$B$1535=""),"",Universe!$B$1535)</f>
        <v/>
      </c>
      <c r="DNA1" s="11">
        <f>IF(OR(SwitchROE&lt;&gt;"ON",Universe!$B$1536=""),"",Universe!$B$1536)</f>
        <v/>
      </c>
      <c r="DNC1" s="11">
        <f>IF(OR(SwitchROE&lt;&gt;"ON",Universe!$B$1537=""),"",Universe!$B$1537)</f>
        <v/>
      </c>
      <c r="DNE1" s="11">
        <f>IF(OR(SwitchROE&lt;&gt;"ON",Universe!$B$1538=""),"",Universe!$B$1538)</f>
        <v/>
      </c>
      <c r="DNG1" s="11">
        <f>IF(OR(SwitchROE&lt;&gt;"ON",Universe!$B$1539=""),"",Universe!$B$1539)</f>
        <v/>
      </c>
      <c r="DNI1" s="11">
        <f>IF(OR(SwitchROE&lt;&gt;"ON",Universe!$B$1540=""),"",Universe!$B$1540)</f>
        <v/>
      </c>
      <c r="DNK1" s="11">
        <f>IF(OR(SwitchROE&lt;&gt;"ON",Universe!$B$1541=""),"",Universe!$B$1541)</f>
        <v/>
      </c>
      <c r="DNM1" s="11">
        <f>IF(OR(SwitchROE&lt;&gt;"ON",Universe!$B$1542=""),"",Universe!$B$1542)</f>
        <v/>
      </c>
      <c r="DNO1" s="11">
        <f>IF(OR(SwitchROE&lt;&gt;"ON",Universe!$B$1543=""),"",Universe!$B$1543)</f>
        <v/>
      </c>
      <c r="DNQ1" s="11">
        <f>IF(OR(SwitchROE&lt;&gt;"ON",Universe!$B$1544=""),"",Universe!$B$1544)</f>
        <v/>
      </c>
      <c r="DNS1" s="11">
        <f>IF(OR(SwitchROE&lt;&gt;"ON",Universe!$B$1545=""),"",Universe!$B$1545)</f>
        <v/>
      </c>
      <c r="DNU1" s="11">
        <f>IF(OR(SwitchROE&lt;&gt;"ON",Universe!$B$1546=""),"",Universe!$B$1546)</f>
        <v/>
      </c>
      <c r="DNW1" s="11">
        <f>IF(OR(SwitchROE&lt;&gt;"ON",Universe!$B$1547=""),"",Universe!$B$1547)</f>
        <v/>
      </c>
      <c r="DNY1" s="11">
        <f>IF(OR(SwitchROE&lt;&gt;"ON",Universe!$B$1548=""),"",Universe!$B$1548)</f>
        <v/>
      </c>
      <c r="DOA1" s="11">
        <f>IF(OR(SwitchROE&lt;&gt;"ON",Universe!$B$1549=""),"",Universe!$B$1549)</f>
        <v/>
      </c>
      <c r="DOC1" s="11">
        <f>IF(OR(SwitchROE&lt;&gt;"ON",Universe!$B$1550=""),"",Universe!$B$1550)</f>
        <v/>
      </c>
      <c r="DOE1" s="11">
        <f>IF(OR(SwitchROE&lt;&gt;"ON",Universe!$B$1551=""),"",Universe!$B$1551)</f>
        <v/>
      </c>
      <c r="DOG1" s="11">
        <f>IF(OR(SwitchROE&lt;&gt;"ON",Universe!$B$1552=""),"",Universe!$B$1552)</f>
        <v/>
      </c>
      <c r="DOI1" s="11">
        <f>IF(OR(SwitchROE&lt;&gt;"ON",Universe!$B$1553=""),"",Universe!$B$1553)</f>
        <v/>
      </c>
      <c r="DOK1" s="11">
        <f>IF(OR(SwitchROE&lt;&gt;"ON",Universe!$B$1554=""),"",Universe!$B$1554)</f>
        <v/>
      </c>
      <c r="DOM1" s="11">
        <f>IF(OR(SwitchROE&lt;&gt;"ON",Universe!$B$1555=""),"",Universe!$B$1555)</f>
        <v/>
      </c>
      <c r="DOO1" s="11">
        <f>IF(OR(SwitchROE&lt;&gt;"ON",Universe!$B$1556=""),"",Universe!$B$1556)</f>
        <v/>
      </c>
      <c r="DOQ1" s="11">
        <f>IF(OR(SwitchROE&lt;&gt;"ON",Universe!$B$1557=""),"",Universe!$B$1557)</f>
        <v/>
      </c>
      <c r="DOS1" s="11">
        <f>IF(OR(SwitchROE&lt;&gt;"ON",Universe!$B$1558=""),"",Universe!$B$1558)</f>
        <v/>
      </c>
      <c r="DOU1" s="11">
        <f>IF(OR(SwitchROE&lt;&gt;"ON",Universe!$B$1559=""),"",Universe!$B$1559)</f>
        <v/>
      </c>
      <c r="DOW1" s="11">
        <f>IF(OR(SwitchROE&lt;&gt;"ON",Universe!$B$1560=""),"",Universe!$B$1560)</f>
        <v/>
      </c>
      <c r="DOY1" s="11">
        <f>IF(OR(SwitchROE&lt;&gt;"ON",Universe!$B$1561=""),"",Universe!$B$1561)</f>
        <v/>
      </c>
      <c r="DPA1" s="11">
        <f>IF(OR(SwitchROE&lt;&gt;"ON",Universe!$B$1562=""),"",Universe!$B$1562)</f>
        <v/>
      </c>
      <c r="DPC1" s="11">
        <f>IF(OR(SwitchROE&lt;&gt;"ON",Universe!$B$1563=""),"",Universe!$B$1563)</f>
        <v/>
      </c>
      <c r="DPE1" s="11">
        <f>IF(OR(SwitchROE&lt;&gt;"ON",Universe!$B$1564=""),"",Universe!$B$1564)</f>
        <v/>
      </c>
      <c r="DPG1" s="11">
        <f>IF(OR(SwitchROE&lt;&gt;"ON",Universe!$B$1565=""),"",Universe!$B$1565)</f>
        <v/>
      </c>
      <c r="DPI1" s="11">
        <f>IF(OR(SwitchROE&lt;&gt;"ON",Universe!$B$1566=""),"",Universe!$B$1566)</f>
        <v/>
      </c>
      <c r="DPK1" s="11">
        <f>IF(OR(SwitchROE&lt;&gt;"ON",Universe!$B$1567=""),"",Universe!$B$1567)</f>
        <v/>
      </c>
      <c r="DPM1" s="11">
        <f>IF(OR(SwitchROE&lt;&gt;"ON",Universe!$B$1568=""),"",Universe!$B$1568)</f>
        <v/>
      </c>
      <c r="DPO1" s="11">
        <f>IF(OR(SwitchROE&lt;&gt;"ON",Universe!$B$1569=""),"",Universe!$B$1569)</f>
        <v/>
      </c>
      <c r="DPQ1" s="11">
        <f>IF(OR(SwitchROE&lt;&gt;"ON",Universe!$B$1570=""),"",Universe!$B$1570)</f>
        <v/>
      </c>
      <c r="DPS1" s="11">
        <f>IF(OR(SwitchROE&lt;&gt;"ON",Universe!$B$1571=""),"",Universe!$B$1571)</f>
        <v/>
      </c>
      <c r="DPU1" s="11">
        <f>IF(OR(SwitchROE&lt;&gt;"ON",Universe!$B$1572=""),"",Universe!$B$1572)</f>
        <v/>
      </c>
      <c r="DPW1" s="11">
        <f>IF(OR(SwitchROE&lt;&gt;"ON",Universe!$B$1573=""),"",Universe!$B$1573)</f>
        <v/>
      </c>
      <c r="DPY1" s="11">
        <f>IF(OR(SwitchROE&lt;&gt;"ON",Universe!$B$1574=""),"",Universe!$B$1574)</f>
        <v/>
      </c>
      <c r="DQA1" s="11">
        <f>IF(OR(SwitchROE&lt;&gt;"ON",Universe!$B$1575=""),"",Universe!$B$1575)</f>
        <v/>
      </c>
      <c r="DQC1" s="11">
        <f>IF(OR(SwitchROE&lt;&gt;"ON",Universe!$B$1576=""),"",Universe!$B$1576)</f>
        <v/>
      </c>
      <c r="DQE1" s="11">
        <f>IF(OR(SwitchROE&lt;&gt;"ON",Universe!$B$1577=""),"",Universe!$B$1577)</f>
        <v/>
      </c>
      <c r="DQG1" s="11">
        <f>IF(OR(SwitchROE&lt;&gt;"ON",Universe!$B$1578=""),"",Universe!$B$1578)</f>
        <v/>
      </c>
      <c r="DQI1" s="11">
        <f>IF(OR(SwitchROE&lt;&gt;"ON",Universe!$B$1579=""),"",Universe!$B$1579)</f>
        <v/>
      </c>
      <c r="DQK1" s="11">
        <f>IF(OR(SwitchROE&lt;&gt;"ON",Universe!$B$1580=""),"",Universe!$B$1580)</f>
        <v/>
      </c>
      <c r="DQM1" s="11">
        <f>IF(OR(SwitchROE&lt;&gt;"ON",Universe!$B$1581=""),"",Universe!$B$1581)</f>
        <v/>
      </c>
      <c r="DQO1" s="11">
        <f>IF(OR(SwitchROE&lt;&gt;"ON",Universe!$B$1582=""),"",Universe!$B$1582)</f>
        <v/>
      </c>
      <c r="DQQ1" s="11">
        <f>IF(OR(SwitchROE&lt;&gt;"ON",Universe!$B$1583=""),"",Universe!$B$1583)</f>
        <v/>
      </c>
      <c r="DQS1" s="11">
        <f>IF(OR(SwitchROE&lt;&gt;"ON",Universe!$B$1584=""),"",Universe!$B$1584)</f>
        <v/>
      </c>
      <c r="DQU1" s="11">
        <f>IF(OR(SwitchROE&lt;&gt;"ON",Universe!$B$1585=""),"",Universe!$B$1585)</f>
        <v/>
      </c>
      <c r="DQW1" s="11">
        <f>IF(OR(SwitchROE&lt;&gt;"ON",Universe!$B$1586=""),"",Universe!$B$1586)</f>
        <v/>
      </c>
      <c r="DQY1" s="11">
        <f>IF(OR(SwitchROE&lt;&gt;"ON",Universe!$B$1587=""),"",Universe!$B$1587)</f>
        <v/>
      </c>
      <c r="DRA1" s="11">
        <f>IF(OR(SwitchROE&lt;&gt;"ON",Universe!$B$1588=""),"",Universe!$B$1588)</f>
        <v/>
      </c>
      <c r="DRC1" s="11">
        <f>IF(OR(SwitchROE&lt;&gt;"ON",Universe!$B$1589=""),"",Universe!$B$1589)</f>
        <v/>
      </c>
      <c r="DRE1" s="11">
        <f>IF(OR(SwitchROE&lt;&gt;"ON",Universe!$B$1590=""),"",Universe!$B$1590)</f>
        <v/>
      </c>
      <c r="DRG1" s="11">
        <f>IF(OR(SwitchROE&lt;&gt;"ON",Universe!$B$1591=""),"",Universe!$B$1591)</f>
        <v/>
      </c>
      <c r="DRI1" s="11">
        <f>IF(OR(SwitchROE&lt;&gt;"ON",Universe!$B$1592=""),"",Universe!$B$1592)</f>
        <v/>
      </c>
      <c r="DRK1" s="11">
        <f>IF(OR(SwitchROE&lt;&gt;"ON",Universe!$B$1593=""),"",Universe!$B$1593)</f>
        <v/>
      </c>
      <c r="DRM1" s="11">
        <f>IF(OR(SwitchROE&lt;&gt;"ON",Universe!$B$1594=""),"",Universe!$B$1594)</f>
        <v/>
      </c>
      <c r="DRO1" s="11">
        <f>IF(OR(SwitchROE&lt;&gt;"ON",Universe!$B$1595=""),"",Universe!$B$1595)</f>
        <v/>
      </c>
      <c r="DRQ1" s="11">
        <f>IF(OR(SwitchROE&lt;&gt;"ON",Universe!$B$1596=""),"",Universe!$B$1596)</f>
        <v/>
      </c>
      <c r="DRS1" s="11">
        <f>IF(OR(SwitchROE&lt;&gt;"ON",Universe!$B$1597=""),"",Universe!$B$1597)</f>
        <v/>
      </c>
      <c r="DRU1" s="11">
        <f>IF(OR(SwitchROE&lt;&gt;"ON",Universe!$B$1598=""),"",Universe!$B$1598)</f>
        <v/>
      </c>
      <c r="DRW1" s="11">
        <f>IF(OR(SwitchROE&lt;&gt;"ON",Universe!$B$1599=""),"",Universe!$B$1599)</f>
        <v/>
      </c>
      <c r="DRY1" s="11">
        <f>IF(OR(SwitchROE&lt;&gt;"ON",Universe!$B$1600=""),"",Universe!$B$1600)</f>
        <v/>
      </c>
      <c r="DSA1" s="11">
        <f>IF(OR(SwitchROE&lt;&gt;"ON",Universe!$B$1601=""),"",Universe!$B$1601)</f>
        <v/>
      </c>
      <c r="DSC1" s="11">
        <f>IF(OR(SwitchROE&lt;&gt;"ON",Universe!$B$1602=""),"",Universe!$B$1602)</f>
        <v/>
      </c>
      <c r="DSE1" s="11">
        <f>IF(OR(SwitchROE&lt;&gt;"ON",Universe!$B$1603=""),"",Universe!$B$1603)</f>
        <v/>
      </c>
      <c r="DSG1" s="11">
        <f>IF(OR(SwitchROE&lt;&gt;"ON",Universe!$B$1604=""),"",Universe!$B$1604)</f>
        <v/>
      </c>
      <c r="DSI1" s="11">
        <f>IF(OR(SwitchROE&lt;&gt;"ON",Universe!$B$1605=""),"",Universe!$B$1605)</f>
        <v/>
      </c>
      <c r="DSK1" s="11">
        <f>IF(OR(SwitchROE&lt;&gt;"ON",Universe!$B$1606=""),"",Universe!$B$1606)</f>
        <v/>
      </c>
      <c r="DSM1" s="11">
        <f>IF(OR(SwitchROE&lt;&gt;"ON",Universe!$B$1607=""),"",Universe!$B$1607)</f>
        <v/>
      </c>
      <c r="DSO1" s="11">
        <f>IF(OR(SwitchROE&lt;&gt;"ON",Universe!$B$1608=""),"",Universe!$B$1608)</f>
        <v/>
      </c>
      <c r="DSQ1" s="11">
        <f>IF(OR(SwitchROE&lt;&gt;"ON",Universe!$B$1609=""),"",Universe!$B$1609)</f>
        <v/>
      </c>
      <c r="DSS1" s="11">
        <f>IF(OR(SwitchROE&lt;&gt;"ON",Universe!$B$1610=""),"",Universe!$B$1610)</f>
        <v/>
      </c>
      <c r="DSU1" s="11">
        <f>IF(OR(SwitchROE&lt;&gt;"ON",Universe!$B$1611=""),"",Universe!$B$1611)</f>
        <v/>
      </c>
      <c r="DSW1" s="11">
        <f>IF(OR(SwitchROE&lt;&gt;"ON",Universe!$B$1612=""),"",Universe!$B$1612)</f>
        <v/>
      </c>
      <c r="DSY1" s="11">
        <f>IF(OR(SwitchROE&lt;&gt;"ON",Universe!$B$1613=""),"",Universe!$B$1613)</f>
        <v/>
      </c>
      <c r="DTA1" s="11">
        <f>IF(OR(SwitchROE&lt;&gt;"ON",Universe!$B$1614=""),"",Universe!$B$1614)</f>
        <v/>
      </c>
      <c r="DTC1" s="11">
        <f>IF(OR(SwitchROE&lt;&gt;"ON",Universe!$B$1615=""),"",Universe!$B$1615)</f>
        <v/>
      </c>
      <c r="DTE1" s="11">
        <f>IF(OR(SwitchROE&lt;&gt;"ON",Universe!$B$1616=""),"",Universe!$B$1616)</f>
        <v/>
      </c>
      <c r="DTG1" s="11">
        <f>IF(OR(SwitchROE&lt;&gt;"ON",Universe!$B$1617=""),"",Universe!$B$1617)</f>
        <v/>
      </c>
      <c r="DTI1" s="11">
        <f>IF(OR(SwitchROE&lt;&gt;"ON",Universe!$B$1618=""),"",Universe!$B$1618)</f>
        <v/>
      </c>
      <c r="DTK1" s="11">
        <f>IF(OR(SwitchROE&lt;&gt;"ON",Universe!$B$1619=""),"",Universe!$B$1619)</f>
        <v/>
      </c>
      <c r="DTM1" s="11">
        <f>IF(OR(SwitchROE&lt;&gt;"ON",Universe!$B$1620=""),"",Universe!$B$1620)</f>
        <v/>
      </c>
      <c r="DTO1" s="11">
        <f>IF(OR(SwitchROE&lt;&gt;"ON",Universe!$B$1621=""),"",Universe!$B$1621)</f>
        <v/>
      </c>
      <c r="DTQ1" s="11">
        <f>IF(OR(SwitchROE&lt;&gt;"ON",Universe!$B$1622=""),"",Universe!$B$1622)</f>
        <v/>
      </c>
      <c r="DTS1" s="11">
        <f>IF(OR(SwitchROE&lt;&gt;"ON",Universe!$B$1623=""),"",Universe!$B$1623)</f>
        <v/>
      </c>
      <c r="DTU1" s="11">
        <f>IF(OR(SwitchROE&lt;&gt;"ON",Universe!$B$1624=""),"",Universe!$B$1624)</f>
        <v/>
      </c>
      <c r="DTW1" s="11">
        <f>IF(OR(SwitchROE&lt;&gt;"ON",Universe!$B$1625=""),"",Universe!$B$1625)</f>
        <v/>
      </c>
      <c r="DTY1" s="11">
        <f>IF(OR(SwitchROE&lt;&gt;"ON",Universe!$B$1626=""),"",Universe!$B$1626)</f>
        <v/>
      </c>
      <c r="DUA1" s="11">
        <f>IF(OR(SwitchROE&lt;&gt;"ON",Universe!$B$1627=""),"",Universe!$B$1627)</f>
        <v/>
      </c>
      <c r="DUC1" s="11">
        <f>IF(OR(SwitchROE&lt;&gt;"ON",Universe!$B$1628=""),"",Universe!$B$1628)</f>
        <v/>
      </c>
      <c r="DUE1" s="11">
        <f>IF(OR(SwitchROE&lt;&gt;"ON",Universe!$B$1629=""),"",Universe!$B$1629)</f>
        <v/>
      </c>
      <c r="DUG1" s="11">
        <f>IF(OR(SwitchROE&lt;&gt;"ON",Universe!$B$1630=""),"",Universe!$B$1630)</f>
        <v/>
      </c>
      <c r="DUI1" s="11">
        <f>IF(OR(SwitchROE&lt;&gt;"ON",Universe!$B$1631=""),"",Universe!$B$1631)</f>
        <v/>
      </c>
      <c r="DUK1" s="11">
        <f>IF(OR(SwitchROE&lt;&gt;"ON",Universe!$B$1632=""),"",Universe!$B$1632)</f>
        <v/>
      </c>
      <c r="DUM1" s="11">
        <f>IF(OR(SwitchROE&lt;&gt;"ON",Universe!$B$1633=""),"",Universe!$B$1633)</f>
        <v/>
      </c>
      <c r="DUO1" s="11">
        <f>IF(OR(SwitchROE&lt;&gt;"ON",Universe!$B$1634=""),"",Universe!$B$1634)</f>
        <v/>
      </c>
      <c r="DUQ1" s="11">
        <f>IF(OR(SwitchROE&lt;&gt;"ON",Universe!$B$1635=""),"",Universe!$B$1635)</f>
        <v/>
      </c>
      <c r="DUS1" s="11">
        <f>IF(OR(SwitchROE&lt;&gt;"ON",Universe!$B$1636=""),"",Universe!$B$1636)</f>
        <v/>
      </c>
      <c r="DUU1" s="11">
        <f>IF(OR(SwitchROE&lt;&gt;"ON",Universe!$B$1637=""),"",Universe!$B$1637)</f>
        <v/>
      </c>
      <c r="DUW1" s="11">
        <f>IF(OR(SwitchROE&lt;&gt;"ON",Universe!$B$1638=""),"",Universe!$B$1638)</f>
        <v/>
      </c>
      <c r="DUY1" s="11">
        <f>IF(OR(SwitchROE&lt;&gt;"ON",Universe!$B$1639=""),"",Universe!$B$1639)</f>
        <v/>
      </c>
      <c r="DVA1" s="11">
        <f>IF(OR(SwitchROE&lt;&gt;"ON",Universe!$B$1640=""),"",Universe!$B$1640)</f>
        <v/>
      </c>
      <c r="DVC1" s="11">
        <f>IF(OR(SwitchROE&lt;&gt;"ON",Universe!$B$1641=""),"",Universe!$B$1641)</f>
        <v/>
      </c>
      <c r="DVE1" s="11">
        <f>IF(OR(SwitchROE&lt;&gt;"ON",Universe!$B$1642=""),"",Universe!$B$1642)</f>
        <v/>
      </c>
      <c r="DVG1" s="11">
        <f>IF(OR(SwitchROE&lt;&gt;"ON",Universe!$B$1643=""),"",Universe!$B$1643)</f>
        <v/>
      </c>
      <c r="DVI1" s="11">
        <f>IF(OR(SwitchROE&lt;&gt;"ON",Universe!$B$1644=""),"",Universe!$B$1644)</f>
        <v/>
      </c>
      <c r="DVK1" s="11">
        <f>IF(OR(SwitchROE&lt;&gt;"ON",Universe!$B$1645=""),"",Universe!$B$1645)</f>
        <v/>
      </c>
      <c r="DVM1" s="11">
        <f>IF(OR(SwitchROE&lt;&gt;"ON",Universe!$B$1646=""),"",Universe!$B$1646)</f>
        <v/>
      </c>
      <c r="DVO1" s="11">
        <f>IF(OR(SwitchROE&lt;&gt;"ON",Universe!$B$1647=""),"",Universe!$B$1647)</f>
        <v/>
      </c>
      <c r="DVQ1" s="11">
        <f>IF(OR(SwitchROE&lt;&gt;"ON",Universe!$B$1648=""),"",Universe!$B$1648)</f>
        <v/>
      </c>
      <c r="DVS1" s="11">
        <f>IF(OR(SwitchROE&lt;&gt;"ON",Universe!$B$1649=""),"",Universe!$B$1649)</f>
        <v/>
      </c>
      <c r="DVU1" s="11">
        <f>IF(OR(SwitchROE&lt;&gt;"ON",Universe!$B$1650=""),"",Universe!$B$1650)</f>
        <v/>
      </c>
      <c r="DVW1" s="11">
        <f>IF(OR(SwitchROE&lt;&gt;"ON",Universe!$B$1651=""),"",Universe!$B$1651)</f>
        <v/>
      </c>
      <c r="DVY1" s="11">
        <f>IF(OR(SwitchROE&lt;&gt;"ON",Universe!$B$1652=""),"",Universe!$B$1652)</f>
        <v/>
      </c>
      <c r="DWA1" s="11">
        <f>IF(OR(SwitchROE&lt;&gt;"ON",Universe!$B$1653=""),"",Universe!$B$1653)</f>
        <v/>
      </c>
      <c r="DWC1" s="11">
        <f>IF(OR(SwitchROE&lt;&gt;"ON",Universe!$B$1654=""),"",Universe!$B$1654)</f>
        <v/>
      </c>
      <c r="DWE1" s="11">
        <f>IF(OR(SwitchROE&lt;&gt;"ON",Universe!$B$1655=""),"",Universe!$B$1655)</f>
        <v/>
      </c>
      <c r="DWG1" s="11">
        <f>IF(OR(SwitchROE&lt;&gt;"ON",Universe!$B$1656=""),"",Universe!$B$1656)</f>
        <v/>
      </c>
      <c r="DWI1" s="11">
        <f>IF(OR(SwitchROE&lt;&gt;"ON",Universe!$B$1657=""),"",Universe!$B$1657)</f>
        <v/>
      </c>
      <c r="DWK1" s="11">
        <f>IF(OR(SwitchROE&lt;&gt;"ON",Universe!$B$1658=""),"",Universe!$B$1658)</f>
        <v/>
      </c>
      <c r="DWM1" s="11">
        <f>IF(OR(SwitchROE&lt;&gt;"ON",Universe!$B$1659=""),"",Universe!$B$1659)</f>
        <v/>
      </c>
      <c r="DWO1" s="11">
        <f>IF(OR(SwitchROE&lt;&gt;"ON",Universe!$B$1660=""),"",Universe!$B$1660)</f>
        <v/>
      </c>
      <c r="DWQ1" s="11">
        <f>IF(OR(SwitchROE&lt;&gt;"ON",Universe!$B$1661=""),"",Universe!$B$1661)</f>
        <v/>
      </c>
      <c r="DWS1" s="11">
        <f>IF(OR(SwitchROE&lt;&gt;"ON",Universe!$B$1662=""),"",Universe!$B$1662)</f>
        <v/>
      </c>
      <c r="DWU1" s="11">
        <f>IF(OR(SwitchROE&lt;&gt;"ON",Universe!$B$1663=""),"",Universe!$B$1663)</f>
        <v/>
      </c>
      <c r="DWW1" s="11">
        <f>IF(OR(SwitchROE&lt;&gt;"ON",Universe!$B$1664=""),"",Universe!$B$1664)</f>
        <v/>
      </c>
      <c r="DWY1" s="11">
        <f>IF(OR(SwitchROE&lt;&gt;"ON",Universe!$B$1665=""),"",Universe!$B$1665)</f>
        <v/>
      </c>
      <c r="DXA1" s="11">
        <f>IF(OR(SwitchROE&lt;&gt;"ON",Universe!$B$1666=""),"",Universe!$B$1666)</f>
        <v/>
      </c>
      <c r="DXC1" s="11">
        <f>IF(OR(SwitchROE&lt;&gt;"ON",Universe!$B$1667=""),"",Universe!$B$1667)</f>
        <v/>
      </c>
      <c r="DXE1" s="11">
        <f>IF(OR(SwitchROE&lt;&gt;"ON",Universe!$B$1668=""),"",Universe!$B$1668)</f>
        <v/>
      </c>
      <c r="DXG1" s="11">
        <f>IF(OR(SwitchROE&lt;&gt;"ON",Universe!$B$1669=""),"",Universe!$B$1669)</f>
        <v/>
      </c>
      <c r="DXI1" s="11">
        <f>IF(OR(SwitchROE&lt;&gt;"ON",Universe!$B$1670=""),"",Universe!$B$1670)</f>
        <v/>
      </c>
      <c r="DXK1" s="11">
        <f>IF(OR(SwitchROE&lt;&gt;"ON",Universe!$B$1671=""),"",Universe!$B$1671)</f>
        <v/>
      </c>
      <c r="DXM1" s="11">
        <f>IF(OR(SwitchROE&lt;&gt;"ON",Universe!$B$1672=""),"",Universe!$B$1672)</f>
        <v/>
      </c>
      <c r="DXO1" s="11">
        <f>IF(OR(SwitchROE&lt;&gt;"ON",Universe!$B$1673=""),"",Universe!$B$1673)</f>
        <v/>
      </c>
      <c r="DXQ1" s="11">
        <f>IF(OR(SwitchROE&lt;&gt;"ON",Universe!$B$1674=""),"",Universe!$B$1674)</f>
        <v/>
      </c>
      <c r="DXS1" s="11">
        <f>IF(OR(SwitchROE&lt;&gt;"ON",Universe!$B$1675=""),"",Universe!$B$1675)</f>
        <v/>
      </c>
      <c r="DXU1" s="11">
        <f>IF(OR(SwitchROE&lt;&gt;"ON",Universe!$B$1676=""),"",Universe!$B$1676)</f>
        <v/>
      </c>
      <c r="DXW1" s="11">
        <f>IF(OR(SwitchROE&lt;&gt;"ON",Universe!$B$1677=""),"",Universe!$B$1677)</f>
        <v/>
      </c>
      <c r="DXY1" s="11">
        <f>IF(OR(SwitchROE&lt;&gt;"ON",Universe!$B$1678=""),"",Universe!$B$1678)</f>
        <v/>
      </c>
      <c r="DYA1" s="11">
        <f>IF(OR(SwitchROE&lt;&gt;"ON",Universe!$B$1679=""),"",Universe!$B$1679)</f>
        <v/>
      </c>
      <c r="DYC1" s="11">
        <f>IF(OR(SwitchROE&lt;&gt;"ON",Universe!$B$1680=""),"",Universe!$B$1680)</f>
        <v/>
      </c>
      <c r="DYE1" s="11">
        <f>IF(OR(SwitchROE&lt;&gt;"ON",Universe!$B$1681=""),"",Universe!$B$1681)</f>
        <v/>
      </c>
      <c r="DYG1" s="11">
        <f>IF(OR(SwitchROE&lt;&gt;"ON",Universe!$B$1682=""),"",Universe!$B$1682)</f>
        <v/>
      </c>
      <c r="DYI1" s="11">
        <f>IF(OR(SwitchROE&lt;&gt;"ON",Universe!$B$1683=""),"",Universe!$B$1683)</f>
        <v/>
      </c>
      <c r="DYK1" s="11">
        <f>IF(OR(SwitchROE&lt;&gt;"ON",Universe!$B$1684=""),"",Universe!$B$1684)</f>
        <v/>
      </c>
      <c r="DYM1" s="11">
        <f>IF(OR(SwitchROE&lt;&gt;"ON",Universe!$B$1685=""),"",Universe!$B$1685)</f>
        <v/>
      </c>
      <c r="DYO1" s="11">
        <f>IF(OR(SwitchROE&lt;&gt;"ON",Universe!$B$1686=""),"",Universe!$B$1686)</f>
        <v/>
      </c>
      <c r="DYQ1" s="11">
        <f>IF(OR(SwitchROE&lt;&gt;"ON",Universe!$B$1687=""),"",Universe!$B$1687)</f>
        <v/>
      </c>
      <c r="DYS1" s="11">
        <f>IF(OR(SwitchROE&lt;&gt;"ON",Universe!$B$1688=""),"",Universe!$B$1688)</f>
        <v/>
      </c>
      <c r="DYU1" s="11">
        <f>IF(OR(SwitchROE&lt;&gt;"ON",Universe!$B$1689=""),"",Universe!$B$1689)</f>
        <v/>
      </c>
      <c r="DYW1" s="11">
        <f>IF(OR(SwitchROE&lt;&gt;"ON",Universe!$B$1690=""),"",Universe!$B$1690)</f>
        <v/>
      </c>
      <c r="DYY1" s="11">
        <f>IF(OR(SwitchROE&lt;&gt;"ON",Universe!$B$1691=""),"",Universe!$B$1691)</f>
        <v/>
      </c>
      <c r="DZA1" s="11">
        <f>IF(OR(SwitchROE&lt;&gt;"ON",Universe!$B$1692=""),"",Universe!$B$1692)</f>
        <v/>
      </c>
      <c r="DZC1" s="11">
        <f>IF(OR(SwitchROE&lt;&gt;"ON",Universe!$B$1693=""),"",Universe!$B$1693)</f>
        <v/>
      </c>
      <c r="DZE1" s="11">
        <f>IF(OR(SwitchROE&lt;&gt;"ON",Universe!$B$1694=""),"",Universe!$B$1694)</f>
        <v/>
      </c>
      <c r="DZG1" s="11">
        <f>IF(OR(SwitchROE&lt;&gt;"ON",Universe!$B$1695=""),"",Universe!$B$1695)</f>
        <v/>
      </c>
      <c r="DZI1" s="11">
        <f>IF(OR(SwitchROE&lt;&gt;"ON",Universe!$B$1696=""),"",Universe!$B$1696)</f>
        <v/>
      </c>
      <c r="DZK1" s="11">
        <f>IF(OR(SwitchROE&lt;&gt;"ON",Universe!$B$1697=""),"",Universe!$B$1697)</f>
        <v/>
      </c>
      <c r="DZM1" s="11">
        <f>IF(OR(SwitchROE&lt;&gt;"ON",Universe!$B$1698=""),"",Universe!$B$1698)</f>
        <v/>
      </c>
      <c r="DZO1" s="11">
        <f>IF(OR(SwitchROE&lt;&gt;"ON",Universe!$B$1699=""),"",Universe!$B$1699)</f>
        <v/>
      </c>
      <c r="DZQ1" s="11">
        <f>IF(OR(SwitchROE&lt;&gt;"ON",Universe!$B$1700=""),"",Universe!$B$1700)</f>
        <v/>
      </c>
      <c r="DZS1" s="11">
        <f>IF(OR(SwitchROE&lt;&gt;"ON",Universe!$B$1701=""),"",Universe!$B$1701)</f>
        <v/>
      </c>
      <c r="DZU1" s="11">
        <f>IF(OR(SwitchROE&lt;&gt;"ON",Universe!$B$1702=""),"",Universe!$B$1702)</f>
        <v/>
      </c>
      <c r="DZW1" s="11">
        <f>IF(OR(SwitchROE&lt;&gt;"ON",Universe!$B$1703=""),"",Universe!$B$1703)</f>
        <v/>
      </c>
      <c r="DZY1" s="11">
        <f>IF(OR(SwitchROE&lt;&gt;"ON",Universe!$B$1704=""),"",Universe!$B$1704)</f>
        <v/>
      </c>
      <c r="EAA1" s="11">
        <f>IF(OR(SwitchROE&lt;&gt;"ON",Universe!$B$1705=""),"",Universe!$B$1705)</f>
        <v/>
      </c>
      <c r="EAC1" s="11">
        <f>IF(OR(SwitchROE&lt;&gt;"ON",Universe!$B$1706=""),"",Universe!$B$1706)</f>
        <v/>
      </c>
      <c r="EAE1" s="11">
        <f>IF(OR(SwitchROE&lt;&gt;"ON",Universe!$B$1707=""),"",Universe!$B$1707)</f>
        <v/>
      </c>
      <c r="EAG1" s="11">
        <f>IF(OR(SwitchROE&lt;&gt;"ON",Universe!$B$1708=""),"",Universe!$B$1708)</f>
        <v/>
      </c>
      <c r="EAI1" s="11">
        <f>IF(OR(SwitchROE&lt;&gt;"ON",Universe!$B$1709=""),"",Universe!$B$1709)</f>
        <v/>
      </c>
      <c r="EAK1" s="11">
        <f>IF(OR(SwitchROE&lt;&gt;"ON",Universe!$B$1710=""),"",Universe!$B$1710)</f>
        <v/>
      </c>
      <c r="EAM1" s="11">
        <f>IF(OR(SwitchROE&lt;&gt;"ON",Universe!$B$1711=""),"",Universe!$B$1711)</f>
        <v/>
      </c>
      <c r="EAO1" s="11">
        <f>IF(OR(SwitchROE&lt;&gt;"ON",Universe!$B$1712=""),"",Universe!$B$1712)</f>
        <v/>
      </c>
      <c r="EAQ1" s="11">
        <f>IF(OR(SwitchROE&lt;&gt;"ON",Universe!$B$1713=""),"",Universe!$B$1713)</f>
        <v/>
      </c>
      <c r="EAS1" s="11">
        <f>IF(OR(SwitchROE&lt;&gt;"ON",Universe!$B$1714=""),"",Universe!$B$1714)</f>
        <v/>
      </c>
      <c r="EAU1" s="11">
        <f>IF(OR(SwitchROE&lt;&gt;"ON",Universe!$B$1715=""),"",Universe!$B$1715)</f>
        <v/>
      </c>
      <c r="EAW1" s="11">
        <f>IF(OR(SwitchROE&lt;&gt;"ON",Universe!$B$1716=""),"",Universe!$B$1716)</f>
        <v/>
      </c>
      <c r="EAY1" s="11">
        <f>IF(OR(SwitchROE&lt;&gt;"ON",Universe!$B$1717=""),"",Universe!$B$1717)</f>
        <v/>
      </c>
      <c r="EBA1" s="11">
        <f>IF(OR(SwitchROE&lt;&gt;"ON",Universe!$B$1718=""),"",Universe!$B$1718)</f>
        <v/>
      </c>
      <c r="EBC1" s="11">
        <f>IF(OR(SwitchROE&lt;&gt;"ON",Universe!$B$1719=""),"",Universe!$B$1719)</f>
        <v/>
      </c>
      <c r="EBE1" s="11">
        <f>IF(OR(SwitchROE&lt;&gt;"ON",Universe!$B$1720=""),"",Universe!$B$1720)</f>
        <v/>
      </c>
      <c r="EBG1" s="11">
        <f>IF(OR(SwitchROE&lt;&gt;"ON",Universe!$B$1721=""),"",Universe!$B$1721)</f>
        <v/>
      </c>
      <c r="EBI1" s="11">
        <f>IF(OR(SwitchROE&lt;&gt;"ON",Universe!$B$1722=""),"",Universe!$B$1722)</f>
        <v/>
      </c>
      <c r="EBK1" s="11">
        <f>IF(OR(SwitchROE&lt;&gt;"ON",Universe!$B$1723=""),"",Universe!$B$1723)</f>
        <v/>
      </c>
      <c r="EBM1" s="11">
        <f>IF(OR(SwitchROE&lt;&gt;"ON",Universe!$B$1724=""),"",Universe!$B$1724)</f>
        <v/>
      </c>
      <c r="EBO1" s="11">
        <f>IF(OR(SwitchROE&lt;&gt;"ON",Universe!$B$1725=""),"",Universe!$B$1725)</f>
        <v/>
      </c>
      <c r="EBQ1" s="11">
        <f>IF(OR(SwitchROE&lt;&gt;"ON",Universe!$B$1726=""),"",Universe!$B$1726)</f>
        <v/>
      </c>
      <c r="EBS1" s="11">
        <f>IF(OR(SwitchROE&lt;&gt;"ON",Universe!$B$1727=""),"",Universe!$B$1727)</f>
        <v/>
      </c>
      <c r="EBU1" s="11">
        <f>IF(OR(SwitchROE&lt;&gt;"ON",Universe!$B$1728=""),"",Universe!$B$1728)</f>
        <v/>
      </c>
      <c r="EBW1" s="11">
        <f>IF(OR(SwitchROE&lt;&gt;"ON",Universe!$B$1729=""),"",Universe!$B$1729)</f>
        <v/>
      </c>
      <c r="EBY1" s="11">
        <f>IF(OR(SwitchROE&lt;&gt;"ON",Universe!$B$1730=""),"",Universe!$B$1730)</f>
        <v/>
      </c>
      <c r="ECA1" s="11">
        <f>IF(OR(SwitchROE&lt;&gt;"ON",Universe!$B$1731=""),"",Universe!$B$1731)</f>
        <v/>
      </c>
      <c r="ECC1" s="11">
        <f>IF(OR(SwitchROE&lt;&gt;"ON",Universe!$B$1732=""),"",Universe!$B$1732)</f>
        <v/>
      </c>
      <c r="ECE1" s="11">
        <f>IF(OR(SwitchROE&lt;&gt;"ON",Universe!$B$1733=""),"",Universe!$B$1733)</f>
        <v/>
      </c>
      <c r="ECG1" s="11">
        <f>IF(OR(SwitchROE&lt;&gt;"ON",Universe!$B$1734=""),"",Universe!$B$1734)</f>
        <v/>
      </c>
      <c r="ECI1" s="11">
        <f>IF(OR(SwitchROE&lt;&gt;"ON",Universe!$B$1735=""),"",Universe!$B$1735)</f>
        <v/>
      </c>
      <c r="ECK1" s="11">
        <f>IF(OR(SwitchROE&lt;&gt;"ON",Universe!$B$1736=""),"",Universe!$B$1736)</f>
        <v/>
      </c>
      <c r="ECM1" s="11">
        <f>IF(OR(SwitchROE&lt;&gt;"ON",Universe!$B$1737=""),"",Universe!$B$1737)</f>
        <v/>
      </c>
      <c r="ECO1" s="11">
        <f>IF(OR(SwitchROE&lt;&gt;"ON",Universe!$B$1738=""),"",Universe!$B$1738)</f>
        <v/>
      </c>
      <c r="ECQ1" s="11">
        <f>IF(OR(SwitchROE&lt;&gt;"ON",Universe!$B$1739=""),"",Universe!$B$1739)</f>
        <v/>
      </c>
      <c r="ECS1" s="11">
        <f>IF(OR(SwitchROE&lt;&gt;"ON",Universe!$B$1740=""),"",Universe!$B$1740)</f>
        <v/>
      </c>
      <c r="ECU1" s="11">
        <f>IF(OR(SwitchROE&lt;&gt;"ON",Universe!$B$1741=""),"",Universe!$B$1741)</f>
        <v/>
      </c>
      <c r="ECW1" s="11">
        <f>IF(OR(SwitchROE&lt;&gt;"ON",Universe!$B$1742=""),"",Universe!$B$1742)</f>
        <v/>
      </c>
      <c r="ECY1" s="11">
        <f>IF(OR(SwitchROE&lt;&gt;"ON",Universe!$B$1743=""),"",Universe!$B$1743)</f>
        <v/>
      </c>
      <c r="EDA1" s="11">
        <f>IF(OR(SwitchROE&lt;&gt;"ON",Universe!$B$1744=""),"",Universe!$B$1744)</f>
        <v/>
      </c>
      <c r="EDC1" s="11">
        <f>IF(OR(SwitchROE&lt;&gt;"ON",Universe!$B$1745=""),"",Universe!$B$1745)</f>
        <v/>
      </c>
      <c r="EDE1" s="11">
        <f>IF(OR(SwitchROE&lt;&gt;"ON",Universe!$B$1746=""),"",Universe!$B$1746)</f>
        <v/>
      </c>
      <c r="EDG1" s="11">
        <f>IF(OR(SwitchROE&lt;&gt;"ON",Universe!$B$1747=""),"",Universe!$B$1747)</f>
        <v/>
      </c>
      <c r="EDI1" s="11">
        <f>IF(OR(SwitchROE&lt;&gt;"ON",Universe!$B$1748=""),"",Universe!$B$1748)</f>
        <v/>
      </c>
      <c r="EDK1" s="11">
        <f>IF(OR(SwitchROE&lt;&gt;"ON",Universe!$B$1749=""),"",Universe!$B$1749)</f>
        <v/>
      </c>
      <c r="EDM1" s="11">
        <f>IF(OR(SwitchROE&lt;&gt;"ON",Universe!$B$1750=""),"",Universe!$B$1750)</f>
        <v/>
      </c>
      <c r="EDO1" s="11">
        <f>IF(OR(SwitchROE&lt;&gt;"ON",Universe!$B$1751=""),"",Universe!$B$1751)</f>
        <v/>
      </c>
      <c r="EDQ1" s="11">
        <f>IF(OR(SwitchROE&lt;&gt;"ON",Universe!$B$1752=""),"",Universe!$B$1752)</f>
        <v/>
      </c>
      <c r="EDS1" s="11">
        <f>IF(OR(SwitchROE&lt;&gt;"ON",Universe!$B$1753=""),"",Universe!$B$1753)</f>
        <v/>
      </c>
      <c r="EDU1" s="11">
        <f>IF(OR(SwitchROE&lt;&gt;"ON",Universe!$B$1754=""),"",Universe!$B$1754)</f>
        <v/>
      </c>
      <c r="EDW1" s="11">
        <f>IF(OR(SwitchROE&lt;&gt;"ON",Universe!$B$1755=""),"",Universe!$B$1755)</f>
        <v/>
      </c>
      <c r="EDY1" s="11">
        <f>IF(OR(SwitchROE&lt;&gt;"ON",Universe!$B$1756=""),"",Universe!$B$1756)</f>
        <v/>
      </c>
      <c r="EEA1" s="11">
        <f>IF(OR(SwitchROE&lt;&gt;"ON",Universe!$B$1757=""),"",Universe!$B$1757)</f>
        <v/>
      </c>
      <c r="EEC1" s="11">
        <f>IF(OR(SwitchROE&lt;&gt;"ON",Universe!$B$1758=""),"",Universe!$B$1758)</f>
        <v/>
      </c>
      <c r="EEE1" s="11">
        <f>IF(OR(SwitchROE&lt;&gt;"ON",Universe!$B$1759=""),"",Universe!$B$1759)</f>
        <v/>
      </c>
      <c r="EEG1" s="11">
        <f>IF(OR(SwitchROE&lt;&gt;"ON",Universe!$B$1760=""),"",Universe!$B$1760)</f>
        <v/>
      </c>
      <c r="EEI1" s="11">
        <f>IF(OR(SwitchROE&lt;&gt;"ON",Universe!$B$1761=""),"",Universe!$B$1761)</f>
        <v/>
      </c>
      <c r="EEK1" s="11">
        <f>IF(OR(SwitchROE&lt;&gt;"ON",Universe!$B$1762=""),"",Universe!$B$1762)</f>
        <v/>
      </c>
      <c r="EEM1" s="11">
        <f>IF(OR(SwitchROE&lt;&gt;"ON",Universe!$B$1763=""),"",Universe!$B$1763)</f>
        <v/>
      </c>
      <c r="EEO1" s="11">
        <f>IF(OR(SwitchROE&lt;&gt;"ON",Universe!$B$1764=""),"",Universe!$B$1764)</f>
        <v/>
      </c>
      <c r="EEQ1" s="11">
        <f>IF(OR(SwitchROE&lt;&gt;"ON",Universe!$B$1765=""),"",Universe!$B$1765)</f>
        <v/>
      </c>
      <c r="EES1" s="11">
        <f>IF(OR(SwitchROE&lt;&gt;"ON",Universe!$B$1766=""),"",Universe!$B$1766)</f>
        <v/>
      </c>
      <c r="EEU1" s="11">
        <f>IF(OR(SwitchROE&lt;&gt;"ON",Universe!$B$1767=""),"",Universe!$B$1767)</f>
        <v/>
      </c>
      <c r="EEW1" s="11">
        <f>IF(OR(SwitchROE&lt;&gt;"ON",Universe!$B$1768=""),"",Universe!$B$1768)</f>
        <v/>
      </c>
      <c r="EEY1" s="11">
        <f>IF(OR(SwitchROE&lt;&gt;"ON",Universe!$B$1769=""),"",Universe!$B$1769)</f>
        <v/>
      </c>
      <c r="EFA1" s="11">
        <f>IF(OR(SwitchROE&lt;&gt;"ON",Universe!$B$1770=""),"",Universe!$B$1770)</f>
        <v/>
      </c>
      <c r="EFC1" s="11">
        <f>IF(OR(SwitchROE&lt;&gt;"ON",Universe!$B$1771=""),"",Universe!$B$1771)</f>
        <v/>
      </c>
      <c r="EFE1" s="11">
        <f>IF(OR(SwitchROE&lt;&gt;"ON",Universe!$B$1772=""),"",Universe!$B$1772)</f>
        <v/>
      </c>
      <c r="EFG1" s="11">
        <f>IF(OR(SwitchROE&lt;&gt;"ON",Universe!$B$1773=""),"",Universe!$B$1773)</f>
        <v/>
      </c>
      <c r="EFI1" s="11">
        <f>IF(OR(SwitchROE&lt;&gt;"ON",Universe!$B$1774=""),"",Universe!$B$1774)</f>
        <v/>
      </c>
      <c r="EFK1" s="11">
        <f>IF(OR(SwitchROE&lt;&gt;"ON",Universe!$B$1775=""),"",Universe!$B$1775)</f>
        <v/>
      </c>
      <c r="EFM1" s="11">
        <f>IF(OR(SwitchROE&lt;&gt;"ON",Universe!$B$1776=""),"",Universe!$B$1776)</f>
        <v/>
      </c>
      <c r="EFO1" s="11">
        <f>IF(OR(SwitchROE&lt;&gt;"ON",Universe!$B$1777=""),"",Universe!$B$1777)</f>
        <v/>
      </c>
      <c r="EFQ1" s="11">
        <f>IF(OR(SwitchROE&lt;&gt;"ON",Universe!$B$1778=""),"",Universe!$B$1778)</f>
        <v/>
      </c>
      <c r="EFS1" s="11">
        <f>IF(OR(SwitchROE&lt;&gt;"ON",Universe!$B$1779=""),"",Universe!$B$1779)</f>
        <v/>
      </c>
      <c r="EFU1" s="11">
        <f>IF(OR(SwitchROE&lt;&gt;"ON",Universe!$B$1780=""),"",Universe!$B$1780)</f>
        <v/>
      </c>
      <c r="EFW1" s="11">
        <f>IF(OR(SwitchROE&lt;&gt;"ON",Universe!$B$1781=""),"",Universe!$B$1781)</f>
        <v/>
      </c>
      <c r="EFY1" s="11">
        <f>IF(OR(SwitchROE&lt;&gt;"ON",Universe!$B$1782=""),"",Universe!$B$1782)</f>
        <v/>
      </c>
      <c r="EGA1" s="11">
        <f>IF(OR(SwitchROE&lt;&gt;"ON",Universe!$B$1783=""),"",Universe!$B$1783)</f>
        <v/>
      </c>
      <c r="EGC1" s="11">
        <f>IF(OR(SwitchROE&lt;&gt;"ON",Universe!$B$1784=""),"",Universe!$B$1784)</f>
        <v/>
      </c>
      <c r="EGE1" s="11">
        <f>IF(OR(SwitchROE&lt;&gt;"ON",Universe!$B$1785=""),"",Universe!$B$1785)</f>
        <v/>
      </c>
      <c r="EGG1" s="11">
        <f>IF(OR(SwitchROE&lt;&gt;"ON",Universe!$B$1786=""),"",Universe!$B$1786)</f>
        <v/>
      </c>
      <c r="EGI1" s="11">
        <f>IF(OR(SwitchROE&lt;&gt;"ON",Universe!$B$1787=""),"",Universe!$B$1787)</f>
        <v/>
      </c>
      <c r="EGK1" s="11">
        <f>IF(OR(SwitchROE&lt;&gt;"ON",Universe!$B$1788=""),"",Universe!$B$1788)</f>
        <v/>
      </c>
      <c r="EGM1" s="11">
        <f>IF(OR(SwitchROE&lt;&gt;"ON",Universe!$B$1789=""),"",Universe!$B$1789)</f>
        <v/>
      </c>
      <c r="EGO1" s="11">
        <f>IF(OR(SwitchROE&lt;&gt;"ON",Universe!$B$1790=""),"",Universe!$B$1790)</f>
        <v/>
      </c>
      <c r="EGQ1" s="11">
        <f>IF(OR(SwitchROE&lt;&gt;"ON",Universe!$B$1791=""),"",Universe!$B$1791)</f>
        <v/>
      </c>
      <c r="EGS1" s="11">
        <f>IF(OR(SwitchROE&lt;&gt;"ON",Universe!$B$1792=""),"",Universe!$B$1792)</f>
        <v/>
      </c>
      <c r="EGU1" s="11">
        <f>IF(OR(SwitchROE&lt;&gt;"ON",Universe!$B$1793=""),"",Universe!$B$1793)</f>
        <v/>
      </c>
      <c r="EGW1" s="11">
        <f>IF(OR(SwitchROE&lt;&gt;"ON",Universe!$B$1794=""),"",Universe!$B$1794)</f>
        <v/>
      </c>
      <c r="EGY1" s="11">
        <f>IF(OR(SwitchROE&lt;&gt;"ON",Universe!$B$1795=""),"",Universe!$B$1795)</f>
        <v/>
      </c>
      <c r="EHA1" s="11">
        <f>IF(OR(SwitchROE&lt;&gt;"ON",Universe!$B$1796=""),"",Universe!$B$1796)</f>
        <v/>
      </c>
      <c r="EHC1" s="11">
        <f>IF(OR(SwitchROE&lt;&gt;"ON",Universe!$B$1797=""),"",Universe!$B$1797)</f>
        <v/>
      </c>
      <c r="EHE1" s="11">
        <f>IF(OR(SwitchROE&lt;&gt;"ON",Universe!$B$1798=""),"",Universe!$B$1798)</f>
        <v/>
      </c>
      <c r="EHG1" s="11">
        <f>IF(OR(SwitchROE&lt;&gt;"ON",Universe!$B$1799=""),"",Universe!$B$1799)</f>
        <v/>
      </c>
      <c r="EHI1" s="11">
        <f>IF(OR(SwitchROE&lt;&gt;"ON",Universe!$B$1800=""),"",Universe!$B$1800)</f>
        <v/>
      </c>
      <c r="EHK1" s="11">
        <f>IF(OR(SwitchROE&lt;&gt;"ON",Universe!$B$1801=""),"",Universe!$B$1801)</f>
        <v/>
      </c>
      <c r="EHM1" s="11">
        <f>IF(OR(SwitchROE&lt;&gt;"ON",Universe!$B$1802=""),"",Universe!$B$1802)</f>
        <v/>
      </c>
      <c r="EHO1" s="11">
        <f>IF(OR(SwitchROE&lt;&gt;"ON",Universe!$B$1803=""),"",Universe!$B$1803)</f>
        <v/>
      </c>
      <c r="EHQ1" s="11">
        <f>IF(OR(SwitchROE&lt;&gt;"ON",Universe!$B$1804=""),"",Universe!$B$1804)</f>
        <v/>
      </c>
      <c r="EHS1" s="11">
        <f>IF(OR(SwitchROE&lt;&gt;"ON",Universe!$B$1805=""),"",Universe!$B$1805)</f>
        <v/>
      </c>
      <c r="EHU1" s="11">
        <f>IF(OR(SwitchROE&lt;&gt;"ON",Universe!$B$1806=""),"",Universe!$B$1806)</f>
        <v/>
      </c>
      <c r="EHW1" s="11">
        <f>IF(OR(SwitchROE&lt;&gt;"ON",Universe!$B$1807=""),"",Universe!$B$1807)</f>
        <v/>
      </c>
      <c r="EHY1" s="11">
        <f>IF(OR(SwitchROE&lt;&gt;"ON",Universe!$B$1808=""),"",Universe!$B$1808)</f>
        <v/>
      </c>
      <c r="EIA1" s="11">
        <f>IF(OR(SwitchROE&lt;&gt;"ON",Universe!$B$1809=""),"",Universe!$B$1809)</f>
        <v/>
      </c>
      <c r="EIC1" s="11">
        <f>IF(OR(SwitchROE&lt;&gt;"ON",Universe!$B$1810=""),"",Universe!$B$1810)</f>
        <v/>
      </c>
      <c r="EIE1" s="11">
        <f>IF(OR(SwitchROE&lt;&gt;"ON",Universe!$B$1811=""),"",Universe!$B$1811)</f>
        <v/>
      </c>
      <c r="EIG1" s="11">
        <f>IF(OR(SwitchROE&lt;&gt;"ON",Universe!$B$1812=""),"",Universe!$B$1812)</f>
        <v/>
      </c>
      <c r="EII1" s="11">
        <f>IF(OR(SwitchROE&lt;&gt;"ON",Universe!$B$1813=""),"",Universe!$B$1813)</f>
        <v/>
      </c>
      <c r="EIK1" s="11">
        <f>IF(OR(SwitchROE&lt;&gt;"ON",Universe!$B$1814=""),"",Universe!$B$1814)</f>
        <v/>
      </c>
      <c r="EIM1" s="11">
        <f>IF(OR(SwitchROE&lt;&gt;"ON",Universe!$B$1815=""),"",Universe!$B$1815)</f>
        <v/>
      </c>
      <c r="EIO1" s="11">
        <f>IF(OR(SwitchROE&lt;&gt;"ON",Universe!$B$1816=""),"",Universe!$B$1816)</f>
        <v/>
      </c>
      <c r="EIQ1" s="11">
        <f>IF(OR(SwitchROE&lt;&gt;"ON",Universe!$B$1817=""),"",Universe!$B$1817)</f>
        <v/>
      </c>
      <c r="EIS1" s="11">
        <f>IF(OR(SwitchROE&lt;&gt;"ON",Universe!$B$1818=""),"",Universe!$B$1818)</f>
        <v/>
      </c>
      <c r="EIU1" s="11">
        <f>IF(OR(SwitchROE&lt;&gt;"ON",Universe!$B$1819=""),"",Universe!$B$1819)</f>
        <v/>
      </c>
      <c r="EIW1" s="11">
        <f>IF(OR(SwitchROE&lt;&gt;"ON",Universe!$B$1820=""),"",Universe!$B$1820)</f>
        <v/>
      </c>
      <c r="EIY1" s="11">
        <f>IF(OR(SwitchROE&lt;&gt;"ON",Universe!$B$1821=""),"",Universe!$B$1821)</f>
        <v/>
      </c>
      <c r="EJA1" s="11">
        <f>IF(OR(SwitchROE&lt;&gt;"ON",Universe!$B$1822=""),"",Universe!$B$1822)</f>
        <v/>
      </c>
      <c r="EJC1" s="11">
        <f>IF(OR(SwitchROE&lt;&gt;"ON",Universe!$B$1823=""),"",Universe!$B$1823)</f>
        <v/>
      </c>
      <c r="EJE1" s="11">
        <f>IF(OR(SwitchROE&lt;&gt;"ON",Universe!$B$1824=""),"",Universe!$B$1824)</f>
        <v/>
      </c>
      <c r="EJG1" s="11">
        <f>IF(OR(SwitchROE&lt;&gt;"ON",Universe!$B$1825=""),"",Universe!$B$1825)</f>
        <v/>
      </c>
      <c r="EJI1" s="11">
        <f>IF(OR(SwitchROE&lt;&gt;"ON",Universe!$B$1826=""),"",Universe!$B$1826)</f>
        <v/>
      </c>
      <c r="EJK1" s="11">
        <f>IF(OR(SwitchROE&lt;&gt;"ON",Universe!$B$1827=""),"",Universe!$B$1827)</f>
        <v/>
      </c>
      <c r="EJM1" s="11">
        <f>IF(OR(SwitchROE&lt;&gt;"ON",Universe!$B$1828=""),"",Universe!$B$1828)</f>
        <v/>
      </c>
      <c r="EJO1" s="11">
        <f>IF(OR(SwitchROE&lt;&gt;"ON",Universe!$B$1829=""),"",Universe!$B$1829)</f>
        <v/>
      </c>
      <c r="EJQ1" s="11">
        <f>IF(OR(SwitchROE&lt;&gt;"ON",Universe!$B$1830=""),"",Universe!$B$1830)</f>
        <v/>
      </c>
      <c r="EJS1" s="11">
        <f>IF(OR(SwitchROE&lt;&gt;"ON",Universe!$B$1831=""),"",Universe!$B$1831)</f>
        <v/>
      </c>
      <c r="EJU1" s="11">
        <f>IF(OR(SwitchROE&lt;&gt;"ON",Universe!$B$1832=""),"",Universe!$B$1832)</f>
        <v/>
      </c>
      <c r="EJW1" s="11">
        <f>IF(OR(SwitchROE&lt;&gt;"ON",Universe!$B$1833=""),"",Universe!$B$1833)</f>
        <v/>
      </c>
      <c r="EJY1" s="11">
        <f>IF(OR(SwitchROE&lt;&gt;"ON",Universe!$B$1834=""),"",Universe!$B$1834)</f>
        <v/>
      </c>
      <c r="EKA1" s="11">
        <f>IF(OR(SwitchROE&lt;&gt;"ON",Universe!$B$1835=""),"",Universe!$B$1835)</f>
        <v/>
      </c>
      <c r="EKC1" s="11">
        <f>IF(OR(SwitchROE&lt;&gt;"ON",Universe!$B$1836=""),"",Universe!$B$1836)</f>
        <v/>
      </c>
      <c r="EKE1" s="11">
        <f>IF(OR(SwitchROE&lt;&gt;"ON",Universe!$B$1837=""),"",Universe!$B$1837)</f>
        <v/>
      </c>
      <c r="EKG1" s="11">
        <f>IF(OR(SwitchROE&lt;&gt;"ON",Universe!$B$1838=""),"",Universe!$B$1838)</f>
        <v/>
      </c>
      <c r="EKI1" s="11">
        <f>IF(OR(SwitchROE&lt;&gt;"ON",Universe!$B$1839=""),"",Universe!$B$1839)</f>
        <v/>
      </c>
      <c r="EKK1" s="11">
        <f>IF(OR(SwitchROE&lt;&gt;"ON",Universe!$B$1840=""),"",Universe!$B$1840)</f>
        <v/>
      </c>
      <c r="EKM1" s="11">
        <f>IF(OR(SwitchROE&lt;&gt;"ON",Universe!$B$1841=""),"",Universe!$B$1841)</f>
        <v/>
      </c>
      <c r="EKO1" s="11">
        <f>IF(OR(SwitchROE&lt;&gt;"ON",Universe!$B$1842=""),"",Universe!$B$1842)</f>
        <v/>
      </c>
      <c r="EKQ1" s="11">
        <f>IF(OR(SwitchROE&lt;&gt;"ON",Universe!$B$1843=""),"",Universe!$B$1843)</f>
        <v/>
      </c>
      <c r="EKS1" s="11">
        <f>IF(OR(SwitchROE&lt;&gt;"ON",Universe!$B$1844=""),"",Universe!$B$1844)</f>
        <v/>
      </c>
      <c r="EKU1" s="11">
        <f>IF(OR(SwitchROE&lt;&gt;"ON",Universe!$B$1845=""),"",Universe!$B$1845)</f>
        <v/>
      </c>
      <c r="EKW1" s="11">
        <f>IF(OR(SwitchROE&lt;&gt;"ON",Universe!$B$1846=""),"",Universe!$B$1846)</f>
        <v/>
      </c>
      <c r="EKY1" s="11">
        <f>IF(OR(SwitchROE&lt;&gt;"ON",Universe!$B$1847=""),"",Universe!$B$1847)</f>
        <v/>
      </c>
      <c r="ELA1" s="11">
        <f>IF(OR(SwitchROE&lt;&gt;"ON",Universe!$B$1848=""),"",Universe!$B$1848)</f>
        <v/>
      </c>
      <c r="ELC1" s="11">
        <f>IF(OR(SwitchROE&lt;&gt;"ON",Universe!$B$1849=""),"",Universe!$B$1849)</f>
        <v/>
      </c>
      <c r="ELE1" s="11">
        <f>IF(OR(SwitchROE&lt;&gt;"ON",Universe!$B$1850=""),"",Universe!$B$1850)</f>
        <v/>
      </c>
      <c r="ELG1" s="11">
        <f>IF(OR(SwitchROE&lt;&gt;"ON",Universe!$B$1851=""),"",Universe!$B$1851)</f>
        <v/>
      </c>
      <c r="ELI1" s="11">
        <f>IF(OR(SwitchROE&lt;&gt;"ON",Universe!$B$1852=""),"",Universe!$B$1852)</f>
        <v/>
      </c>
      <c r="ELK1" s="11">
        <f>IF(OR(SwitchROE&lt;&gt;"ON",Universe!$B$1853=""),"",Universe!$B$1853)</f>
        <v/>
      </c>
      <c r="ELM1" s="11">
        <f>IF(OR(SwitchROE&lt;&gt;"ON",Universe!$B$1854=""),"",Universe!$B$1854)</f>
        <v/>
      </c>
      <c r="ELO1" s="11">
        <f>IF(OR(SwitchROE&lt;&gt;"ON",Universe!$B$1855=""),"",Universe!$B$1855)</f>
        <v/>
      </c>
      <c r="ELQ1" s="11">
        <f>IF(OR(SwitchROE&lt;&gt;"ON",Universe!$B$1856=""),"",Universe!$B$1856)</f>
        <v/>
      </c>
      <c r="ELS1" s="11">
        <f>IF(OR(SwitchROE&lt;&gt;"ON",Universe!$B$1857=""),"",Universe!$B$1857)</f>
        <v/>
      </c>
      <c r="ELU1" s="11">
        <f>IF(OR(SwitchROE&lt;&gt;"ON",Universe!$B$1858=""),"",Universe!$B$1858)</f>
        <v/>
      </c>
      <c r="ELW1" s="11">
        <f>IF(OR(SwitchROE&lt;&gt;"ON",Universe!$B$1859=""),"",Universe!$B$1859)</f>
        <v/>
      </c>
      <c r="ELY1" s="11">
        <f>IF(OR(SwitchROE&lt;&gt;"ON",Universe!$B$1860=""),"",Universe!$B$1860)</f>
        <v/>
      </c>
      <c r="EMA1" s="11">
        <f>IF(OR(SwitchROE&lt;&gt;"ON",Universe!$B$1861=""),"",Universe!$B$1861)</f>
        <v/>
      </c>
      <c r="EMC1" s="11">
        <f>IF(OR(SwitchROE&lt;&gt;"ON",Universe!$B$1862=""),"",Universe!$B$1862)</f>
        <v/>
      </c>
      <c r="EME1" s="11">
        <f>IF(OR(SwitchROE&lt;&gt;"ON",Universe!$B$1863=""),"",Universe!$B$1863)</f>
        <v/>
      </c>
      <c r="EMG1" s="11">
        <f>IF(OR(SwitchROE&lt;&gt;"ON",Universe!$B$1864=""),"",Universe!$B$1864)</f>
        <v/>
      </c>
      <c r="EMI1" s="11">
        <f>IF(OR(SwitchROE&lt;&gt;"ON",Universe!$B$1865=""),"",Universe!$B$1865)</f>
        <v/>
      </c>
      <c r="EMK1" s="11">
        <f>IF(OR(SwitchROE&lt;&gt;"ON",Universe!$B$1866=""),"",Universe!$B$1866)</f>
        <v/>
      </c>
      <c r="EMM1" s="11">
        <f>IF(OR(SwitchROE&lt;&gt;"ON",Universe!$B$1867=""),"",Universe!$B$1867)</f>
        <v/>
      </c>
      <c r="EMO1" s="11">
        <f>IF(OR(SwitchROE&lt;&gt;"ON",Universe!$B$1868=""),"",Universe!$B$1868)</f>
        <v/>
      </c>
      <c r="EMQ1" s="11">
        <f>IF(OR(SwitchROE&lt;&gt;"ON",Universe!$B$1869=""),"",Universe!$B$1869)</f>
        <v/>
      </c>
      <c r="EMS1" s="11">
        <f>IF(OR(SwitchROE&lt;&gt;"ON",Universe!$B$1870=""),"",Universe!$B$1870)</f>
        <v/>
      </c>
      <c r="EMU1" s="11">
        <f>IF(OR(SwitchROE&lt;&gt;"ON",Universe!$B$1871=""),"",Universe!$B$1871)</f>
        <v/>
      </c>
      <c r="EMW1" s="11">
        <f>IF(OR(SwitchROE&lt;&gt;"ON",Universe!$B$1872=""),"",Universe!$B$1872)</f>
        <v/>
      </c>
      <c r="EMY1" s="11">
        <f>IF(OR(SwitchROE&lt;&gt;"ON",Universe!$B$1873=""),"",Universe!$B$1873)</f>
        <v/>
      </c>
      <c r="ENA1" s="11">
        <f>IF(OR(SwitchROE&lt;&gt;"ON",Universe!$B$1874=""),"",Universe!$B$1874)</f>
        <v/>
      </c>
      <c r="ENC1" s="11">
        <f>IF(OR(SwitchROE&lt;&gt;"ON",Universe!$B$1875=""),"",Universe!$B$1875)</f>
        <v/>
      </c>
      <c r="ENE1" s="11">
        <f>IF(OR(SwitchROE&lt;&gt;"ON",Universe!$B$1876=""),"",Universe!$B$1876)</f>
        <v/>
      </c>
      <c r="ENG1" s="11">
        <f>IF(OR(SwitchROE&lt;&gt;"ON",Universe!$B$1877=""),"",Universe!$B$1877)</f>
        <v/>
      </c>
      <c r="ENI1" s="11">
        <f>IF(OR(SwitchROE&lt;&gt;"ON",Universe!$B$1878=""),"",Universe!$B$1878)</f>
        <v/>
      </c>
      <c r="ENK1" s="11">
        <f>IF(OR(SwitchROE&lt;&gt;"ON",Universe!$B$1879=""),"",Universe!$B$1879)</f>
        <v/>
      </c>
      <c r="ENM1" s="11">
        <f>IF(OR(SwitchROE&lt;&gt;"ON",Universe!$B$1880=""),"",Universe!$B$1880)</f>
        <v/>
      </c>
      <c r="ENO1" s="11">
        <f>IF(OR(SwitchROE&lt;&gt;"ON",Universe!$B$1881=""),"",Universe!$B$1881)</f>
        <v/>
      </c>
      <c r="ENQ1" s="11">
        <f>IF(OR(SwitchROE&lt;&gt;"ON",Universe!$B$1882=""),"",Universe!$B$1882)</f>
        <v/>
      </c>
      <c r="ENS1" s="11">
        <f>IF(OR(SwitchROE&lt;&gt;"ON",Universe!$B$1883=""),"",Universe!$B$1883)</f>
        <v/>
      </c>
      <c r="ENU1" s="11">
        <f>IF(OR(SwitchROE&lt;&gt;"ON",Universe!$B$1884=""),"",Universe!$B$1884)</f>
        <v/>
      </c>
      <c r="ENW1" s="11">
        <f>IF(OR(SwitchROE&lt;&gt;"ON",Universe!$B$1885=""),"",Universe!$B$1885)</f>
        <v/>
      </c>
      <c r="ENY1" s="11">
        <f>IF(OR(SwitchROE&lt;&gt;"ON",Universe!$B$1886=""),"",Universe!$B$1886)</f>
        <v/>
      </c>
      <c r="EOA1" s="11">
        <f>IF(OR(SwitchROE&lt;&gt;"ON",Universe!$B$1887=""),"",Universe!$B$1887)</f>
        <v/>
      </c>
      <c r="EOC1" s="11">
        <f>IF(OR(SwitchROE&lt;&gt;"ON",Universe!$B$1888=""),"",Universe!$B$1888)</f>
        <v/>
      </c>
      <c r="EOE1" s="11">
        <f>IF(OR(SwitchROE&lt;&gt;"ON",Universe!$B$1889=""),"",Universe!$B$1889)</f>
        <v/>
      </c>
      <c r="EOG1" s="11">
        <f>IF(OR(SwitchROE&lt;&gt;"ON",Universe!$B$1890=""),"",Universe!$B$1890)</f>
        <v/>
      </c>
      <c r="EOI1" s="11">
        <f>IF(OR(SwitchROE&lt;&gt;"ON",Universe!$B$1891=""),"",Universe!$B$1891)</f>
        <v/>
      </c>
      <c r="EOK1" s="11">
        <f>IF(OR(SwitchROE&lt;&gt;"ON",Universe!$B$1892=""),"",Universe!$B$1892)</f>
        <v/>
      </c>
      <c r="EOM1" s="11">
        <f>IF(OR(SwitchROE&lt;&gt;"ON",Universe!$B$1893=""),"",Universe!$B$1893)</f>
        <v/>
      </c>
      <c r="EOO1" s="11">
        <f>IF(OR(SwitchROE&lt;&gt;"ON",Universe!$B$1894=""),"",Universe!$B$1894)</f>
        <v/>
      </c>
      <c r="EOQ1" s="11">
        <f>IF(OR(SwitchROE&lt;&gt;"ON",Universe!$B$1895=""),"",Universe!$B$1895)</f>
        <v/>
      </c>
      <c r="EOS1" s="11">
        <f>IF(OR(SwitchROE&lt;&gt;"ON",Universe!$B$1896=""),"",Universe!$B$1896)</f>
        <v/>
      </c>
      <c r="EOU1" s="11">
        <f>IF(OR(SwitchROE&lt;&gt;"ON",Universe!$B$1897=""),"",Universe!$B$1897)</f>
        <v/>
      </c>
      <c r="EOW1" s="11">
        <f>IF(OR(SwitchROE&lt;&gt;"ON",Universe!$B$1898=""),"",Universe!$B$1898)</f>
        <v/>
      </c>
      <c r="EOY1" s="11">
        <f>IF(OR(SwitchROE&lt;&gt;"ON",Universe!$B$1899=""),"",Universe!$B$1899)</f>
        <v/>
      </c>
      <c r="EPA1" s="11">
        <f>IF(OR(SwitchROE&lt;&gt;"ON",Universe!$B$1900=""),"",Universe!$B$1900)</f>
        <v/>
      </c>
      <c r="EPC1" s="11">
        <f>IF(OR(SwitchROE&lt;&gt;"ON",Universe!$B$1901=""),"",Universe!$B$1901)</f>
        <v/>
      </c>
      <c r="EPE1" s="11">
        <f>IF(OR(SwitchROE&lt;&gt;"ON",Universe!$B$1902=""),"",Universe!$B$1902)</f>
        <v/>
      </c>
      <c r="EPG1" s="11">
        <f>IF(OR(SwitchROE&lt;&gt;"ON",Universe!$B$1903=""),"",Universe!$B$1903)</f>
        <v/>
      </c>
      <c r="EPI1" s="11">
        <f>IF(OR(SwitchROE&lt;&gt;"ON",Universe!$B$1904=""),"",Universe!$B$1904)</f>
        <v/>
      </c>
      <c r="EPK1" s="11">
        <f>IF(OR(SwitchROE&lt;&gt;"ON",Universe!$B$1905=""),"",Universe!$B$1905)</f>
        <v/>
      </c>
      <c r="EPM1" s="11">
        <f>IF(OR(SwitchROE&lt;&gt;"ON",Universe!$B$1906=""),"",Universe!$B$1906)</f>
        <v/>
      </c>
      <c r="EPO1" s="11">
        <f>IF(OR(SwitchROE&lt;&gt;"ON",Universe!$B$1907=""),"",Universe!$B$1907)</f>
        <v/>
      </c>
      <c r="EPQ1" s="11">
        <f>IF(OR(SwitchROE&lt;&gt;"ON",Universe!$B$1908=""),"",Universe!$B$1908)</f>
        <v/>
      </c>
      <c r="EPS1" s="11">
        <f>IF(OR(SwitchROE&lt;&gt;"ON",Universe!$B$1909=""),"",Universe!$B$1909)</f>
        <v/>
      </c>
      <c r="EPU1" s="11">
        <f>IF(OR(SwitchROE&lt;&gt;"ON",Universe!$B$1910=""),"",Universe!$B$1910)</f>
        <v/>
      </c>
      <c r="EPW1" s="11">
        <f>IF(OR(SwitchROE&lt;&gt;"ON",Universe!$B$1911=""),"",Universe!$B$1911)</f>
        <v/>
      </c>
      <c r="EPY1" s="11">
        <f>IF(OR(SwitchROE&lt;&gt;"ON",Universe!$B$1912=""),"",Universe!$B$1912)</f>
        <v/>
      </c>
      <c r="EQA1" s="11">
        <f>IF(OR(SwitchROE&lt;&gt;"ON",Universe!$B$1913=""),"",Universe!$B$1913)</f>
        <v/>
      </c>
      <c r="EQC1" s="11">
        <f>IF(OR(SwitchROE&lt;&gt;"ON",Universe!$B$1914=""),"",Universe!$B$1914)</f>
        <v/>
      </c>
      <c r="EQE1" s="11">
        <f>IF(OR(SwitchROE&lt;&gt;"ON",Universe!$B$1915=""),"",Universe!$B$1915)</f>
        <v/>
      </c>
      <c r="EQG1" s="11">
        <f>IF(OR(SwitchROE&lt;&gt;"ON",Universe!$B$1916=""),"",Universe!$B$1916)</f>
        <v/>
      </c>
      <c r="EQI1" s="11">
        <f>IF(OR(SwitchROE&lt;&gt;"ON",Universe!$B$1917=""),"",Universe!$B$1917)</f>
        <v/>
      </c>
      <c r="EQK1" s="11">
        <f>IF(OR(SwitchROE&lt;&gt;"ON",Universe!$B$1918=""),"",Universe!$B$1918)</f>
        <v/>
      </c>
      <c r="EQM1" s="11">
        <f>IF(OR(SwitchROE&lt;&gt;"ON",Universe!$B$1919=""),"",Universe!$B$1919)</f>
        <v/>
      </c>
      <c r="EQO1" s="11">
        <f>IF(OR(SwitchROE&lt;&gt;"ON",Universe!$B$1920=""),"",Universe!$B$1920)</f>
        <v/>
      </c>
      <c r="EQQ1" s="11">
        <f>IF(OR(SwitchROE&lt;&gt;"ON",Universe!$B$1921=""),"",Universe!$B$1921)</f>
        <v/>
      </c>
      <c r="EQS1" s="11">
        <f>IF(OR(SwitchROE&lt;&gt;"ON",Universe!$B$1922=""),"",Universe!$B$1922)</f>
        <v/>
      </c>
      <c r="EQU1" s="11">
        <f>IF(OR(SwitchROE&lt;&gt;"ON",Universe!$B$1923=""),"",Universe!$B$1923)</f>
        <v/>
      </c>
      <c r="EQW1" s="11">
        <f>IF(OR(SwitchROE&lt;&gt;"ON",Universe!$B$1924=""),"",Universe!$B$1924)</f>
        <v/>
      </c>
      <c r="EQY1" s="11">
        <f>IF(OR(SwitchROE&lt;&gt;"ON",Universe!$B$1925=""),"",Universe!$B$1925)</f>
        <v/>
      </c>
      <c r="ERA1" s="11">
        <f>IF(OR(SwitchROE&lt;&gt;"ON",Universe!$B$1926=""),"",Universe!$B$1926)</f>
        <v/>
      </c>
      <c r="ERC1" s="11">
        <f>IF(OR(SwitchROE&lt;&gt;"ON",Universe!$B$1927=""),"",Universe!$B$1927)</f>
        <v/>
      </c>
      <c r="ERE1" s="11">
        <f>IF(OR(SwitchROE&lt;&gt;"ON",Universe!$B$1928=""),"",Universe!$B$1928)</f>
        <v/>
      </c>
      <c r="ERG1" s="11">
        <f>IF(OR(SwitchROE&lt;&gt;"ON",Universe!$B$1929=""),"",Universe!$B$1929)</f>
        <v/>
      </c>
      <c r="ERI1" s="11">
        <f>IF(OR(SwitchROE&lt;&gt;"ON",Universe!$B$1930=""),"",Universe!$B$1930)</f>
        <v/>
      </c>
      <c r="ERK1" s="11">
        <f>IF(OR(SwitchROE&lt;&gt;"ON",Universe!$B$1931=""),"",Universe!$B$1931)</f>
        <v/>
      </c>
      <c r="ERM1" s="11">
        <f>IF(OR(SwitchROE&lt;&gt;"ON",Universe!$B$1932=""),"",Universe!$B$1932)</f>
        <v/>
      </c>
      <c r="ERO1" s="11">
        <f>IF(OR(SwitchROE&lt;&gt;"ON",Universe!$B$1933=""),"",Universe!$B$1933)</f>
        <v/>
      </c>
      <c r="ERQ1" s="11">
        <f>IF(OR(SwitchROE&lt;&gt;"ON",Universe!$B$1934=""),"",Universe!$B$1934)</f>
        <v/>
      </c>
      <c r="ERS1" s="11">
        <f>IF(OR(SwitchROE&lt;&gt;"ON",Universe!$B$1935=""),"",Universe!$B$1935)</f>
        <v/>
      </c>
      <c r="ERU1" s="11">
        <f>IF(OR(SwitchROE&lt;&gt;"ON",Universe!$B$1936=""),"",Universe!$B$1936)</f>
        <v/>
      </c>
      <c r="ERW1" s="11">
        <f>IF(OR(SwitchROE&lt;&gt;"ON",Universe!$B$1937=""),"",Universe!$B$1937)</f>
        <v/>
      </c>
      <c r="ERY1" s="11">
        <f>IF(OR(SwitchROE&lt;&gt;"ON",Universe!$B$1938=""),"",Universe!$B$1938)</f>
        <v/>
      </c>
      <c r="ESA1" s="11">
        <f>IF(OR(SwitchROE&lt;&gt;"ON",Universe!$B$1939=""),"",Universe!$B$1939)</f>
        <v/>
      </c>
      <c r="ESC1" s="11">
        <f>IF(OR(SwitchROE&lt;&gt;"ON",Universe!$B$1940=""),"",Universe!$B$1940)</f>
        <v/>
      </c>
      <c r="ESE1" s="11">
        <f>IF(OR(SwitchROE&lt;&gt;"ON",Universe!$B$1941=""),"",Universe!$B$1941)</f>
        <v/>
      </c>
      <c r="ESG1" s="11">
        <f>IF(OR(SwitchROE&lt;&gt;"ON",Universe!$B$1942=""),"",Universe!$B$1942)</f>
        <v/>
      </c>
      <c r="ESI1" s="11">
        <f>IF(OR(SwitchROE&lt;&gt;"ON",Universe!$B$1943=""),"",Universe!$B$1943)</f>
        <v/>
      </c>
      <c r="ESK1" s="11">
        <f>IF(OR(SwitchROE&lt;&gt;"ON",Universe!$B$1944=""),"",Universe!$B$1944)</f>
        <v/>
      </c>
      <c r="ESM1" s="11">
        <f>IF(OR(SwitchROE&lt;&gt;"ON",Universe!$B$1945=""),"",Universe!$B$1945)</f>
        <v/>
      </c>
      <c r="ESO1" s="11">
        <f>IF(OR(SwitchROE&lt;&gt;"ON",Universe!$B$1946=""),"",Universe!$B$1946)</f>
        <v/>
      </c>
      <c r="ESQ1" s="11">
        <f>IF(OR(SwitchROE&lt;&gt;"ON",Universe!$B$1947=""),"",Universe!$B$1947)</f>
        <v/>
      </c>
      <c r="ESS1" s="11">
        <f>IF(OR(SwitchROE&lt;&gt;"ON",Universe!$B$1948=""),"",Universe!$B$1948)</f>
        <v/>
      </c>
      <c r="ESU1" s="11">
        <f>IF(OR(SwitchROE&lt;&gt;"ON",Universe!$B$1949=""),"",Universe!$B$1949)</f>
        <v/>
      </c>
      <c r="ESW1" s="11">
        <f>IF(OR(SwitchROE&lt;&gt;"ON",Universe!$B$1950=""),"",Universe!$B$1950)</f>
        <v/>
      </c>
      <c r="ESY1" s="11">
        <f>IF(OR(SwitchROE&lt;&gt;"ON",Universe!$B$1951=""),"",Universe!$B$1951)</f>
        <v/>
      </c>
      <c r="ETA1" s="11">
        <f>IF(OR(SwitchROE&lt;&gt;"ON",Universe!$B$1952=""),"",Universe!$B$1952)</f>
        <v/>
      </c>
      <c r="ETC1" s="11">
        <f>IF(OR(SwitchROE&lt;&gt;"ON",Universe!$B$1953=""),"",Universe!$B$1953)</f>
        <v/>
      </c>
      <c r="ETE1" s="11">
        <f>IF(OR(SwitchROE&lt;&gt;"ON",Universe!$B$1954=""),"",Universe!$B$1954)</f>
        <v/>
      </c>
      <c r="ETG1" s="11">
        <f>IF(OR(SwitchROE&lt;&gt;"ON",Universe!$B$1955=""),"",Universe!$B$1955)</f>
        <v/>
      </c>
      <c r="ETI1" s="11">
        <f>IF(OR(SwitchROE&lt;&gt;"ON",Universe!$B$1956=""),"",Universe!$B$1956)</f>
        <v/>
      </c>
      <c r="ETK1" s="11">
        <f>IF(OR(SwitchROE&lt;&gt;"ON",Universe!$B$1957=""),"",Universe!$B$1957)</f>
        <v/>
      </c>
      <c r="ETM1" s="11">
        <f>IF(OR(SwitchROE&lt;&gt;"ON",Universe!$B$1958=""),"",Universe!$B$1958)</f>
        <v/>
      </c>
      <c r="ETO1" s="11">
        <f>IF(OR(SwitchROE&lt;&gt;"ON",Universe!$B$1959=""),"",Universe!$B$1959)</f>
        <v/>
      </c>
      <c r="ETQ1" s="11">
        <f>IF(OR(SwitchROE&lt;&gt;"ON",Universe!$B$1960=""),"",Universe!$B$1960)</f>
        <v/>
      </c>
      <c r="ETS1" s="11">
        <f>IF(OR(SwitchROE&lt;&gt;"ON",Universe!$B$1961=""),"",Universe!$B$1961)</f>
        <v/>
      </c>
      <c r="ETU1" s="11">
        <f>IF(OR(SwitchROE&lt;&gt;"ON",Universe!$B$1962=""),"",Universe!$B$1962)</f>
        <v/>
      </c>
      <c r="ETW1" s="11">
        <f>IF(OR(SwitchROE&lt;&gt;"ON",Universe!$B$1963=""),"",Universe!$B$1963)</f>
        <v/>
      </c>
      <c r="ETY1" s="11">
        <f>IF(OR(SwitchROE&lt;&gt;"ON",Universe!$B$1964=""),"",Universe!$B$1964)</f>
        <v/>
      </c>
      <c r="EUA1" s="11">
        <f>IF(OR(SwitchROE&lt;&gt;"ON",Universe!$B$1965=""),"",Universe!$B$1965)</f>
        <v/>
      </c>
      <c r="EUC1" s="11">
        <f>IF(OR(SwitchROE&lt;&gt;"ON",Universe!$B$1966=""),"",Universe!$B$1966)</f>
        <v/>
      </c>
      <c r="EUE1" s="11">
        <f>IF(OR(SwitchROE&lt;&gt;"ON",Universe!$B$1967=""),"",Universe!$B$1967)</f>
        <v/>
      </c>
      <c r="EUG1" s="11">
        <f>IF(OR(SwitchROE&lt;&gt;"ON",Universe!$B$1968=""),"",Universe!$B$1968)</f>
        <v/>
      </c>
      <c r="EUI1" s="11">
        <f>IF(OR(SwitchROE&lt;&gt;"ON",Universe!$B$1969=""),"",Universe!$B$1969)</f>
        <v/>
      </c>
      <c r="EUK1" s="11">
        <f>IF(OR(SwitchROE&lt;&gt;"ON",Universe!$B$1970=""),"",Universe!$B$1970)</f>
        <v/>
      </c>
      <c r="EUM1" s="11">
        <f>IF(OR(SwitchROE&lt;&gt;"ON",Universe!$B$1971=""),"",Universe!$B$1971)</f>
        <v/>
      </c>
      <c r="EUO1" s="11">
        <f>IF(OR(SwitchROE&lt;&gt;"ON",Universe!$B$1972=""),"",Universe!$B$1972)</f>
        <v/>
      </c>
      <c r="EUQ1" s="11">
        <f>IF(OR(SwitchROE&lt;&gt;"ON",Universe!$B$1973=""),"",Universe!$B$1973)</f>
        <v/>
      </c>
      <c r="EUS1" s="11">
        <f>IF(OR(SwitchROE&lt;&gt;"ON",Universe!$B$1974=""),"",Universe!$B$1974)</f>
        <v/>
      </c>
      <c r="EUU1" s="11">
        <f>IF(OR(SwitchROE&lt;&gt;"ON",Universe!$B$1975=""),"",Universe!$B$1975)</f>
        <v/>
      </c>
      <c r="EUW1" s="11">
        <f>IF(OR(SwitchROE&lt;&gt;"ON",Universe!$B$1976=""),"",Universe!$B$1976)</f>
        <v/>
      </c>
      <c r="EUY1" s="11">
        <f>IF(OR(SwitchROE&lt;&gt;"ON",Universe!$B$1977=""),"",Universe!$B$1977)</f>
        <v/>
      </c>
      <c r="EVA1" s="11">
        <f>IF(OR(SwitchROE&lt;&gt;"ON",Universe!$B$1978=""),"",Universe!$B$1978)</f>
        <v/>
      </c>
      <c r="EVC1" s="11">
        <f>IF(OR(SwitchROE&lt;&gt;"ON",Universe!$B$1979=""),"",Universe!$B$1979)</f>
        <v/>
      </c>
      <c r="EVE1" s="11">
        <f>IF(OR(SwitchROE&lt;&gt;"ON",Universe!$B$1980=""),"",Universe!$B$1980)</f>
        <v/>
      </c>
      <c r="EVG1" s="11">
        <f>IF(OR(SwitchROE&lt;&gt;"ON",Universe!$B$1981=""),"",Universe!$B$1981)</f>
        <v/>
      </c>
      <c r="EVI1" s="11">
        <f>IF(OR(SwitchROE&lt;&gt;"ON",Universe!$B$1982=""),"",Universe!$B$1982)</f>
        <v/>
      </c>
      <c r="EVK1" s="11">
        <f>IF(OR(SwitchROE&lt;&gt;"ON",Universe!$B$1983=""),"",Universe!$B$1983)</f>
        <v/>
      </c>
      <c r="EVM1" s="11">
        <f>IF(OR(SwitchROE&lt;&gt;"ON",Universe!$B$1984=""),"",Universe!$B$1984)</f>
        <v/>
      </c>
      <c r="EVO1" s="11">
        <f>IF(OR(SwitchROE&lt;&gt;"ON",Universe!$B$1985=""),"",Universe!$B$1985)</f>
        <v/>
      </c>
      <c r="EVQ1" s="11">
        <f>IF(OR(SwitchROE&lt;&gt;"ON",Universe!$B$1986=""),"",Universe!$B$1986)</f>
        <v/>
      </c>
      <c r="EVS1" s="11">
        <f>IF(OR(SwitchROE&lt;&gt;"ON",Universe!$B$1987=""),"",Universe!$B$1987)</f>
        <v/>
      </c>
      <c r="EVU1" s="11">
        <f>IF(OR(SwitchROE&lt;&gt;"ON",Universe!$B$1988=""),"",Universe!$B$1988)</f>
        <v/>
      </c>
      <c r="EVW1" s="11">
        <f>IF(OR(SwitchROE&lt;&gt;"ON",Universe!$B$1989=""),"",Universe!$B$1989)</f>
        <v/>
      </c>
      <c r="EVY1" s="11">
        <f>IF(OR(SwitchROE&lt;&gt;"ON",Universe!$B$1990=""),"",Universe!$B$1990)</f>
        <v/>
      </c>
      <c r="EWA1" s="11">
        <f>IF(OR(SwitchROE&lt;&gt;"ON",Universe!$B$1991=""),"",Universe!$B$1991)</f>
        <v/>
      </c>
      <c r="EWC1" s="11">
        <f>IF(OR(SwitchROE&lt;&gt;"ON",Universe!$B$1992=""),"",Universe!$B$1992)</f>
        <v/>
      </c>
      <c r="EWE1" s="11">
        <f>IF(OR(SwitchROE&lt;&gt;"ON",Universe!$B$1993=""),"",Universe!$B$1993)</f>
        <v/>
      </c>
      <c r="EWG1" s="11">
        <f>IF(OR(SwitchROE&lt;&gt;"ON",Universe!$B$1994=""),"",Universe!$B$1994)</f>
        <v/>
      </c>
      <c r="EWI1" s="11">
        <f>IF(OR(SwitchROE&lt;&gt;"ON",Universe!$B$1995=""),"",Universe!$B$1995)</f>
        <v/>
      </c>
      <c r="EWK1" s="11">
        <f>IF(OR(SwitchROE&lt;&gt;"ON",Universe!$B$1996=""),"",Universe!$B$1996)</f>
        <v/>
      </c>
      <c r="EWM1" s="11">
        <f>IF(OR(SwitchROE&lt;&gt;"ON",Universe!$B$1997=""),"",Universe!$B$1997)</f>
        <v/>
      </c>
      <c r="EWO1" s="11">
        <f>IF(OR(SwitchROE&lt;&gt;"ON",Universe!$B$1998=""),"",Universe!$B$1998)</f>
        <v/>
      </c>
      <c r="EWQ1" s="11">
        <f>IF(OR(SwitchROE&lt;&gt;"ON",Universe!$B$1999=""),"",Universe!$B$1999)</f>
        <v/>
      </c>
      <c r="EWS1" s="11">
        <f>IF(OR(SwitchROE&lt;&gt;"ON",Universe!$B$2000=""),"",Universe!$B$2000)</f>
        <v/>
      </c>
      <c r="EWU1" s="11">
        <f>IF(OR(SwitchROE&lt;&gt;"ON",Universe!$B$2001=""),"",Universe!$B$2001)</f>
        <v/>
      </c>
    </row>
    <row r="2" spans="1:4000">
      <c r="A2" s="8">
        <f>COUNT(B4:B400)</f>
        <v>0</v>
      </c>
      <c r="C2" s="8">
        <f>COUNT(D4:D400)</f>
        <v>0</v>
      </c>
      <c r="E2" s="8">
        <f>COUNT(F4:F400)</f>
        <v>0</v>
      </c>
      <c r="G2" s="8">
        <f>COUNT(H4:H400)</f>
        <v>0</v>
      </c>
      <c r="I2" s="8">
        <f>COUNT(J4:J400)</f>
        <v>0</v>
      </c>
      <c r="K2" s="8">
        <f>COUNT(L4:L400)</f>
        <v>0</v>
      </c>
      <c r="M2" s="8">
        <f>COUNT(N4:N400)</f>
        <v>0</v>
      </c>
      <c r="O2" s="8">
        <f>COUNT(P4:P400)</f>
        <v>0</v>
      </c>
      <c r="Q2" s="8">
        <f>COUNT(R4:R400)</f>
        <v>0</v>
      </c>
      <c r="S2" s="8">
        <f>COUNT(T4:T400)</f>
        <v>0</v>
      </c>
      <c r="U2" s="8">
        <f>COUNT(V4:V400)</f>
        <v>0</v>
      </c>
      <c r="W2" s="8">
        <f>COUNT(X4:X400)</f>
        <v>0</v>
      </c>
      <c r="Y2" s="8">
        <f>COUNT(Z4:Z400)</f>
        <v>0</v>
      </c>
      <c r="AA2" s="8">
        <f>COUNT(AB4:AB400)</f>
        <v>0</v>
      </c>
      <c r="AC2" s="8">
        <f>COUNT(AD4:AD400)</f>
        <v>0</v>
      </c>
      <c r="AE2" s="8">
        <f>COUNT(AF4:AF400)</f>
        <v>0</v>
      </c>
      <c r="AG2" s="8">
        <f>COUNT(AH4:AH400)</f>
        <v>0</v>
      </c>
      <c r="AI2" s="8">
        <f>COUNT(AJ4:AJ400)</f>
        <v>0</v>
      </c>
      <c r="AK2" s="8">
        <f>COUNT(AL4:AL400)</f>
        <v>0</v>
      </c>
      <c r="AM2" s="8">
        <f>COUNT(AN4:AN400)</f>
        <v>0</v>
      </c>
      <c r="AO2" s="8">
        <f>COUNT(AP4:AP400)</f>
        <v>0</v>
      </c>
      <c r="AQ2" s="8">
        <f>COUNT(AR4:AR400)</f>
        <v>0</v>
      </c>
      <c r="AS2" s="8">
        <f>COUNT(AT4:AT400)</f>
        <v>0</v>
      </c>
      <c r="AU2" s="8">
        <f>COUNT(AV4:AV400)</f>
        <v>0</v>
      </c>
      <c r="AW2" s="8">
        <f>COUNT(AX4:AX400)</f>
        <v>0</v>
      </c>
      <c r="AY2" s="8">
        <f>COUNT(AZ4:AZ400)</f>
        <v>0</v>
      </c>
      <c r="BA2" s="8">
        <f>COUNT(BB4:BB400)</f>
        <v>0</v>
      </c>
      <c r="BC2" s="8">
        <f>COUNT(BD4:BD400)</f>
        <v>0</v>
      </c>
      <c r="BE2" s="8">
        <f>COUNT(BF4:BF400)</f>
        <v>0</v>
      </c>
      <c r="BG2" s="8">
        <f>COUNT(BH4:BH400)</f>
        <v>0</v>
      </c>
      <c r="BI2" s="8">
        <f>COUNT(BJ4:BJ400)</f>
        <v>0</v>
      </c>
      <c r="BK2" s="8">
        <f>COUNT(BL4:BL400)</f>
        <v>0</v>
      </c>
      <c r="BM2" s="8">
        <f>COUNT(BN4:BN400)</f>
        <v>0</v>
      </c>
      <c r="BO2" s="8">
        <f>COUNT(BP4:BP400)</f>
        <v>0</v>
      </c>
      <c r="BQ2" s="8">
        <f>COUNT(BR4:BR400)</f>
        <v>0</v>
      </c>
      <c r="BS2" s="8">
        <f>COUNT(BT4:BT400)</f>
        <v>0</v>
      </c>
      <c r="BU2" s="8">
        <f>COUNT(BV4:BV400)</f>
        <v>0</v>
      </c>
      <c r="BW2" s="8">
        <f>COUNT(BX4:BX400)</f>
        <v>0</v>
      </c>
      <c r="BY2" s="8">
        <f>COUNT(BZ4:BZ400)</f>
        <v>0</v>
      </c>
      <c r="CA2" s="8">
        <f>COUNT(CB4:CB400)</f>
        <v>0</v>
      </c>
      <c r="CC2" s="8">
        <f>COUNT(CD4:CD400)</f>
        <v>0</v>
      </c>
      <c r="CE2" s="8">
        <f>COUNT(CF4:CF400)</f>
        <v>0</v>
      </c>
      <c r="CG2" s="8">
        <f>COUNT(CH4:CH400)</f>
        <v>0</v>
      </c>
      <c r="CI2" s="8">
        <f>COUNT(CJ4:CJ400)</f>
        <v>0</v>
      </c>
      <c r="CK2" s="8">
        <f>COUNT(CL4:CL400)</f>
        <v>0</v>
      </c>
      <c r="CM2" s="8">
        <f>COUNT(CN4:CN400)</f>
        <v>0</v>
      </c>
      <c r="CO2" s="8">
        <f>COUNT(CP4:CP400)</f>
        <v>0</v>
      </c>
      <c r="CQ2" s="8">
        <f>COUNT(CR4:CR400)</f>
        <v>0</v>
      </c>
      <c r="CS2" s="8">
        <f>COUNT(CT4:CT400)</f>
        <v>0</v>
      </c>
      <c r="CU2" s="8">
        <f>COUNT(CV4:CV400)</f>
        <v>0</v>
      </c>
      <c r="CW2" s="8">
        <f>COUNT(CX4:CX400)</f>
        <v>0</v>
      </c>
      <c r="CY2" s="8">
        <f>COUNT(CZ4:CZ400)</f>
        <v>0</v>
      </c>
      <c r="DA2" s="8">
        <f>COUNT(DB4:DB400)</f>
        <v>0</v>
      </c>
      <c r="DC2" s="8">
        <f>COUNT(DD4:DD400)</f>
        <v>0</v>
      </c>
      <c r="DE2" s="8">
        <f>COUNT(DF4:DF400)</f>
        <v>0</v>
      </c>
      <c r="DG2" s="8">
        <f>COUNT(DH4:DH400)</f>
        <v>0</v>
      </c>
      <c r="DI2" s="8">
        <f>COUNT(DJ4:DJ400)</f>
        <v>0</v>
      </c>
      <c r="DK2" s="8">
        <f>COUNT(DL4:DL400)</f>
        <v>0</v>
      </c>
      <c r="DM2" s="8">
        <f>COUNT(DN4:DN400)</f>
        <v>0</v>
      </c>
      <c r="DO2" s="8">
        <f>COUNT(DP4:DP400)</f>
        <v>0</v>
      </c>
      <c r="DQ2" s="8">
        <f>COUNT(DR4:DR400)</f>
        <v>0</v>
      </c>
      <c r="DS2" s="8">
        <f>COUNT(DT4:DT400)</f>
        <v>0</v>
      </c>
      <c r="DU2" s="8">
        <f>COUNT(DV4:DV400)</f>
        <v>0</v>
      </c>
      <c r="DW2" s="8">
        <f>COUNT(DX4:DX400)</f>
        <v>0</v>
      </c>
      <c r="DY2" s="8">
        <f>COUNT(DZ4:DZ400)</f>
        <v>0</v>
      </c>
      <c r="EA2" s="8">
        <f>COUNT(EB4:EB400)</f>
        <v>0</v>
      </c>
      <c r="EC2" s="8">
        <f>COUNT(ED4:ED400)</f>
        <v>0</v>
      </c>
      <c r="EE2" s="8">
        <f>COUNT(EF4:EF400)</f>
        <v>0</v>
      </c>
      <c r="EG2" s="8">
        <f>COUNT(EH4:EH400)</f>
        <v>0</v>
      </c>
      <c r="EI2" s="8">
        <f>COUNT(EJ4:EJ400)</f>
        <v>0</v>
      </c>
      <c r="EK2" s="8">
        <f>COUNT(EL4:EL400)</f>
        <v>0</v>
      </c>
      <c r="EM2" s="8">
        <f>COUNT(EN4:EN400)</f>
        <v>0</v>
      </c>
      <c r="EO2" s="8">
        <f>COUNT(EP4:EP400)</f>
        <v>0</v>
      </c>
      <c r="EQ2" s="8">
        <f>COUNT(ER4:ER400)</f>
        <v>0</v>
      </c>
      <c r="ES2" s="8">
        <f>COUNT(ET4:ET400)</f>
        <v>0</v>
      </c>
      <c r="EU2" s="8">
        <f>COUNT(EV4:EV400)</f>
        <v>0</v>
      </c>
      <c r="EW2" s="8">
        <f>COUNT(EX4:EX400)</f>
        <v>0</v>
      </c>
      <c r="EY2" s="8">
        <f>COUNT(EZ4:EZ400)</f>
        <v>0</v>
      </c>
      <c r="FA2" s="8">
        <f>COUNT(FB4:FB400)</f>
        <v>0</v>
      </c>
      <c r="FC2" s="8">
        <f>COUNT(FD4:FD400)</f>
        <v>0</v>
      </c>
      <c r="FE2" s="8">
        <f>COUNT(FF4:FF400)</f>
        <v>0</v>
      </c>
      <c r="FG2" s="8">
        <f>COUNT(FH4:FH400)</f>
        <v>0</v>
      </c>
      <c r="FI2" s="8">
        <f>COUNT(FJ4:FJ400)</f>
        <v>0</v>
      </c>
      <c r="FK2" s="8">
        <f>COUNT(FL4:FL400)</f>
        <v>0</v>
      </c>
      <c r="FM2" s="8">
        <f>COUNT(FN4:FN400)</f>
        <v>0</v>
      </c>
      <c r="FO2" s="8">
        <f>COUNT(FP4:FP400)</f>
        <v>0</v>
      </c>
      <c r="FQ2" s="8">
        <f>COUNT(FR4:FR400)</f>
        <v>0</v>
      </c>
      <c r="FS2" s="8">
        <f>COUNT(FT4:FT400)</f>
        <v>0</v>
      </c>
      <c r="FU2" s="8">
        <f>COUNT(FV4:FV400)</f>
        <v>0</v>
      </c>
      <c r="FW2" s="8">
        <f>COUNT(FX4:FX400)</f>
        <v>0</v>
      </c>
      <c r="FY2" s="8">
        <f>COUNT(FZ4:FZ400)</f>
        <v>0</v>
      </c>
      <c r="GA2" s="8">
        <f>COUNT(GB4:GB400)</f>
        <v>0</v>
      </c>
      <c r="GC2" s="8">
        <f>COUNT(GD4:GD400)</f>
        <v>0</v>
      </c>
      <c r="GE2" s="8">
        <f>COUNT(GF4:GF400)</f>
        <v>0</v>
      </c>
      <c r="GG2" s="8">
        <f>COUNT(GH4:GH400)</f>
        <v>0</v>
      </c>
      <c r="GI2" s="8">
        <f>COUNT(GJ4:GJ400)</f>
        <v>0</v>
      </c>
      <c r="GK2" s="8">
        <f>COUNT(GL4:GL400)</f>
        <v>0</v>
      </c>
      <c r="GM2" s="8">
        <f>COUNT(GN4:GN400)</f>
        <v>0</v>
      </c>
      <c r="GO2" s="8">
        <f>COUNT(GP4:GP400)</f>
        <v>0</v>
      </c>
      <c r="GQ2" s="8">
        <f>COUNT(GR4:GR400)</f>
        <v>0</v>
      </c>
      <c r="GS2" s="8">
        <f>COUNT(GT4:GT400)</f>
        <v>0</v>
      </c>
      <c r="GU2" s="8">
        <f>COUNT(GV4:GV400)</f>
        <v>0</v>
      </c>
      <c r="GW2" s="8">
        <f>COUNT(GX4:GX400)</f>
        <v>0</v>
      </c>
      <c r="GY2" s="8">
        <f>COUNT(GZ4:GZ400)</f>
        <v>0</v>
      </c>
      <c r="HA2" s="8">
        <f>COUNT(HB4:HB400)</f>
        <v>0</v>
      </c>
      <c r="HC2" s="8">
        <f>COUNT(HD4:HD400)</f>
        <v>0</v>
      </c>
      <c r="HE2" s="8">
        <f>COUNT(HF4:HF400)</f>
        <v>0</v>
      </c>
      <c r="HG2" s="8">
        <f>COUNT(HH4:HH400)</f>
        <v>0</v>
      </c>
      <c r="HI2" s="8">
        <f>COUNT(HJ4:HJ400)</f>
        <v>0</v>
      </c>
      <c r="HK2" s="8">
        <f>COUNT(HL4:HL400)</f>
        <v>0</v>
      </c>
      <c r="HM2" s="8">
        <f>COUNT(HN4:HN400)</f>
        <v>0</v>
      </c>
      <c r="HO2" s="8">
        <f>COUNT(HP4:HP400)</f>
        <v>0</v>
      </c>
      <c r="HQ2" s="8">
        <f>COUNT(HR4:HR400)</f>
        <v>0</v>
      </c>
      <c r="HS2" s="8">
        <f>COUNT(HT4:HT400)</f>
        <v>0</v>
      </c>
      <c r="HU2" s="8">
        <f>COUNT(HV4:HV400)</f>
        <v>0</v>
      </c>
      <c r="HW2" s="8">
        <f>COUNT(HX4:HX400)</f>
        <v>0</v>
      </c>
      <c r="HY2" s="8">
        <f>COUNT(HZ4:HZ400)</f>
        <v>0</v>
      </c>
      <c r="IA2" s="8">
        <f>COUNT(IB4:IB400)</f>
        <v>0</v>
      </c>
      <c r="IC2" s="8">
        <f>COUNT(ID4:ID400)</f>
        <v>0</v>
      </c>
      <c r="IE2" s="8">
        <f>COUNT(IF4:IF400)</f>
        <v>0</v>
      </c>
      <c r="IG2" s="8">
        <f>COUNT(IH4:IH400)</f>
        <v>0</v>
      </c>
      <c r="II2" s="8">
        <f>COUNT(IJ4:IJ400)</f>
        <v>0</v>
      </c>
      <c r="IK2" s="8">
        <f>COUNT(IL4:IL400)</f>
        <v>0</v>
      </c>
      <c r="IM2" s="8">
        <f>COUNT(IN4:IN400)</f>
        <v>0</v>
      </c>
      <c r="IO2" s="8">
        <f>COUNT(IP4:IP400)</f>
        <v>0</v>
      </c>
      <c r="IQ2" s="8">
        <f>COUNT(IR4:IR400)</f>
        <v>0</v>
      </c>
      <c r="IS2" s="8">
        <f>COUNT(IT4:IT400)</f>
        <v>0</v>
      </c>
      <c r="IU2" s="8">
        <f>COUNT(IV4:IV400)</f>
        <v>0</v>
      </c>
      <c r="IW2" s="8">
        <f>COUNT(IX4:IX400)</f>
        <v>0</v>
      </c>
      <c r="IY2" s="8">
        <f>COUNT(IZ4:IZ400)</f>
        <v>0</v>
      </c>
      <c r="JA2" s="8">
        <f>COUNT(JB4:JB400)</f>
        <v>0</v>
      </c>
      <c r="JC2" s="8">
        <f>COUNT(JD4:JD400)</f>
        <v>0</v>
      </c>
      <c r="JE2" s="8">
        <f>COUNT(JF4:JF400)</f>
        <v>0</v>
      </c>
      <c r="JG2" s="8">
        <f>COUNT(JH4:JH400)</f>
        <v>0</v>
      </c>
      <c r="JI2" s="8">
        <f>COUNT(JJ4:JJ400)</f>
        <v>0</v>
      </c>
      <c r="JK2" s="8">
        <f>COUNT(JL4:JL400)</f>
        <v>0</v>
      </c>
      <c r="JM2" s="8">
        <f>COUNT(JN4:JN400)</f>
        <v>0</v>
      </c>
      <c r="JO2" s="8">
        <f>COUNT(JP4:JP400)</f>
        <v>0</v>
      </c>
      <c r="JQ2" s="8">
        <f>COUNT(JR4:JR400)</f>
        <v>0</v>
      </c>
      <c r="JS2" s="8">
        <f>COUNT(JT4:JT400)</f>
        <v>0</v>
      </c>
      <c r="JU2" s="8">
        <f>COUNT(JV4:JV400)</f>
        <v>0</v>
      </c>
      <c r="JW2" s="8">
        <f>COUNT(JX4:JX400)</f>
        <v>0</v>
      </c>
      <c r="JY2" s="8">
        <f>COUNT(JZ4:JZ400)</f>
        <v>0</v>
      </c>
      <c r="KA2" s="8">
        <f>COUNT(KB4:KB400)</f>
        <v>0</v>
      </c>
      <c r="KC2" s="8">
        <f>COUNT(KD4:KD400)</f>
        <v>0</v>
      </c>
      <c r="KE2" s="8">
        <f>COUNT(KF4:KF400)</f>
        <v>0</v>
      </c>
      <c r="KG2" s="8">
        <f>COUNT(KH4:KH400)</f>
        <v>0</v>
      </c>
      <c r="KI2" s="8">
        <f>COUNT(KJ4:KJ400)</f>
        <v>0</v>
      </c>
      <c r="KK2" s="8">
        <f>COUNT(KL4:KL400)</f>
        <v>0</v>
      </c>
      <c r="KM2" s="8">
        <f>COUNT(KN4:KN400)</f>
        <v>0</v>
      </c>
      <c r="KO2" s="8">
        <f>COUNT(KP4:KP400)</f>
        <v>0</v>
      </c>
      <c r="KQ2" s="8">
        <f>COUNT(KR4:KR400)</f>
        <v>0</v>
      </c>
      <c r="KS2" s="8">
        <f>COUNT(KT4:KT400)</f>
        <v>0</v>
      </c>
      <c r="KU2" s="8">
        <f>COUNT(KV4:KV400)</f>
        <v>0</v>
      </c>
      <c r="KW2" s="8">
        <f>COUNT(KX4:KX400)</f>
        <v>0</v>
      </c>
      <c r="KY2" s="8">
        <f>COUNT(KZ4:KZ400)</f>
        <v>0</v>
      </c>
      <c r="LA2" s="8">
        <f>COUNT(LB4:LB400)</f>
        <v>0</v>
      </c>
      <c r="LC2" s="8">
        <f>COUNT(LD4:LD400)</f>
        <v>0</v>
      </c>
      <c r="LE2" s="8">
        <f>COUNT(LF4:LF400)</f>
        <v>0</v>
      </c>
      <c r="LG2" s="8">
        <f>COUNT(LH4:LH400)</f>
        <v>0</v>
      </c>
      <c r="LI2" s="8">
        <f>COUNT(LJ4:LJ400)</f>
        <v>0</v>
      </c>
      <c r="LK2" s="8">
        <f>COUNT(LL4:LL400)</f>
        <v>0</v>
      </c>
      <c r="LM2" s="8">
        <f>COUNT(LN4:LN400)</f>
        <v>0</v>
      </c>
      <c r="LO2" s="8">
        <f>COUNT(LP4:LP400)</f>
        <v>0</v>
      </c>
      <c r="LQ2" s="8">
        <f>COUNT(LR4:LR400)</f>
        <v>0</v>
      </c>
      <c r="LS2" s="8">
        <f>COUNT(LT4:LT400)</f>
        <v>0</v>
      </c>
      <c r="LU2" s="8">
        <f>COUNT(LV4:LV400)</f>
        <v>0</v>
      </c>
      <c r="LW2" s="8">
        <f>COUNT(LX4:LX400)</f>
        <v>0</v>
      </c>
      <c r="LY2" s="8">
        <f>COUNT(LZ4:LZ400)</f>
        <v>0</v>
      </c>
      <c r="MA2" s="8">
        <f>COUNT(MB4:MB400)</f>
        <v>0</v>
      </c>
      <c r="MC2" s="8">
        <f>COUNT(MD4:MD400)</f>
        <v>0</v>
      </c>
      <c r="ME2" s="8">
        <f>COUNT(MF4:MF400)</f>
        <v>0</v>
      </c>
      <c r="MG2" s="8">
        <f>COUNT(MH4:MH400)</f>
        <v>0</v>
      </c>
      <c r="MI2" s="8">
        <f>COUNT(MJ4:MJ400)</f>
        <v>0</v>
      </c>
      <c r="MK2" s="8">
        <f>COUNT(ML4:ML400)</f>
        <v>0</v>
      </c>
      <c r="MM2" s="8">
        <f>COUNT(MN4:MN400)</f>
        <v>0</v>
      </c>
      <c r="MO2" s="8">
        <f>COUNT(MP4:MP400)</f>
        <v>0</v>
      </c>
      <c r="MQ2" s="8">
        <f>COUNT(MR4:MR400)</f>
        <v>0</v>
      </c>
      <c r="MS2" s="8">
        <f>COUNT(MT4:MT400)</f>
        <v>0</v>
      </c>
      <c r="MU2" s="8">
        <f>COUNT(MV4:MV400)</f>
        <v>0</v>
      </c>
      <c r="MW2" s="8">
        <f>COUNT(MX4:MX400)</f>
        <v>0</v>
      </c>
      <c r="MY2" s="8">
        <f>COUNT(MZ4:MZ400)</f>
        <v>0</v>
      </c>
      <c r="NA2" s="8">
        <f>COUNT(NB4:NB400)</f>
        <v>0</v>
      </c>
      <c r="NC2" s="8">
        <f>COUNT(ND4:ND400)</f>
        <v>0</v>
      </c>
      <c r="NE2" s="8">
        <f>COUNT(NF4:NF400)</f>
        <v>0</v>
      </c>
      <c r="NG2" s="8">
        <f>COUNT(NH4:NH400)</f>
        <v>0</v>
      </c>
      <c r="NI2" s="8">
        <f>COUNT(NJ4:NJ400)</f>
        <v>0</v>
      </c>
      <c r="NK2" s="8">
        <f>COUNT(NL4:NL400)</f>
        <v>0</v>
      </c>
      <c r="NM2" s="8">
        <f>COUNT(NN4:NN400)</f>
        <v>0</v>
      </c>
      <c r="NO2" s="8">
        <f>COUNT(NP4:NP400)</f>
        <v>0</v>
      </c>
      <c r="NQ2" s="8">
        <f>COUNT(NR4:NR400)</f>
        <v>0</v>
      </c>
      <c r="NS2" s="8">
        <f>COUNT(NT4:NT400)</f>
        <v>0</v>
      </c>
      <c r="NU2" s="8">
        <f>COUNT(NV4:NV400)</f>
        <v>0</v>
      </c>
      <c r="NW2" s="8">
        <f>COUNT(NX4:NX400)</f>
        <v>0</v>
      </c>
      <c r="NY2" s="8">
        <f>COUNT(NZ4:NZ400)</f>
        <v>0</v>
      </c>
      <c r="OA2" s="8">
        <f>COUNT(OB4:OB400)</f>
        <v>0</v>
      </c>
      <c r="OC2" s="8">
        <f>COUNT(OD4:OD400)</f>
        <v>0</v>
      </c>
      <c r="OE2" s="8">
        <f>COUNT(OF4:OF400)</f>
        <v>0</v>
      </c>
      <c r="OG2" s="8">
        <f>COUNT(OH4:OH400)</f>
        <v>0</v>
      </c>
      <c r="OI2" s="8">
        <f>COUNT(OJ4:OJ400)</f>
        <v>0</v>
      </c>
      <c r="OK2" s="8">
        <f>COUNT(OL4:OL400)</f>
        <v>0</v>
      </c>
      <c r="OM2" s="8">
        <f>COUNT(ON4:ON400)</f>
        <v>0</v>
      </c>
      <c r="OO2" s="8">
        <f>COUNT(OP4:OP400)</f>
        <v>0</v>
      </c>
      <c r="OQ2" s="8">
        <f>COUNT(OR4:OR400)</f>
        <v>0</v>
      </c>
      <c r="OS2" s="8">
        <f>COUNT(OT4:OT400)</f>
        <v>0</v>
      </c>
      <c r="OU2" s="8">
        <f>COUNT(OV4:OV400)</f>
        <v>0</v>
      </c>
      <c r="OW2" s="8">
        <f>COUNT(OX4:OX400)</f>
        <v>0</v>
      </c>
      <c r="OY2" s="8">
        <f>COUNT(OZ4:OZ400)</f>
        <v>0</v>
      </c>
      <c r="PA2" s="8">
        <f>COUNT(PB4:PB400)</f>
        <v>0</v>
      </c>
      <c r="PC2" s="8">
        <f>COUNT(PD4:PD400)</f>
        <v>0</v>
      </c>
      <c r="PE2" s="8">
        <f>COUNT(PF4:PF400)</f>
        <v>0</v>
      </c>
      <c r="PG2" s="8">
        <f>COUNT(PH4:PH400)</f>
        <v>0</v>
      </c>
      <c r="PI2" s="8">
        <f>COUNT(PJ4:PJ400)</f>
        <v>0</v>
      </c>
      <c r="PK2" s="8">
        <f>COUNT(PL4:PL400)</f>
        <v>0</v>
      </c>
      <c r="PM2" s="8">
        <f>COUNT(PN4:PN400)</f>
        <v>0</v>
      </c>
      <c r="PO2" s="8">
        <f>COUNT(PP4:PP400)</f>
        <v>0</v>
      </c>
      <c r="PQ2" s="8">
        <f>COUNT(PR4:PR400)</f>
        <v>0</v>
      </c>
      <c r="PS2" s="8">
        <f>COUNT(PT4:PT400)</f>
        <v>0</v>
      </c>
      <c r="PU2" s="8">
        <f>COUNT(PV4:PV400)</f>
        <v>0</v>
      </c>
      <c r="PW2" s="8">
        <f>COUNT(PX4:PX400)</f>
        <v>0</v>
      </c>
      <c r="PY2" s="8">
        <f>COUNT(PZ4:PZ400)</f>
        <v>0</v>
      </c>
      <c r="QA2" s="8">
        <f>COUNT(QB4:QB400)</f>
        <v>0</v>
      </c>
      <c r="QC2" s="8">
        <f>COUNT(QD4:QD400)</f>
        <v>0</v>
      </c>
      <c r="QE2" s="8">
        <f>COUNT(QF4:QF400)</f>
        <v>0</v>
      </c>
      <c r="QG2" s="8">
        <f>COUNT(QH4:QH400)</f>
        <v>0</v>
      </c>
      <c r="QI2" s="8">
        <f>COUNT(QJ4:QJ400)</f>
        <v>0</v>
      </c>
      <c r="QK2" s="8">
        <f>COUNT(QL4:QL400)</f>
        <v>0</v>
      </c>
      <c r="QM2" s="8">
        <f>COUNT(QN4:QN400)</f>
        <v>0</v>
      </c>
      <c r="QO2" s="8">
        <f>COUNT(QP4:QP400)</f>
        <v>0</v>
      </c>
      <c r="QQ2" s="8">
        <f>COUNT(QR4:QR400)</f>
        <v>0</v>
      </c>
      <c r="QS2" s="8">
        <f>COUNT(QT4:QT400)</f>
        <v>0</v>
      </c>
      <c r="QU2" s="8">
        <f>COUNT(QV4:QV400)</f>
        <v>0</v>
      </c>
      <c r="QW2" s="8">
        <f>COUNT(QX4:QX400)</f>
        <v>0</v>
      </c>
      <c r="QY2" s="8">
        <f>COUNT(QZ4:QZ400)</f>
        <v>0</v>
      </c>
      <c r="RA2" s="8">
        <f>COUNT(RB4:RB400)</f>
        <v>0</v>
      </c>
      <c r="RC2" s="8">
        <f>COUNT(RD4:RD400)</f>
        <v>0</v>
      </c>
      <c r="RE2" s="8">
        <f>COUNT(RF4:RF400)</f>
        <v>0</v>
      </c>
      <c r="RG2" s="8">
        <f>COUNT(RH4:RH400)</f>
        <v>0</v>
      </c>
      <c r="RI2" s="8">
        <f>COUNT(RJ4:RJ400)</f>
        <v>0</v>
      </c>
      <c r="RK2" s="8">
        <f>COUNT(RL4:RL400)</f>
        <v>0</v>
      </c>
      <c r="RM2" s="8">
        <f>COUNT(RN4:RN400)</f>
        <v>0</v>
      </c>
      <c r="RO2" s="8">
        <f>COUNT(RP4:RP400)</f>
        <v>0</v>
      </c>
      <c r="RQ2" s="8">
        <f>COUNT(RR4:RR400)</f>
        <v>0</v>
      </c>
      <c r="RS2" s="8">
        <f>COUNT(RT4:RT400)</f>
        <v>0</v>
      </c>
      <c r="RU2" s="8">
        <f>COUNT(RV4:RV400)</f>
        <v>0</v>
      </c>
      <c r="RW2" s="8">
        <f>COUNT(RX4:RX400)</f>
        <v>0</v>
      </c>
      <c r="RY2" s="8">
        <f>COUNT(RZ4:RZ400)</f>
        <v>0</v>
      </c>
      <c r="SA2" s="8">
        <f>COUNT(SB4:SB400)</f>
        <v>0</v>
      </c>
      <c r="SC2" s="8">
        <f>COUNT(SD4:SD400)</f>
        <v>0</v>
      </c>
      <c r="SE2" s="8">
        <f>COUNT(SF4:SF400)</f>
        <v>0</v>
      </c>
      <c r="SG2" s="8">
        <f>COUNT(SH4:SH400)</f>
        <v>0</v>
      </c>
      <c r="SI2" s="8">
        <f>COUNT(SJ4:SJ400)</f>
        <v>0</v>
      </c>
      <c r="SK2" s="8">
        <f>COUNT(SL4:SL400)</f>
        <v>0</v>
      </c>
      <c r="SM2" s="8">
        <f>COUNT(SN4:SN400)</f>
        <v>0</v>
      </c>
      <c r="SO2" s="8">
        <f>COUNT(SP4:SP400)</f>
        <v>0</v>
      </c>
      <c r="SQ2" s="8">
        <f>COUNT(SR4:SR400)</f>
        <v>0</v>
      </c>
      <c r="SS2" s="8">
        <f>COUNT(ST4:ST400)</f>
        <v>0</v>
      </c>
      <c r="SU2" s="8">
        <f>COUNT(SV4:SV400)</f>
        <v>0</v>
      </c>
      <c r="SW2" s="8">
        <f>COUNT(SX4:SX400)</f>
        <v>0</v>
      </c>
      <c r="SY2" s="8">
        <f>COUNT(SZ4:SZ400)</f>
        <v>0</v>
      </c>
      <c r="TA2" s="8">
        <f>COUNT(TB4:TB400)</f>
        <v>0</v>
      </c>
      <c r="TC2" s="8">
        <f>COUNT(TD4:TD400)</f>
        <v>0</v>
      </c>
      <c r="TE2" s="8">
        <f>COUNT(TF4:TF400)</f>
        <v>0</v>
      </c>
      <c r="TG2" s="8">
        <f>COUNT(TH4:TH400)</f>
        <v>0</v>
      </c>
      <c r="TI2" s="8">
        <f>COUNT(TJ4:TJ400)</f>
        <v>0</v>
      </c>
      <c r="TK2" s="8">
        <f>COUNT(TL4:TL400)</f>
        <v>0</v>
      </c>
      <c r="TM2" s="8">
        <f>COUNT(TN4:TN400)</f>
        <v>0</v>
      </c>
      <c r="TO2" s="8">
        <f>COUNT(TP4:TP400)</f>
        <v>0</v>
      </c>
      <c r="TQ2" s="8">
        <f>COUNT(TR4:TR400)</f>
        <v>0</v>
      </c>
      <c r="TS2" s="8">
        <f>COUNT(TT4:TT400)</f>
        <v>0</v>
      </c>
      <c r="TU2" s="8">
        <f>COUNT(TV4:TV400)</f>
        <v>0</v>
      </c>
      <c r="TW2" s="8">
        <f>COUNT(TX4:TX400)</f>
        <v>0</v>
      </c>
      <c r="TY2" s="8">
        <f>COUNT(TZ4:TZ400)</f>
        <v>0</v>
      </c>
      <c r="UA2" s="8">
        <f>COUNT(UB4:UB400)</f>
        <v>0</v>
      </c>
      <c r="UC2" s="8">
        <f>COUNT(UD4:UD400)</f>
        <v>0</v>
      </c>
      <c r="UE2" s="8">
        <f>COUNT(UF4:UF400)</f>
        <v>0</v>
      </c>
      <c r="UG2" s="8">
        <f>COUNT(UH4:UH400)</f>
        <v>0</v>
      </c>
      <c r="UI2" s="8">
        <f>COUNT(UJ4:UJ400)</f>
        <v>0</v>
      </c>
      <c r="UK2" s="8">
        <f>COUNT(UL4:UL400)</f>
        <v>0</v>
      </c>
      <c r="UM2" s="8">
        <f>COUNT(UN4:UN400)</f>
        <v>0</v>
      </c>
      <c r="UO2" s="8">
        <f>COUNT(UP4:UP400)</f>
        <v>0</v>
      </c>
      <c r="UQ2" s="8">
        <f>COUNT(UR4:UR400)</f>
        <v>0</v>
      </c>
      <c r="US2" s="8">
        <f>COUNT(UT4:UT400)</f>
        <v>0</v>
      </c>
      <c r="UU2" s="8">
        <f>COUNT(UV4:UV400)</f>
        <v>0</v>
      </c>
      <c r="UW2" s="8">
        <f>COUNT(UX4:UX400)</f>
        <v>0</v>
      </c>
      <c r="UY2" s="8">
        <f>COUNT(UZ4:UZ400)</f>
        <v>0</v>
      </c>
      <c r="VA2" s="8">
        <f>COUNT(VB4:VB400)</f>
        <v>0</v>
      </c>
      <c r="VC2" s="8">
        <f>COUNT(VD4:VD400)</f>
        <v>0</v>
      </c>
      <c r="VE2" s="8">
        <f>COUNT(VF4:VF400)</f>
        <v>0</v>
      </c>
      <c r="VG2" s="8">
        <f>COUNT(VH4:VH400)</f>
        <v>0</v>
      </c>
      <c r="VI2" s="8">
        <f>COUNT(VJ4:VJ400)</f>
        <v>0</v>
      </c>
      <c r="VK2" s="8">
        <f>COUNT(VL4:VL400)</f>
        <v>0</v>
      </c>
      <c r="VM2" s="8">
        <f>COUNT(VN4:VN400)</f>
        <v>0</v>
      </c>
      <c r="VO2" s="8">
        <f>COUNT(VP4:VP400)</f>
        <v>0</v>
      </c>
      <c r="VQ2" s="8">
        <f>COUNT(VR4:VR400)</f>
        <v>0</v>
      </c>
      <c r="VS2" s="8">
        <f>COUNT(VT4:VT400)</f>
        <v>0</v>
      </c>
      <c r="VU2" s="8">
        <f>COUNT(VV4:VV400)</f>
        <v>0</v>
      </c>
      <c r="VW2" s="8">
        <f>COUNT(VX4:VX400)</f>
        <v>0</v>
      </c>
      <c r="VY2" s="8">
        <f>COUNT(VZ4:VZ400)</f>
        <v>0</v>
      </c>
      <c r="WA2" s="8">
        <f>COUNT(WB4:WB400)</f>
        <v>0</v>
      </c>
      <c r="WC2" s="8">
        <f>COUNT(WD4:WD400)</f>
        <v>0</v>
      </c>
      <c r="WE2" s="8">
        <f>COUNT(WF4:WF400)</f>
        <v>0</v>
      </c>
      <c r="WG2" s="8">
        <f>COUNT(WH4:WH400)</f>
        <v>0</v>
      </c>
      <c r="WI2" s="8">
        <f>COUNT(WJ4:WJ400)</f>
        <v>0</v>
      </c>
      <c r="WK2" s="8">
        <f>COUNT(WL4:WL400)</f>
        <v>0</v>
      </c>
      <c r="WM2" s="8">
        <f>COUNT(WN4:WN400)</f>
        <v>0</v>
      </c>
      <c r="WO2" s="8">
        <f>COUNT(WP4:WP400)</f>
        <v>0</v>
      </c>
      <c r="WQ2" s="8">
        <f>COUNT(WR4:WR400)</f>
        <v>0</v>
      </c>
      <c r="WS2" s="8">
        <f>COUNT(WT4:WT400)</f>
        <v>0</v>
      </c>
      <c r="WU2" s="8">
        <f>COUNT(WV4:WV400)</f>
        <v>0</v>
      </c>
      <c r="WW2" s="8">
        <f>COUNT(WX4:WX400)</f>
        <v>0</v>
      </c>
      <c r="WY2" s="8">
        <f>COUNT(WZ4:WZ400)</f>
        <v>0</v>
      </c>
      <c r="XA2" s="8">
        <f>COUNT(XB4:XB400)</f>
        <v>0</v>
      </c>
      <c r="XC2" s="8">
        <f>COUNT(XD4:XD400)</f>
        <v>0</v>
      </c>
      <c r="XE2" s="8">
        <f>COUNT(XF4:XF400)</f>
        <v>0</v>
      </c>
      <c r="XG2" s="8">
        <f>COUNT(XH4:XH400)</f>
        <v>0</v>
      </c>
      <c r="XI2" s="8">
        <f>COUNT(XJ4:XJ400)</f>
        <v>0</v>
      </c>
      <c r="XK2" s="8">
        <f>COUNT(XL4:XL400)</f>
        <v>0</v>
      </c>
      <c r="XM2" s="8">
        <f>COUNT(XN4:XN400)</f>
        <v>0</v>
      </c>
      <c r="XO2" s="8">
        <f>COUNT(XP4:XP400)</f>
        <v>0</v>
      </c>
      <c r="XQ2" s="8">
        <f>COUNT(XR4:XR400)</f>
        <v>0</v>
      </c>
      <c r="XS2" s="8">
        <f>COUNT(XT4:XT400)</f>
        <v>0</v>
      </c>
      <c r="XU2" s="8">
        <f>COUNT(XV4:XV400)</f>
        <v>0</v>
      </c>
      <c r="XW2" s="8">
        <f>COUNT(XX4:XX400)</f>
        <v>0</v>
      </c>
      <c r="XY2" s="8">
        <f>COUNT(XZ4:XZ400)</f>
        <v>0</v>
      </c>
      <c r="YA2" s="8">
        <f>COUNT(YB4:YB400)</f>
        <v>0</v>
      </c>
      <c r="YC2" s="8">
        <f>COUNT(YD4:YD400)</f>
        <v>0</v>
      </c>
      <c r="YE2" s="8">
        <f>COUNT(YF4:YF400)</f>
        <v>0</v>
      </c>
      <c r="YG2" s="8">
        <f>COUNT(YH4:YH400)</f>
        <v>0</v>
      </c>
      <c r="YI2" s="8">
        <f>COUNT(YJ4:YJ400)</f>
        <v>0</v>
      </c>
      <c r="YK2" s="8">
        <f>COUNT(YL4:YL400)</f>
        <v>0</v>
      </c>
      <c r="YM2" s="8">
        <f>COUNT(YN4:YN400)</f>
        <v>0</v>
      </c>
      <c r="YO2" s="8">
        <f>COUNT(YP4:YP400)</f>
        <v>0</v>
      </c>
      <c r="YQ2" s="8">
        <f>COUNT(YR4:YR400)</f>
        <v>0</v>
      </c>
      <c r="YS2" s="8">
        <f>COUNT(YT4:YT400)</f>
        <v>0</v>
      </c>
      <c r="YU2" s="8">
        <f>COUNT(YV4:YV400)</f>
        <v>0</v>
      </c>
      <c r="YW2" s="8">
        <f>COUNT(YX4:YX400)</f>
        <v>0</v>
      </c>
      <c r="YY2" s="8">
        <f>COUNT(YZ4:YZ400)</f>
        <v>0</v>
      </c>
      <c r="ZA2" s="8">
        <f>COUNT(ZB4:ZB400)</f>
        <v>0</v>
      </c>
      <c r="ZC2" s="8">
        <f>COUNT(ZD4:ZD400)</f>
        <v>0</v>
      </c>
      <c r="ZE2" s="8">
        <f>COUNT(ZF4:ZF400)</f>
        <v>0</v>
      </c>
      <c r="ZG2" s="8">
        <f>COUNT(ZH4:ZH400)</f>
        <v>0</v>
      </c>
      <c r="ZI2" s="8">
        <f>COUNT(ZJ4:ZJ400)</f>
        <v>0</v>
      </c>
      <c r="ZK2" s="8">
        <f>COUNT(ZL4:ZL400)</f>
        <v>0</v>
      </c>
      <c r="ZM2" s="8">
        <f>COUNT(ZN4:ZN400)</f>
        <v>0</v>
      </c>
      <c r="ZO2" s="8">
        <f>COUNT(ZP4:ZP400)</f>
        <v>0</v>
      </c>
      <c r="ZQ2" s="8">
        <f>COUNT(ZR4:ZR400)</f>
        <v>0</v>
      </c>
      <c r="ZS2" s="8">
        <f>COUNT(ZT4:ZT400)</f>
        <v>0</v>
      </c>
      <c r="ZU2" s="8">
        <f>COUNT(ZV4:ZV400)</f>
        <v>0</v>
      </c>
      <c r="ZW2" s="8">
        <f>COUNT(ZX4:ZX400)</f>
        <v>0</v>
      </c>
      <c r="ZY2" s="8">
        <f>COUNT(ZZ4:ZZ400)</f>
        <v>0</v>
      </c>
      <c r="AAA2" s="8">
        <f>COUNT(AAB4:AAB400)</f>
        <v>0</v>
      </c>
      <c r="AAC2" s="8">
        <f>COUNT(AAD4:AAD400)</f>
        <v>0</v>
      </c>
      <c r="AAE2" s="8">
        <f>COUNT(AAF4:AAF400)</f>
        <v>0</v>
      </c>
      <c r="AAG2" s="8">
        <f>COUNT(AAH4:AAH400)</f>
        <v>0</v>
      </c>
      <c r="AAI2" s="8">
        <f>COUNT(AAJ4:AAJ400)</f>
        <v>0</v>
      </c>
      <c r="AAK2" s="8">
        <f>COUNT(AAL4:AAL400)</f>
        <v>0</v>
      </c>
      <c r="AAM2" s="8">
        <f>COUNT(AAN4:AAN400)</f>
        <v>0</v>
      </c>
      <c r="AAO2" s="8">
        <f>COUNT(AAP4:AAP400)</f>
        <v>0</v>
      </c>
      <c r="AAQ2" s="8">
        <f>COUNT(AAR4:AAR400)</f>
        <v>0</v>
      </c>
      <c r="AAS2" s="8">
        <f>COUNT(AAT4:AAT400)</f>
        <v>0</v>
      </c>
      <c r="AAU2" s="8">
        <f>COUNT(AAV4:AAV400)</f>
        <v>0</v>
      </c>
      <c r="AAW2" s="8">
        <f>COUNT(AAX4:AAX400)</f>
        <v>0</v>
      </c>
      <c r="AAY2" s="8">
        <f>COUNT(AAZ4:AAZ400)</f>
        <v>0</v>
      </c>
      <c r="ABA2" s="8">
        <f>COUNT(ABB4:ABB400)</f>
        <v>0</v>
      </c>
      <c r="ABC2" s="8">
        <f>COUNT(ABD4:ABD400)</f>
        <v>0</v>
      </c>
      <c r="ABE2" s="8">
        <f>COUNT(ABF4:ABF400)</f>
        <v>0</v>
      </c>
      <c r="ABG2" s="8">
        <f>COUNT(ABH4:ABH400)</f>
        <v>0</v>
      </c>
      <c r="ABI2" s="8">
        <f>COUNT(ABJ4:ABJ400)</f>
        <v>0</v>
      </c>
      <c r="ABK2" s="8">
        <f>COUNT(ABL4:ABL400)</f>
        <v>0</v>
      </c>
      <c r="ABM2" s="8">
        <f>COUNT(ABN4:ABN400)</f>
        <v>0</v>
      </c>
      <c r="ABO2" s="8">
        <f>COUNT(ABP4:ABP400)</f>
        <v>0</v>
      </c>
      <c r="ABQ2" s="8">
        <f>COUNT(ABR4:ABR400)</f>
        <v>0</v>
      </c>
      <c r="ABS2" s="8">
        <f>COUNT(ABT4:ABT400)</f>
        <v>0</v>
      </c>
      <c r="ABU2" s="8">
        <f>COUNT(ABV4:ABV400)</f>
        <v>0</v>
      </c>
      <c r="ABW2" s="8">
        <f>COUNT(ABX4:ABX400)</f>
        <v>0</v>
      </c>
      <c r="ABY2" s="8">
        <f>COUNT(ABZ4:ABZ400)</f>
        <v>0</v>
      </c>
      <c r="ACA2" s="8">
        <f>COUNT(ACB4:ACB400)</f>
        <v>0</v>
      </c>
      <c r="ACC2" s="8">
        <f>COUNT(ACD4:ACD400)</f>
        <v>0</v>
      </c>
      <c r="ACE2" s="8">
        <f>COUNT(ACF4:ACF400)</f>
        <v>0</v>
      </c>
      <c r="ACG2" s="8">
        <f>COUNT(ACH4:ACH400)</f>
        <v>0</v>
      </c>
      <c r="ACI2" s="8">
        <f>COUNT(ACJ4:ACJ400)</f>
        <v>0</v>
      </c>
      <c r="ACK2" s="8">
        <f>COUNT(ACL4:ACL400)</f>
        <v>0</v>
      </c>
      <c r="ACM2" s="8">
        <f>COUNT(ACN4:ACN400)</f>
        <v>0</v>
      </c>
      <c r="ACO2" s="8">
        <f>COUNT(ACP4:ACP400)</f>
        <v>0</v>
      </c>
      <c r="ACQ2" s="8">
        <f>COUNT(ACR4:ACR400)</f>
        <v>0</v>
      </c>
      <c r="ACS2" s="8">
        <f>COUNT(ACT4:ACT400)</f>
        <v>0</v>
      </c>
      <c r="ACU2" s="8">
        <f>COUNT(ACV4:ACV400)</f>
        <v>0</v>
      </c>
      <c r="ACW2" s="8">
        <f>COUNT(ACX4:ACX400)</f>
        <v>0</v>
      </c>
      <c r="ACY2" s="8">
        <f>COUNT(ACZ4:ACZ400)</f>
        <v>0</v>
      </c>
      <c r="ADA2" s="8">
        <f>COUNT(ADB4:ADB400)</f>
        <v>0</v>
      </c>
      <c r="ADC2" s="8">
        <f>COUNT(ADD4:ADD400)</f>
        <v>0</v>
      </c>
      <c r="ADE2" s="8">
        <f>COUNT(ADF4:ADF400)</f>
        <v>0</v>
      </c>
      <c r="ADG2" s="8">
        <f>COUNT(ADH4:ADH400)</f>
        <v>0</v>
      </c>
      <c r="ADI2" s="8">
        <f>COUNT(ADJ4:ADJ400)</f>
        <v>0</v>
      </c>
      <c r="ADK2" s="8">
        <f>COUNT(ADL4:ADL400)</f>
        <v>0</v>
      </c>
      <c r="ADM2" s="8">
        <f>COUNT(ADN4:ADN400)</f>
        <v>0</v>
      </c>
      <c r="ADO2" s="8">
        <f>COUNT(ADP4:ADP400)</f>
        <v>0</v>
      </c>
      <c r="ADQ2" s="8">
        <f>COUNT(ADR4:ADR400)</f>
        <v>0</v>
      </c>
      <c r="ADS2" s="8">
        <f>COUNT(ADT4:ADT400)</f>
        <v>0</v>
      </c>
      <c r="ADU2" s="8">
        <f>COUNT(ADV4:ADV400)</f>
        <v>0</v>
      </c>
      <c r="ADW2" s="8">
        <f>COUNT(ADX4:ADX400)</f>
        <v>0</v>
      </c>
      <c r="ADY2" s="8">
        <f>COUNT(ADZ4:ADZ400)</f>
        <v>0</v>
      </c>
      <c r="AEA2" s="8">
        <f>COUNT(AEB4:AEB400)</f>
        <v>0</v>
      </c>
      <c r="AEC2" s="8">
        <f>COUNT(AED4:AED400)</f>
        <v>0</v>
      </c>
      <c r="AEE2" s="8">
        <f>COUNT(AEF4:AEF400)</f>
        <v>0</v>
      </c>
      <c r="AEG2" s="8">
        <f>COUNT(AEH4:AEH400)</f>
        <v>0</v>
      </c>
      <c r="AEI2" s="8">
        <f>COUNT(AEJ4:AEJ400)</f>
        <v>0</v>
      </c>
      <c r="AEK2" s="8">
        <f>COUNT(AEL4:AEL400)</f>
        <v>0</v>
      </c>
      <c r="AEM2" s="8">
        <f>COUNT(AEN4:AEN400)</f>
        <v>0</v>
      </c>
      <c r="AEO2" s="8">
        <f>COUNT(AEP4:AEP400)</f>
        <v>0</v>
      </c>
      <c r="AEQ2" s="8">
        <f>COUNT(AER4:AER400)</f>
        <v>0</v>
      </c>
      <c r="AES2" s="8">
        <f>COUNT(AET4:AET400)</f>
        <v>0</v>
      </c>
      <c r="AEU2" s="8">
        <f>COUNT(AEV4:AEV400)</f>
        <v>0</v>
      </c>
      <c r="AEW2" s="8">
        <f>COUNT(AEX4:AEX400)</f>
        <v>0</v>
      </c>
      <c r="AEY2" s="8">
        <f>COUNT(AEZ4:AEZ400)</f>
        <v>0</v>
      </c>
      <c r="AFA2" s="8">
        <f>COUNT(AFB4:AFB400)</f>
        <v>0</v>
      </c>
      <c r="AFC2" s="8">
        <f>COUNT(AFD4:AFD400)</f>
        <v>0</v>
      </c>
      <c r="AFE2" s="8">
        <f>COUNT(AFF4:AFF400)</f>
        <v>0</v>
      </c>
      <c r="AFG2" s="8">
        <f>COUNT(AFH4:AFH400)</f>
        <v>0</v>
      </c>
      <c r="AFI2" s="8">
        <f>COUNT(AFJ4:AFJ400)</f>
        <v>0</v>
      </c>
      <c r="AFK2" s="8">
        <f>COUNT(AFL4:AFL400)</f>
        <v>0</v>
      </c>
      <c r="AFM2" s="8">
        <f>COUNT(AFN4:AFN400)</f>
        <v>0</v>
      </c>
      <c r="AFO2" s="8">
        <f>COUNT(AFP4:AFP400)</f>
        <v>0</v>
      </c>
      <c r="AFQ2" s="8">
        <f>COUNT(AFR4:AFR400)</f>
        <v>0</v>
      </c>
      <c r="AFS2" s="8">
        <f>COUNT(AFT4:AFT400)</f>
        <v>0</v>
      </c>
      <c r="AFU2" s="8">
        <f>COUNT(AFV4:AFV400)</f>
        <v>0</v>
      </c>
      <c r="AFW2" s="8">
        <f>COUNT(AFX4:AFX400)</f>
        <v>0</v>
      </c>
      <c r="AFY2" s="8">
        <f>COUNT(AFZ4:AFZ400)</f>
        <v>0</v>
      </c>
      <c r="AGA2" s="8">
        <f>COUNT(AGB4:AGB400)</f>
        <v>0</v>
      </c>
      <c r="AGC2" s="8">
        <f>COUNT(AGD4:AGD400)</f>
        <v>0</v>
      </c>
      <c r="AGE2" s="8">
        <f>COUNT(AGF4:AGF400)</f>
        <v>0</v>
      </c>
      <c r="AGG2" s="8">
        <f>COUNT(AGH4:AGH400)</f>
        <v>0</v>
      </c>
      <c r="AGI2" s="8">
        <f>COUNT(AGJ4:AGJ400)</f>
        <v>0</v>
      </c>
      <c r="AGK2" s="8">
        <f>COUNT(AGL4:AGL400)</f>
        <v>0</v>
      </c>
      <c r="AGM2" s="8">
        <f>COUNT(AGN4:AGN400)</f>
        <v>0</v>
      </c>
      <c r="AGO2" s="8">
        <f>COUNT(AGP4:AGP400)</f>
        <v>0</v>
      </c>
      <c r="AGQ2" s="8">
        <f>COUNT(AGR4:AGR400)</f>
        <v>0</v>
      </c>
      <c r="AGS2" s="8">
        <f>COUNT(AGT4:AGT400)</f>
        <v>0</v>
      </c>
      <c r="AGU2" s="8">
        <f>COUNT(AGV4:AGV400)</f>
        <v>0</v>
      </c>
      <c r="AGW2" s="8">
        <f>COUNT(AGX4:AGX400)</f>
        <v>0</v>
      </c>
      <c r="AGY2" s="8">
        <f>COUNT(AGZ4:AGZ400)</f>
        <v>0</v>
      </c>
      <c r="AHA2" s="8">
        <f>COUNT(AHB4:AHB400)</f>
        <v>0</v>
      </c>
      <c r="AHC2" s="8">
        <f>COUNT(AHD4:AHD400)</f>
        <v>0</v>
      </c>
      <c r="AHE2" s="8">
        <f>COUNT(AHF4:AHF400)</f>
        <v>0</v>
      </c>
      <c r="AHG2" s="8">
        <f>COUNT(AHH4:AHH400)</f>
        <v>0</v>
      </c>
      <c r="AHI2" s="8">
        <f>COUNT(AHJ4:AHJ400)</f>
        <v>0</v>
      </c>
      <c r="AHK2" s="8">
        <f>COUNT(AHL4:AHL400)</f>
        <v>0</v>
      </c>
      <c r="AHM2" s="8">
        <f>COUNT(AHN4:AHN400)</f>
        <v>0</v>
      </c>
      <c r="AHO2" s="8">
        <f>COUNT(AHP4:AHP400)</f>
        <v>0</v>
      </c>
      <c r="AHQ2" s="8">
        <f>COUNT(AHR4:AHR400)</f>
        <v>0</v>
      </c>
      <c r="AHS2" s="8">
        <f>COUNT(AHT4:AHT400)</f>
        <v>0</v>
      </c>
      <c r="AHU2" s="8">
        <f>COUNT(AHV4:AHV400)</f>
        <v>0</v>
      </c>
      <c r="AHW2" s="8">
        <f>COUNT(AHX4:AHX400)</f>
        <v>0</v>
      </c>
      <c r="AHY2" s="8">
        <f>COUNT(AHZ4:AHZ400)</f>
        <v>0</v>
      </c>
      <c r="AIA2" s="8">
        <f>COUNT(AIB4:AIB400)</f>
        <v>0</v>
      </c>
      <c r="AIC2" s="8">
        <f>COUNT(AID4:AID400)</f>
        <v>0</v>
      </c>
      <c r="AIE2" s="8">
        <f>COUNT(AIF4:AIF400)</f>
        <v>0</v>
      </c>
      <c r="AIG2" s="8">
        <f>COUNT(AIH4:AIH400)</f>
        <v>0</v>
      </c>
      <c r="AII2" s="8">
        <f>COUNT(AIJ4:AIJ400)</f>
        <v>0</v>
      </c>
      <c r="AIK2" s="8">
        <f>COUNT(AIL4:AIL400)</f>
        <v>0</v>
      </c>
      <c r="AIM2" s="8">
        <f>COUNT(AIN4:AIN400)</f>
        <v>0</v>
      </c>
      <c r="AIO2" s="8">
        <f>COUNT(AIP4:AIP400)</f>
        <v>0</v>
      </c>
      <c r="AIQ2" s="8">
        <f>COUNT(AIR4:AIR400)</f>
        <v>0</v>
      </c>
      <c r="AIS2" s="8">
        <f>COUNT(AIT4:AIT400)</f>
        <v>0</v>
      </c>
      <c r="AIU2" s="8">
        <f>COUNT(AIV4:AIV400)</f>
        <v>0</v>
      </c>
      <c r="AIW2" s="8">
        <f>COUNT(AIX4:AIX400)</f>
        <v>0</v>
      </c>
      <c r="AIY2" s="8">
        <f>COUNT(AIZ4:AIZ400)</f>
        <v>0</v>
      </c>
      <c r="AJA2" s="8">
        <f>COUNT(AJB4:AJB400)</f>
        <v>0</v>
      </c>
      <c r="AJC2" s="8">
        <f>COUNT(AJD4:AJD400)</f>
        <v>0</v>
      </c>
      <c r="AJE2" s="8">
        <f>COUNT(AJF4:AJF400)</f>
        <v>0</v>
      </c>
      <c r="AJG2" s="8">
        <f>COUNT(AJH4:AJH400)</f>
        <v>0</v>
      </c>
      <c r="AJI2" s="8">
        <f>COUNT(AJJ4:AJJ400)</f>
        <v>0</v>
      </c>
      <c r="AJK2" s="8">
        <f>COUNT(AJL4:AJL400)</f>
        <v>0</v>
      </c>
      <c r="AJM2" s="8">
        <f>COUNT(AJN4:AJN400)</f>
        <v>0</v>
      </c>
      <c r="AJO2" s="8">
        <f>COUNT(AJP4:AJP400)</f>
        <v>0</v>
      </c>
      <c r="AJQ2" s="8">
        <f>COUNT(AJR4:AJR400)</f>
        <v>0</v>
      </c>
      <c r="AJS2" s="8">
        <f>COUNT(AJT4:AJT400)</f>
        <v>0</v>
      </c>
      <c r="AJU2" s="8">
        <f>COUNT(AJV4:AJV400)</f>
        <v>0</v>
      </c>
      <c r="AJW2" s="8">
        <f>COUNT(AJX4:AJX400)</f>
        <v>0</v>
      </c>
      <c r="AJY2" s="8">
        <f>COUNT(AJZ4:AJZ400)</f>
        <v>0</v>
      </c>
      <c r="AKA2" s="8">
        <f>COUNT(AKB4:AKB400)</f>
        <v>0</v>
      </c>
      <c r="AKC2" s="8">
        <f>COUNT(AKD4:AKD400)</f>
        <v>0</v>
      </c>
      <c r="AKE2" s="8">
        <f>COUNT(AKF4:AKF400)</f>
        <v>0</v>
      </c>
      <c r="AKG2" s="8">
        <f>COUNT(AKH4:AKH400)</f>
        <v>0</v>
      </c>
      <c r="AKI2" s="8">
        <f>COUNT(AKJ4:AKJ400)</f>
        <v>0</v>
      </c>
      <c r="AKK2" s="8">
        <f>COUNT(AKL4:AKL400)</f>
        <v>0</v>
      </c>
      <c r="AKM2" s="8">
        <f>COUNT(AKN4:AKN400)</f>
        <v>0</v>
      </c>
      <c r="AKO2" s="8">
        <f>COUNT(AKP4:AKP400)</f>
        <v>0</v>
      </c>
      <c r="AKQ2" s="8">
        <f>COUNT(AKR4:AKR400)</f>
        <v>0</v>
      </c>
      <c r="AKS2" s="8">
        <f>COUNT(AKT4:AKT400)</f>
        <v>0</v>
      </c>
      <c r="AKU2" s="8">
        <f>COUNT(AKV4:AKV400)</f>
        <v>0</v>
      </c>
      <c r="AKW2" s="8">
        <f>COUNT(AKX4:AKX400)</f>
        <v>0</v>
      </c>
      <c r="AKY2" s="8">
        <f>COUNT(AKZ4:AKZ400)</f>
        <v>0</v>
      </c>
      <c r="ALA2" s="8">
        <f>COUNT(ALB4:ALB400)</f>
        <v>0</v>
      </c>
      <c r="ALC2" s="8">
        <f>COUNT(ALD4:ALD400)</f>
        <v>0</v>
      </c>
      <c r="ALE2" s="8">
        <f>COUNT(ALF4:ALF400)</f>
        <v>0</v>
      </c>
      <c r="ALG2" s="8">
        <f>COUNT(ALH4:ALH400)</f>
        <v>0</v>
      </c>
      <c r="ALI2" s="8">
        <f>COUNT(ALJ4:ALJ400)</f>
        <v>0</v>
      </c>
      <c r="ALK2" s="8">
        <f>COUNT(ALL4:ALL400)</f>
        <v>0</v>
      </c>
      <c r="ALM2" s="8">
        <f>COUNT(ALN4:ALN400)</f>
        <v>0</v>
      </c>
      <c r="ALO2" s="8">
        <f>COUNT(ALP4:ALP400)</f>
        <v>0</v>
      </c>
      <c r="ALQ2" s="8">
        <f>COUNT(ALR4:ALR400)</f>
        <v>0</v>
      </c>
      <c r="ALS2" s="8">
        <f>COUNT(ALT4:ALT400)</f>
        <v>0</v>
      </c>
      <c r="ALU2" s="8">
        <f>COUNT(ALV4:ALV400)</f>
        <v>0</v>
      </c>
      <c r="ALW2" s="8">
        <f>COUNT(ALX4:ALX400)</f>
        <v>0</v>
      </c>
      <c r="ALY2" s="8">
        <f>COUNT(ALZ4:ALZ400)</f>
        <v>0</v>
      </c>
      <c r="AMA2" s="8">
        <f>COUNT(AMB4:AMB400)</f>
        <v>0</v>
      </c>
      <c r="AMC2" s="8">
        <f>COUNT(AMD4:AMD400)</f>
        <v>0</v>
      </c>
      <c r="AME2" s="8">
        <f>COUNT(AMF4:AMF400)</f>
        <v>0</v>
      </c>
      <c r="AMG2" s="8">
        <f>COUNT(AMH4:AMH400)</f>
        <v>0</v>
      </c>
      <c r="AMI2" s="8">
        <f>COUNT(AMJ4:AMJ400)</f>
        <v>0</v>
      </c>
      <c r="AMK2" s="8">
        <f>COUNT(AML4:AML400)</f>
        <v>0</v>
      </c>
      <c r="AMM2" s="8">
        <f>COUNT(AMN4:AMN400)</f>
        <v>0</v>
      </c>
      <c r="AMO2" s="8">
        <f>COUNT(AMP4:AMP400)</f>
        <v>0</v>
      </c>
      <c r="AMQ2" s="8">
        <f>COUNT(AMR4:AMR400)</f>
        <v>0</v>
      </c>
      <c r="AMS2" s="8">
        <f>COUNT(AMT4:AMT400)</f>
        <v>0</v>
      </c>
      <c r="AMU2" s="8">
        <f>COUNT(AMV4:AMV400)</f>
        <v>0</v>
      </c>
      <c r="AMW2" s="8">
        <f>COUNT(AMX4:AMX400)</f>
        <v>0</v>
      </c>
      <c r="AMY2" s="8">
        <f>COUNT(AMZ4:AMZ400)</f>
        <v>0</v>
      </c>
      <c r="ANA2" s="8">
        <f>COUNT(ANB4:ANB400)</f>
        <v>0</v>
      </c>
      <c r="ANC2" s="8">
        <f>COUNT(AND4:AND400)</f>
        <v>0</v>
      </c>
      <c r="ANE2" s="8">
        <f>COUNT(ANF4:ANF400)</f>
        <v>0</v>
      </c>
      <c r="ANG2" s="8">
        <f>COUNT(ANH4:ANH400)</f>
        <v>0</v>
      </c>
      <c r="ANI2" s="8">
        <f>COUNT(ANJ4:ANJ400)</f>
        <v>0</v>
      </c>
      <c r="ANK2" s="8">
        <f>COUNT(ANL4:ANL400)</f>
        <v>0</v>
      </c>
      <c r="ANM2" s="8">
        <f>COUNT(ANN4:ANN400)</f>
        <v>0</v>
      </c>
      <c r="ANO2" s="8">
        <f>COUNT(ANP4:ANP400)</f>
        <v>0</v>
      </c>
      <c r="ANQ2" s="8">
        <f>COUNT(ANR4:ANR400)</f>
        <v>0</v>
      </c>
      <c r="ANS2" s="8">
        <f>COUNT(ANT4:ANT400)</f>
        <v>0</v>
      </c>
      <c r="ANU2" s="8">
        <f>COUNT(ANV4:ANV400)</f>
        <v>0</v>
      </c>
      <c r="ANW2" s="8">
        <f>COUNT(ANX4:ANX400)</f>
        <v>0</v>
      </c>
      <c r="ANY2" s="8">
        <f>COUNT(ANZ4:ANZ400)</f>
        <v>0</v>
      </c>
      <c r="AOA2" s="8">
        <f>COUNT(AOB4:AOB400)</f>
        <v>0</v>
      </c>
      <c r="AOC2" s="8">
        <f>COUNT(AOD4:AOD400)</f>
        <v>0</v>
      </c>
      <c r="AOE2" s="8">
        <f>COUNT(AOF4:AOF400)</f>
        <v>0</v>
      </c>
      <c r="AOG2" s="8">
        <f>COUNT(AOH4:AOH400)</f>
        <v>0</v>
      </c>
      <c r="AOI2" s="8">
        <f>COUNT(AOJ4:AOJ400)</f>
        <v>0</v>
      </c>
      <c r="AOK2" s="8">
        <f>COUNT(AOL4:AOL400)</f>
        <v>0</v>
      </c>
      <c r="AOM2" s="8">
        <f>COUNT(AON4:AON400)</f>
        <v>0</v>
      </c>
      <c r="AOO2" s="8">
        <f>COUNT(AOP4:AOP400)</f>
        <v>0</v>
      </c>
      <c r="AOQ2" s="8">
        <f>COUNT(AOR4:AOR400)</f>
        <v>0</v>
      </c>
      <c r="AOS2" s="8">
        <f>COUNT(AOT4:AOT400)</f>
        <v>0</v>
      </c>
      <c r="AOU2" s="8">
        <f>COUNT(AOV4:AOV400)</f>
        <v>0</v>
      </c>
      <c r="AOW2" s="8">
        <f>COUNT(AOX4:AOX400)</f>
        <v>0</v>
      </c>
      <c r="AOY2" s="8">
        <f>COUNT(AOZ4:AOZ400)</f>
        <v>0</v>
      </c>
      <c r="APA2" s="8">
        <f>COUNT(APB4:APB400)</f>
        <v>0</v>
      </c>
      <c r="APC2" s="8">
        <f>COUNT(APD4:APD400)</f>
        <v>0</v>
      </c>
      <c r="APE2" s="8">
        <f>COUNT(APF4:APF400)</f>
        <v>0</v>
      </c>
      <c r="APG2" s="8">
        <f>COUNT(APH4:APH400)</f>
        <v>0</v>
      </c>
      <c r="API2" s="8">
        <f>COUNT(APJ4:APJ400)</f>
        <v>0</v>
      </c>
      <c r="APK2" s="8">
        <f>COUNT(APL4:APL400)</f>
        <v>0</v>
      </c>
      <c r="APM2" s="8">
        <f>COUNT(APN4:APN400)</f>
        <v>0</v>
      </c>
      <c r="APO2" s="8">
        <f>COUNT(APP4:APP400)</f>
        <v>0</v>
      </c>
      <c r="APQ2" s="8">
        <f>COUNT(APR4:APR400)</f>
        <v>0</v>
      </c>
      <c r="APS2" s="8">
        <f>COUNT(APT4:APT400)</f>
        <v>0</v>
      </c>
      <c r="APU2" s="8">
        <f>COUNT(APV4:APV400)</f>
        <v>0</v>
      </c>
      <c r="APW2" s="8">
        <f>COUNT(APX4:APX400)</f>
        <v>0</v>
      </c>
      <c r="APY2" s="8">
        <f>COUNT(APZ4:APZ400)</f>
        <v>0</v>
      </c>
      <c r="AQA2" s="8">
        <f>COUNT(AQB4:AQB400)</f>
        <v>0</v>
      </c>
      <c r="AQC2" s="8">
        <f>COUNT(AQD4:AQD400)</f>
        <v>0</v>
      </c>
      <c r="AQE2" s="8">
        <f>COUNT(AQF4:AQF400)</f>
        <v>0</v>
      </c>
      <c r="AQG2" s="8">
        <f>COUNT(AQH4:AQH400)</f>
        <v>0</v>
      </c>
      <c r="AQI2" s="8">
        <f>COUNT(AQJ4:AQJ400)</f>
        <v>0</v>
      </c>
      <c r="AQK2" s="8">
        <f>COUNT(AQL4:AQL400)</f>
        <v>0</v>
      </c>
      <c r="AQM2" s="8">
        <f>COUNT(AQN4:AQN400)</f>
        <v>0</v>
      </c>
      <c r="AQO2" s="8">
        <f>COUNT(AQP4:AQP400)</f>
        <v>0</v>
      </c>
      <c r="AQQ2" s="8">
        <f>COUNT(AQR4:AQR400)</f>
        <v>0</v>
      </c>
      <c r="AQS2" s="8">
        <f>COUNT(AQT4:AQT400)</f>
        <v>0</v>
      </c>
      <c r="AQU2" s="8">
        <f>COUNT(AQV4:AQV400)</f>
        <v>0</v>
      </c>
      <c r="AQW2" s="8">
        <f>COUNT(AQX4:AQX400)</f>
        <v>0</v>
      </c>
      <c r="AQY2" s="8">
        <f>COUNT(AQZ4:AQZ400)</f>
        <v>0</v>
      </c>
      <c r="ARA2" s="8">
        <f>COUNT(ARB4:ARB400)</f>
        <v>0</v>
      </c>
      <c r="ARC2" s="8">
        <f>COUNT(ARD4:ARD400)</f>
        <v>0</v>
      </c>
      <c r="ARE2" s="8">
        <f>COUNT(ARF4:ARF400)</f>
        <v>0</v>
      </c>
      <c r="ARG2" s="8">
        <f>COUNT(ARH4:ARH400)</f>
        <v>0</v>
      </c>
      <c r="ARI2" s="8">
        <f>COUNT(ARJ4:ARJ400)</f>
        <v>0</v>
      </c>
      <c r="ARK2" s="8">
        <f>COUNT(ARL4:ARL400)</f>
        <v>0</v>
      </c>
      <c r="ARM2" s="8">
        <f>COUNT(ARN4:ARN400)</f>
        <v>0</v>
      </c>
      <c r="ARO2" s="8">
        <f>COUNT(ARP4:ARP400)</f>
        <v>0</v>
      </c>
      <c r="ARQ2" s="8">
        <f>COUNT(ARR4:ARR400)</f>
        <v>0</v>
      </c>
      <c r="ARS2" s="8">
        <f>COUNT(ART4:ART400)</f>
        <v>0</v>
      </c>
      <c r="ARU2" s="8">
        <f>COUNT(ARV4:ARV400)</f>
        <v>0</v>
      </c>
      <c r="ARW2" s="8">
        <f>COUNT(ARX4:ARX400)</f>
        <v>0</v>
      </c>
      <c r="ARY2" s="8">
        <f>COUNT(ARZ4:ARZ400)</f>
        <v>0</v>
      </c>
      <c r="ASA2" s="8">
        <f>COUNT(ASB4:ASB400)</f>
        <v>0</v>
      </c>
      <c r="ASC2" s="8">
        <f>COUNT(ASD4:ASD400)</f>
        <v>0</v>
      </c>
      <c r="ASE2" s="8">
        <f>COUNT(ASF4:ASF400)</f>
        <v>0</v>
      </c>
      <c r="ASG2" s="8">
        <f>COUNT(ASH4:ASH400)</f>
        <v>0</v>
      </c>
      <c r="ASI2" s="8">
        <f>COUNT(ASJ4:ASJ400)</f>
        <v>0</v>
      </c>
      <c r="ASK2" s="8">
        <f>COUNT(ASL4:ASL400)</f>
        <v>0</v>
      </c>
      <c r="ASM2" s="8">
        <f>COUNT(ASN4:ASN400)</f>
        <v>0</v>
      </c>
      <c r="ASO2" s="8">
        <f>COUNT(ASP4:ASP400)</f>
        <v>0</v>
      </c>
      <c r="ASQ2" s="8">
        <f>COUNT(ASR4:ASR400)</f>
        <v>0</v>
      </c>
      <c r="ASS2" s="8">
        <f>COUNT(AST4:AST400)</f>
        <v>0</v>
      </c>
      <c r="ASU2" s="8">
        <f>COUNT(ASV4:ASV400)</f>
        <v>0</v>
      </c>
      <c r="ASW2" s="8">
        <f>COUNT(ASX4:ASX400)</f>
        <v>0</v>
      </c>
      <c r="ASY2" s="8">
        <f>COUNT(ASZ4:ASZ400)</f>
        <v>0</v>
      </c>
      <c r="ATA2" s="8">
        <f>COUNT(ATB4:ATB400)</f>
        <v>0</v>
      </c>
      <c r="ATC2" s="8">
        <f>COUNT(ATD4:ATD400)</f>
        <v>0</v>
      </c>
      <c r="ATE2" s="8">
        <f>COUNT(ATF4:ATF400)</f>
        <v>0</v>
      </c>
      <c r="ATG2" s="8">
        <f>COUNT(ATH4:ATH400)</f>
        <v>0</v>
      </c>
      <c r="ATI2" s="8">
        <f>COUNT(ATJ4:ATJ400)</f>
        <v>0</v>
      </c>
      <c r="ATK2" s="8">
        <f>COUNT(ATL4:ATL400)</f>
        <v>0</v>
      </c>
      <c r="ATM2" s="8">
        <f>COUNT(ATN4:ATN400)</f>
        <v>0</v>
      </c>
      <c r="ATO2" s="8">
        <f>COUNT(ATP4:ATP400)</f>
        <v>0</v>
      </c>
      <c r="ATQ2" s="8">
        <f>COUNT(ATR4:ATR400)</f>
        <v>0</v>
      </c>
      <c r="ATS2" s="8">
        <f>COUNT(ATT4:ATT400)</f>
        <v>0</v>
      </c>
      <c r="ATU2" s="8">
        <f>COUNT(ATV4:ATV400)</f>
        <v>0</v>
      </c>
      <c r="ATW2" s="8">
        <f>COUNT(ATX4:ATX400)</f>
        <v>0</v>
      </c>
      <c r="ATY2" s="8">
        <f>COUNT(ATZ4:ATZ400)</f>
        <v>0</v>
      </c>
      <c r="AUA2" s="8">
        <f>COUNT(AUB4:AUB400)</f>
        <v>0</v>
      </c>
      <c r="AUC2" s="8">
        <f>COUNT(AUD4:AUD400)</f>
        <v>0</v>
      </c>
      <c r="AUE2" s="8">
        <f>COUNT(AUF4:AUF400)</f>
        <v>0</v>
      </c>
      <c r="AUG2" s="8">
        <f>COUNT(AUH4:AUH400)</f>
        <v>0</v>
      </c>
      <c r="AUI2" s="8">
        <f>COUNT(AUJ4:AUJ400)</f>
        <v>0</v>
      </c>
      <c r="AUK2" s="8">
        <f>COUNT(AUL4:AUL400)</f>
        <v>0</v>
      </c>
      <c r="AUM2" s="8">
        <f>COUNT(AUN4:AUN400)</f>
        <v>0</v>
      </c>
      <c r="AUO2" s="8">
        <f>COUNT(AUP4:AUP400)</f>
        <v>0</v>
      </c>
      <c r="AUQ2" s="8">
        <f>COUNT(AUR4:AUR400)</f>
        <v>0</v>
      </c>
      <c r="AUS2" s="8">
        <f>COUNT(AUT4:AUT400)</f>
        <v>0</v>
      </c>
      <c r="AUU2" s="8">
        <f>COUNT(AUV4:AUV400)</f>
        <v>0</v>
      </c>
      <c r="AUW2" s="8">
        <f>COUNT(AUX4:AUX400)</f>
        <v>0</v>
      </c>
      <c r="AUY2" s="8">
        <f>COUNT(AUZ4:AUZ400)</f>
        <v>0</v>
      </c>
      <c r="AVA2" s="8">
        <f>COUNT(AVB4:AVB400)</f>
        <v>0</v>
      </c>
      <c r="AVC2" s="8">
        <f>COUNT(AVD4:AVD400)</f>
        <v>0</v>
      </c>
      <c r="AVE2" s="8">
        <f>COUNT(AVF4:AVF400)</f>
        <v>0</v>
      </c>
      <c r="AVG2" s="8">
        <f>COUNT(AVH4:AVH400)</f>
        <v>0</v>
      </c>
      <c r="AVI2" s="8">
        <f>COUNT(AVJ4:AVJ400)</f>
        <v>0</v>
      </c>
      <c r="AVK2" s="8">
        <f>COUNT(AVL4:AVL400)</f>
        <v>0</v>
      </c>
      <c r="AVM2" s="8">
        <f>COUNT(AVN4:AVN400)</f>
        <v>0</v>
      </c>
      <c r="AVO2" s="8">
        <f>COUNT(AVP4:AVP400)</f>
        <v>0</v>
      </c>
      <c r="AVQ2" s="8">
        <f>COUNT(AVR4:AVR400)</f>
        <v>0</v>
      </c>
      <c r="AVS2" s="8">
        <f>COUNT(AVT4:AVT400)</f>
        <v>0</v>
      </c>
      <c r="AVU2" s="8">
        <f>COUNT(AVV4:AVV400)</f>
        <v>0</v>
      </c>
      <c r="AVW2" s="8">
        <f>COUNT(AVX4:AVX400)</f>
        <v>0</v>
      </c>
      <c r="AVY2" s="8">
        <f>COUNT(AVZ4:AVZ400)</f>
        <v>0</v>
      </c>
      <c r="AWA2" s="8">
        <f>COUNT(AWB4:AWB400)</f>
        <v>0</v>
      </c>
      <c r="AWC2" s="8">
        <f>COUNT(AWD4:AWD400)</f>
        <v>0</v>
      </c>
      <c r="AWE2" s="8">
        <f>COUNT(AWF4:AWF400)</f>
        <v>0</v>
      </c>
      <c r="AWG2" s="8">
        <f>COUNT(AWH4:AWH400)</f>
        <v>0</v>
      </c>
      <c r="AWI2" s="8">
        <f>COUNT(AWJ4:AWJ400)</f>
        <v>0</v>
      </c>
      <c r="AWK2" s="8">
        <f>COUNT(AWL4:AWL400)</f>
        <v>0</v>
      </c>
      <c r="AWM2" s="8">
        <f>COUNT(AWN4:AWN400)</f>
        <v>0</v>
      </c>
      <c r="AWO2" s="8">
        <f>COUNT(AWP4:AWP400)</f>
        <v>0</v>
      </c>
      <c r="AWQ2" s="8">
        <f>COUNT(AWR4:AWR400)</f>
        <v>0</v>
      </c>
      <c r="AWS2" s="8">
        <f>COUNT(AWT4:AWT400)</f>
        <v>0</v>
      </c>
      <c r="AWU2" s="8">
        <f>COUNT(AWV4:AWV400)</f>
        <v>0</v>
      </c>
      <c r="AWW2" s="8">
        <f>COUNT(AWX4:AWX400)</f>
        <v>0</v>
      </c>
      <c r="AWY2" s="8">
        <f>COUNT(AWZ4:AWZ400)</f>
        <v>0</v>
      </c>
      <c r="AXA2" s="8">
        <f>COUNT(AXB4:AXB400)</f>
        <v>0</v>
      </c>
      <c r="AXC2" s="8">
        <f>COUNT(AXD4:AXD400)</f>
        <v>0</v>
      </c>
      <c r="AXE2" s="8">
        <f>COUNT(AXF4:AXF400)</f>
        <v>0</v>
      </c>
      <c r="AXG2" s="8">
        <f>COUNT(AXH4:AXH400)</f>
        <v>0</v>
      </c>
      <c r="AXI2" s="8">
        <f>COUNT(AXJ4:AXJ400)</f>
        <v>0</v>
      </c>
      <c r="AXK2" s="8">
        <f>COUNT(AXL4:AXL400)</f>
        <v>0</v>
      </c>
      <c r="AXM2" s="8">
        <f>COUNT(AXN4:AXN400)</f>
        <v>0</v>
      </c>
      <c r="AXO2" s="8">
        <f>COUNT(AXP4:AXP400)</f>
        <v>0</v>
      </c>
      <c r="AXQ2" s="8">
        <f>COUNT(AXR4:AXR400)</f>
        <v>0</v>
      </c>
      <c r="AXS2" s="8">
        <f>COUNT(AXT4:AXT400)</f>
        <v>0</v>
      </c>
      <c r="AXU2" s="8">
        <f>COUNT(AXV4:AXV400)</f>
        <v>0</v>
      </c>
      <c r="AXW2" s="8">
        <f>COUNT(AXX4:AXX400)</f>
        <v>0</v>
      </c>
      <c r="AXY2" s="8">
        <f>COUNT(AXZ4:AXZ400)</f>
        <v>0</v>
      </c>
      <c r="AYA2" s="8">
        <f>COUNT(AYB4:AYB400)</f>
        <v>0</v>
      </c>
      <c r="AYC2" s="8">
        <f>COUNT(AYD4:AYD400)</f>
        <v>0</v>
      </c>
      <c r="AYE2" s="8">
        <f>COUNT(AYF4:AYF400)</f>
        <v>0</v>
      </c>
      <c r="AYG2" s="8">
        <f>COUNT(AYH4:AYH400)</f>
        <v>0</v>
      </c>
      <c r="AYI2" s="8">
        <f>COUNT(AYJ4:AYJ400)</f>
        <v>0</v>
      </c>
      <c r="AYK2" s="8">
        <f>COUNT(AYL4:AYL400)</f>
        <v>0</v>
      </c>
      <c r="AYM2" s="8">
        <f>COUNT(AYN4:AYN400)</f>
        <v>0</v>
      </c>
      <c r="AYO2" s="8">
        <f>COUNT(AYP4:AYP400)</f>
        <v>0</v>
      </c>
      <c r="AYQ2" s="8">
        <f>COUNT(AYR4:AYR400)</f>
        <v>0</v>
      </c>
      <c r="AYS2" s="8">
        <f>COUNT(AYT4:AYT400)</f>
        <v>0</v>
      </c>
      <c r="AYU2" s="8">
        <f>COUNT(AYV4:AYV400)</f>
        <v>0</v>
      </c>
      <c r="AYW2" s="8">
        <f>COUNT(AYX4:AYX400)</f>
        <v>0</v>
      </c>
      <c r="AYY2" s="8">
        <f>COUNT(AYZ4:AYZ400)</f>
        <v>0</v>
      </c>
      <c r="AZA2" s="8">
        <f>COUNT(AZB4:AZB400)</f>
        <v>0</v>
      </c>
      <c r="AZC2" s="8">
        <f>COUNT(AZD4:AZD400)</f>
        <v>0</v>
      </c>
      <c r="AZE2" s="8">
        <f>COUNT(AZF4:AZF400)</f>
        <v>0</v>
      </c>
      <c r="AZG2" s="8">
        <f>COUNT(AZH4:AZH400)</f>
        <v>0</v>
      </c>
      <c r="AZI2" s="8">
        <f>COUNT(AZJ4:AZJ400)</f>
        <v>0</v>
      </c>
      <c r="AZK2" s="8">
        <f>COUNT(AZL4:AZL400)</f>
        <v>0</v>
      </c>
      <c r="AZM2" s="8">
        <f>COUNT(AZN4:AZN400)</f>
        <v>0</v>
      </c>
      <c r="AZO2" s="8">
        <f>COUNT(AZP4:AZP400)</f>
        <v>0</v>
      </c>
      <c r="AZQ2" s="8">
        <f>COUNT(AZR4:AZR400)</f>
        <v>0</v>
      </c>
      <c r="AZS2" s="8">
        <f>COUNT(AZT4:AZT400)</f>
        <v>0</v>
      </c>
      <c r="AZU2" s="8">
        <f>COUNT(AZV4:AZV400)</f>
        <v>0</v>
      </c>
      <c r="AZW2" s="8">
        <f>COUNT(AZX4:AZX400)</f>
        <v>0</v>
      </c>
      <c r="AZY2" s="8">
        <f>COUNT(AZZ4:AZZ400)</f>
        <v>0</v>
      </c>
      <c r="BAA2" s="8">
        <f>COUNT(BAB4:BAB400)</f>
        <v>0</v>
      </c>
      <c r="BAC2" s="8">
        <f>COUNT(BAD4:BAD400)</f>
        <v>0</v>
      </c>
      <c r="BAE2" s="8">
        <f>COUNT(BAF4:BAF400)</f>
        <v>0</v>
      </c>
      <c r="BAG2" s="8">
        <f>COUNT(BAH4:BAH400)</f>
        <v>0</v>
      </c>
      <c r="BAI2" s="8">
        <f>COUNT(BAJ4:BAJ400)</f>
        <v>0</v>
      </c>
      <c r="BAK2" s="8">
        <f>COUNT(BAL4:BAL400)</f>
        <v>0</v>
      </c>
      <c r="BAM2" s="8">
        <f>COUNT(BAN4:BAN400)</f>
        <v>0</v>
      </c>
      <c r="BAO2" s="8">
        <f>COUNT(BAP4:BAP400)</f>
        <v>0</v>
      </c>
      <c r="BAQ2" s="8">
        <f>COUNT(BAR4:BAR400)</f>
        <v>0</v>
      </c>
      <c r="BAS2" s="8">
        <f>COUNT(BAT4:BAT400)</f>
        <v>0</v>
      </c>
      <c r="BAU2" s="8">
        <f>COUNT(BAV4:BAV400)</f>
        <v>0</v>
      </c>
      <c r="BAW2" s="8">
        <f>COUNT(BAX4:BAX400)</f>
        <v>0</v>
      </c>
      <c r="BAY2" s="8">
        <f>COUNT(BAZ4:BAZ400)</f>
        <v>0</v>
      </c>
      <c r="BBA2" s="8">
        <f>COUNT(BBB4:BBB400)</f>
        <v>0</v>
      </c>
      <c r="BBC2" s="8">
        <f>COUNT(BBD4:BBD400)</f>
        <v>0</v>
      </c>
      <c r="BBE2" s="8">
        <f>COUNT(BBF4:BBF400)</f>
        <v>0</v>
      </c>
      <c r="BBG2" s="8">
        <f>COUNT(BBH4:BBH400)</f>
        <v>0</v>
      </c>
      <c r="BBI2" s="8">
        <f>COUNT(BBJ4:BBJ400)</f>
        <v>0</v>
      </c>
      <c r="BBK2" s="8">
        <f>COUNT(BBL4:BBL400)</f>
        <v>0</v>
      </c>
      <c r="BBM2" s="8">
        <f>COUNT(BBN4:BBN400)</f>
        <v>0</v>
      </c>
      <c r="BBO2" s="8">
        <f>COUNT(BBP4:BBP400)</f>
        <v>0</v>
      </c>
      <c r="BBQ2" s="8">
        <f>COUNT(BBR4:BBR400)</f>
        <v>0</v>
      </c>
      <c r="BBS2" s="8">
        <f>COUNT(BBT4:BBT400)</f>
        <v>0</v>
      </c>
      <c r="BBU2" s="8">
        <f>COUNT(BBV4:BBV400)</f>
        <v>0</v>
      </c>
      <c r="BBW2" s="8">
        <f>COUNT(BBX4:BBX400)</f>
        <v>0</v>
      </c>
      <c r="BBY2" s="8">
        <f>COUNT(BBZ4:BBZ400)</f>
        <v>0</v>
      </c>
      <c r="BCA2" s="8">
        <f>COUNT(BCB4:BCB400)</f>
        <v>0</v>
      </c>
      <c r="BCC2" s="8">
        <f>COUNT(BCD4:BCD400)</f>
        <v>0</v>
      </c>
      <c r="BCE2" s="8">
        <f>COUNT(BCF4:BCF400)</f>
        <v>0</v>
      </c>
      <c r="BCG2" s="8">
        <f>COUNT(BCH4:BCH400)</f>
        <v>0</v>
      </c>
      <c r="BCI2" s="8">
        <f>COUNT(BCJ4:BCJ400)</f>
        <v>0</v>
      </c>
      <c r="BCK2" s="8">
        <f>COUNT(BCL4:BCL400)</f>
        <v>0</v>
      </c>
      <c r="BCM2" s="8">
        <f>COUNT(BCN4:BCN400)</f>
        <v>0</v>
      </c>
      <c r="BCO2" s="8">
        <f>COUNT(BCP4:BCP400)</f>
        <v>0</v>
      </c>
      <c r="BCQ2" s="8">
        <f>COUNT(BCR4:BCR400)</f>
        <v>0</v>
      </c>
      <c r="BCS2" s="8">
        <f>COUNT(BCT4:BCT400)</f>
        <v>0</v>
      </c>
      <c r="BCU2" s="8">
        <f>COUNT(BCV4:BCV400)</f>
        <v>0</v>
      </c>
      <c r="BCW2" s="8">
        <f>COUNT(BCX4:BCX400)</f>
        <v>0</v>
      </c>
      <c r="BCY2" s="8">
        <f>COUNT(BCZ4:BCZ400)</f>
        <v>0</v>
      </c>
      <c r="BDA2" s="8">
        <f>COUNT(BDB4:BDB400)</f>
        <v>0</v>
      </c>
      <c r="BDC2" s="8">
        <f>COUNT(BDD4:BDD400)</f>
        <v>0</v>
      </c>
      <c r="BDE2" s="8">
        <f>COUNT(BDF4:BDF400)</f>
        <v>0</v>
      </c>
      <c r="BDG2" s="8">
        <f>COUNT(BDH4:BDH400)</f>
        <v>0</v>
      </c>
      <c r="BDI2" s="8">
        <f>COUNT(BDJ4:BDJ400)</f>
        <v>0</v>
      </c>
      <c r="BDK2" s="8">
        <f>COUNT(BDL4:BDL400)</f>
        <v>0</v>
      </c>
      <c r="BDM2" s="8">
        <f>COUNT(BDN4:BDN400)</f>
        <v>0</v>
      </c>
      <c r="BDO2" s="8">
        <f>COUNT(BDP4:BDP400)</f>
        <v>0</v>
      </c>
      <c r="BDQ2" s="8">
        <f>COUNT(BDR4:BDR400)</f>
        <v>0</v>
      </c>
      <c r="BDS2" s="8">
        <f>COUNT(BDT4:BDT400)</f>
        <v>0</v>
      </c>
      <c r="BDU2" s="8">
        <f>COUNT(BDV4:BDV400)</f>
        <v>0</v>
      </c>
      <c r="BDW2" s="8">
        <f>COUNT(BDX4:BDX400)</f>
        <v>0</v>
      </c>
      <c r="BDY2" s="8">
        <f>COUNT(BDZ4:BDZ400)</f>
        <v>0</v>
      </c>
      <c r="BEA2" s="8">
        <f>COUNT(BEB4:BEB400)</f>
        <v>0</v>
      </c>
      <c r="BEC2" s="8">
        <f>COUNT(BED4:BED400)</f>
        <v>0</v>
      </c>
      <c r="BEE2" s="8">
        <f>COUNT(BEF4:BEF400)</f>
        <v>0</v>
      </c>
      <c r="BEG2" s="8">
        <f>COUNT(BEH4:BEH400)</f>
        <v>0</v>
      </c>
      <c r="BEI2" s="8">
        <f>COUNT(BEJ4:BEJ400)</f>
        <v>0</v>
      </c>
      <c r="BEK2" s="8">
        <f>COUNT(BEL4:BEL400)</f>
        <v>0</v>
      </c>
      <c r="BEM2" s="8">
        <f>COUNT(BEN4:BEN400)</f>
        <v>0</v>
      </c>
      <c r="BEO2" s="8">
        <f>COUNT(BEP4:BEP400)</f>
        <v>0</v>
      </c>
      <c r="BEQ2" s="8">
        <f>COUNT(BER4:BER400)</f>
        <v>0</v>
      </c>
      <c r="BES2" s="8">
        <f>COUNT(BET4:BET400)</f>
        <v>0</v>
      </c>
      <c r="BEU2" s="8">
        <f>COUNT(BEV4:BEV400)</f>
        <v>0</v>
      </c>
      <c r="BEW2" s="8">
        <f>COUNT(BEX4:BEX400)</f>
        <v>0</v>
      </c>
      <c r="BEY2" s="8">
        <f>COUNT(BEZ4:BEZ400)</f>
        <v>0</v>
      </c>
      <c r="BFA2" s="8">
        <f>COUNT(BFB4:BFB400)</f>
        <v>0</v>
      </c>
      <c r="BFC2" s="8">
        <f>COUNT(BFD4:BFD400)</f>
        <v>0</v>
      </c>
      <c r="BFE2" s="8">
        <f>COUNT(BFF4:BFF400)</f>
        <v>0</v>
      </c>
      <c r="BFG2" s="8">
        <f>COUNT(BFH4:BFH400)</f>
        <v>0</v>
      </c>
      <c r="BFI2" s="8">
        <f>COUNT(BFJ4:BFJ400)</f>
        <v>0</v>
      </c>
      <c r="BFK2" s="8">
        <f>COUNT(BFL4:BFL400)</f>
        <v>0</v>
      </c>
      <c r="BFM2" s="8">
        <f>COUNT(BFN4:BFN400)</f>
        <v>0</v>
      </c>
      <c r="BFO2" s="8">
        <f>COUNT(BFP4:BFP400)</f>
        <v>0</v>
      </c>
      <c r="BFQ2" s="8">
        <f>COUNT(BFR4:BFR400)</f>
        <v>0</v>
      </c>
      <c r="BFS2" s="8">
        <f>COUNT(BFT4:BFT400)</f>
        <v>0</v>
      </c>
      <c r="BFU2" s="8">
        <f>COUNT(BFV4:BFV400)</f>
        <v>0</v>
      </c>
      <c r="BFW2" s="8">
        <f>COUNT(BFX4:BFX400)</f>
        <v>0</v>
      </c>
      <c r="BFY2" s="8">
        <f>COUNT(BFZ4:BFZ400)</f>
        <v>0</v>
      </c>
      <c r="BGA2" s="8">
        <f>COUNT(BGB4:BGB400)</f>
        <v>0</v>
      </c>
      <c r="BGC2" s="8">
        <f>COUNT(BGD4:BGD400)</f>
        <v>0</v>
      </c>
      <c r="BGE2" s="8">
        <f>COUNT(BGF4:BGF400)</f>
        <v>0</v>
      </c>
      <c r="BGG2" s="8">
        <f>COUNT(BGH4:BGH400)</f>
        <v>0</v>
      </c>
      <c r="BGI2" s="8">
        <f>COUNT(BGJ4:BGJ400)</f>
        <v>0</v>
      </c>
      <c r="BGK2" s="8">
        <f>COUNT(BGL4:BGL400)</f>
        <v>0</v>
      </c>
      <c r="BGM2" s="8">
        <f>COUNT(BGN4:BGN400)</f>
        <v>0</v>
      </c>
      <c r="BGO2" s="8">
        <f>COUNT(BGP4:BGP400)</f>
        <v>0</v>
      </c>
      <c r="BGQ2" s="8">
        <f>COUNT(BGR4:BGR400)</f>
        <v>0</v>
      </c>
      <c r="BGS2" s="8">
        <f>COUNT(BGT4:BGT400)</f>
        <v>0</v>
      </c>
      <c r="BGU2" s="8">
        <f>COUNT(BGV4:BGV400)</f>
        <v>0</v>
      </c>
      <c r="BGW2" s="8">
        <f>COUNT(BGX4:BGX400)</f>
        <v>0</v>
      </c>
      <c r="BGY2" s="8">
        <f>COUNT(BGZ4:BGZ400)</f>
        <v>0</v>
      </c>
      <c r="BHA2" s="8">
        <f>COUNT(BHB4:BHB400)</f>
        <v>0</v>
      </c>
      <c r="BHC2" s="8">
        <f>COUNT(BHD4:BHD400)</f>
        <v>0</v>
      </c>
      <c r="BHE2" s="8">
        <f>COUNT(BHF4:BHF400)</f>
        <v>0</v>
      </c>
      <c r="BHG2" s="8">
        <f>COUNT(BHH4:BHH400)</f>
        <v>0</v>
      </c>
      <c r="BHI2" s="8">
        <f>COUNT(BHJ4:BHJ400)</f>
        <v>0</v>
      </c>
      <c r="BHK2" s="8">
        <f>COUNT(BHL4:BHL400)</f>
        <v>0</v>
      </c>
      <c r="BHM2" s="8">
        <f>COUNT(BHN4:BHN400)</f>
        <v>0</v>
      </c>
      <c r="BHO2" s="8">
        <f>COUNT(BHP4:BHP400)</f>
        <v>0</v>
      </c>
      <c r="BHQ2" s="8">
        <f>COUNT(BHR4:BHR400)</f>
        <v>0</v>
      </c>
      <c r="BHS2" s="8">
        <f>COUNT(BHT4:BHT400)</f>
        <v>0</v>
      </c>
      <c r="BHU2" s="8">
        <f>COUNT(BHV4:BHV400)</f>
        <v>0</v>
      </c>
      <c r="BHW2" s="8">
        <f>COUNT(BHX4:BHX400)</f>
        <v>0</v>
      </c>
      <c r="BHY2" s="8">
        <f>COUNT(BHZ4:BHZ400)</f>
        <v>0</v>
      </c>
      <c r="BIA2" s="8">
        <f>COUNT(BIB4:BIB400)</f>
        <v>0</v>
      </c>
      <c r="BIC2" s="8">
        <f>COUNT(BID4:BID400)</f>
        <v>0</v>
      </c>
      <c r="BIE2" s="8">
        <f>COUNT(BIF4:BIF400)</f>
        <v>0</v>
      </c>
      <c r="BIG2" s="8">
        <f>COUNT(BIH4:BIH400)</f>
        <v>0</v>
      </c>
      <c r="BII2" s="8">
        <f>COUNT(BIJ4:BIJ400)</f>
        <v>0</v>
      </c>
      <c r="BIK2" s="8">
        <f>COUNT(BIL4:BIL400)</f>
        <v>0</v>
      </c>
      <c r="BIM2" s="8">
        <f>COUNT(BIN4:BIN400)</f>
        <v>0</v>
      </c>
      <c r="BIO2" s="8">
        <f>COUNT(BIP4:BIP400)</f>
        <v>0</v>
      </c>
      <c r="BIQ2" s="8">
        <f>COUNT(BIR4:BIR400)</f>
        <v>0</v>
      </c>
      <c r="BIS2" s="8">
        <f>COUNT(BIT4:BIT400)</f>
        <v>0</v>
      </c>
      <c r="BIU2" s="8">
        <f>COUNT(BIV4:BIV400)</f>
        <v>0</v>
      </c>
      <c r="BIW2" s="8">
        <f>COUNT(BIX4:BIX400)</f>
        <v>0</v>
      </c>
      <c r="BIY2" s="8">
        <f>COUNT(BIZ4:BIZ400)</f>
        <v>0</v>
      </c>
      <c r="BJA2" s="8">
        <f>COUNT(BJB4:BJB400)</f>
        <v>0</v>
      </c>
      <c r="BJC2" s="8">
        <f>COUNT(BJD4:BJD400)</f>
        <v>0</v>
      </c>
      <c r="BJE2" s="8">
        <f>COUNT(BJF4:BJF400)</f>
        <v>0</v>
      </c>
      <c r="BJG2" s="8">
        <f>COUNT(BJH4:BJH400)</f>
        <v>0</v>
      </c>
      <c r="BJI2" s="8">
        <f>COUNT(BJJ4:BJJ400)</f>
        <v>0</v>
      </c>
      <c r="BJK2" s="8">
        <f>COUNT(BJL4:BJL400)</f>
        <v>0</v>
      </c>
      <c r="BJM2" s="8">
        <f>COUNT(BJN4:BJN400)</f>
        <v>0</v>
      </c>
      <c r="BJO2" s="8">
        <f>COUNT(BJP4:BJP400)</f>
        <v>0</v>
      </c>
      <c r="BJQ2" s="8">
        <f>COUNT(BJR4:BJR400)</f>
        <v>0</v>
      </c>
      <c r="BJS2" s="8">
        <f>COUNT(BJT4:BJT400)</f>
        <v>0</v>
      </c>
      <c r="BJU2" s="8">
        <f>COUNT(BJV4:BJV400)</f>
        <v>0</v>
      </c>
      <c r="BJW2" s="8">
        <f>COUNT(BJX4:BJX400)</f>
        <v>0</v>
      </c>
      <c r="BJY2" s="8">
        <f>COUNT(BJZ4:BJZ400)</f>
        <v>0</v>
      </c>
      <c r="BKA2" s="8">
        <f>COUNT(BKB4:BKB400)</f>
        <v>0</v>
      </c>
      <c r="BKC2" s="8">
        <f>COUNT(BKD4:BKD400)</f>
        <v>0</v>
      </c>
      <c r="BKE2" s="8">
        <f>COUNT(BKF4:BKF400)</f>
        <v>0</v>
      </c>
      <c r="BKG2" s="8">
        <f>COUNT(BKH4:BKH400)</f>
        <v>0</v>
      </c>
      <c r="BKI2" s="8">
        <f>COUNT(BKJ4:BKJ400)</f>
        <v>0</v>
      </c>
      <c r="BKK2" s="8">
        <f>COUNT(BKL4:BKL400)</f>
        <v>0</v>
      </c>
      <c r="BKM2" s="8">
        <f>COUNT(BKN4:BKN400)</f>
        <v>0</v>
      </c>
      <c r="BKO2" s="8">
        <f>COUNT(BKP4:BKP400)</f>
        <v>0</v>
      </c>
      <c r="BKQ2" s="8">
        <f>COUNT(BKR4:BKR400)</f>
        <v>0</v>
      </c>
      <c r="BKS2" s="8">
        <f>COUNT(BKT4:BKT400)</f>
        <v>0</v>
      </c>
      <c r="BKU2" s="8">
        <f>COUNT(BKV4:BKV400)</f>
        <v>0</v>
      </c>
      <c r="BKW2" s="8">
        <f>COUNT(BKX4:BKX400)</f>
        <v>0</v>
      </c>
      <c r="BKY2" s="8">
        <f>COUNT(BKZ4:BKZ400)</f>
        <v>0</v>
      </c>
      <c r="BLA2" s="8">
        <f>COUNT(BLB4:BLB400)</f>
        <v>0</v>
      </c>
      <c r="BLC2" s="8">
        <f>COUNT(BLD4:BLD400)</f>
        <v>0</v>
      </c>
      <c r="BLE2" s="8">
        <f>COUNT(BLF4:BLF400)</f>
        <v>0</v>
      </c>
      <c r="BLG2" s="8">
        <f>COUNT(BLH4:BLH400)</f>
        <v>0</v>
      </c>
      <c r="BLI2" s="8">
        <f>COUNT(BLJ4:BLJ400)</f>
        <v>0</v>
      </c>
      <c r="BLK2" s="8">
        <f>COUNT(BLL4:BLL400)</f>
        <v>0</v>
      </c>
      <c r="BLM2" s="8">
        <f>COUNT(BLN4:BLN400)</f>
        <v>0</v>
      </c>
      <c r="BLO2" s="8">
        <f>COUNT(BLP4:BLP400)</f>
        <v>0</v>
      </c>
      <c r="BLQ2" s="8">
        <f>COUNT(BLR4:BLR400)</f>
        <v>0</v>
      </c>
      <c r="BLS2" s="8">
        <f>COUNT(BLT4:BLT400)</f>
        <v>0</v>
      </c>
      <c r="BLU2" s="8">
        <f>COUNT(BLV4:BLV400)</f>
        <v>0</v>
      </c>
      <c r="BLW2" s="8">
        <f>COUNT(BLX4:BLX400)</f>
        <v>0</v>
      </c>
      <c r="BLY2" s="8">
        <f>COUNT(BLZ4:BLZ400)</f>
        <v>0</v>
      </c>
      <c r="BMA2" s="8">
        <f>COUNT(BMB4:BMB400)</f>
        <v>0</v>
      </c>
      <c r="BMC2" s="8">
        <f>COUNT(BMD4:BMD400)</f>
        <v>0</v>
      </c>
      <c r="BME2" s="8">
        <f>COUNT(BMF4:BMF400)</f>
        <v>0</v>
      </c>
      <c r="BMG2" s="8">
        <f>COUNT(BMH4:BMH400)</f>
        <v>0</v>
      </c>
      <c r="BMI2" s="8">
        <f>COUNT(BMJ4:BMJ400)</f>
        <v>0</v>
      </c>
      <c r="BMK2" s="8">
        <f>COUNT(BML4:BML400)</f>
        <v>0</v>
      </c>
      <c r="BMM2" s="8">
        <f>COUNT(BMN4:BMN400)</f>
        <v>0</v>
      </c>
      <c r="BMO2" s="8">
        <f>COUNT(BMP4:BMP400)</f>
        <v>0</v>
      </c>
      <c r="BMQ2" s="8">
        <f>COUNT(BMR4:BMR400)</f>
        <v>0</v>
      </c>
      <c r="BMS2" s="8">
        <f>COUNT(BMT4:BMT400)</f>
        <v>0</v>
      </c>
      <c r="BMU2" s="8">
        <f>COUNT(BMV4:BMV400)</f>
        <v>0</v>
      </c>
      <c r="BMW2" s="8">
        <f>COUNT(BMX4:BMX400)</f>
        <v>0</v>
      </c>
      <c r="BMY2" s="8">
        <f>COUNT(BMZ4:BMZ400)</f>
        <v>0</v>
      </c>
      <c r="BNA2" s="8">
        <f>COUNT(BNB4:BNB400)</f>
        <v>0</v>
      </c>
      <c r="BNC2" s="8">
        <f>COUNT(BND4:BND400)</f>
        <v>0</v>
      </c>
      <c r="BNE2" s="8">
        <f>COUNT(BNF4:BNF400)</f>
        <v>0</v>
      </c>
      <c r="BNG2" s="8">
        <f>COUNT(BNH4:BNH400)</f>
        <v>0</v>
      </c>
      <c r="BNI2" s="8">
        <f>COUNT(BNJ4:BNJ400)</f>
        <v>0</v>
      </c>
      <c r="BNK2" s="8">
        <f>COUNT(BNL4:BNL400)</f>
        <v>0</v>
      </c>
      <c r="BNM2" s="8">
        <f>COUNT(BNN4:BNN400)</f>
        <v>0</v>
      </c>
      <c r="BNO2" s="8">
        <f>COUNT(BNP4:BNP400)</f>
        <v>0</v>
      </c>
      <c r="BNQ2" s="8">
        <f>COUNT(BNR4:BNR400)</f>
        <v>0</v>
      </c>
      <c r="BNS2" s="8">
        <f>COUNT(BNT4:BNT400)</f>
        <v>0</v>
      </c>
      <c r="BNU2" s="8">
        <f>COUNT(BNV4:BNV400)</f>
        <v>0</v>
      </c>
      <c r="BNW2" s="8">
        <f>COUNT(BNX4:BNX400)</f>
        <v>0</v>
      </c>
      <c r="BNY2" s="8">
        <f>COUNT(BNZ4:BNZ400)</f>
        <v>0</v>
      </c>
      <c r="BOA2" s="8">
        <f>COUNT(BOB4:BOB400)</f>
        <v>0</v>
      </c>
      <c r="BOC2" s="8">
        <f>COUNT(BOD4:BOD400)</f>
        <v>0</v>
      </c>
      <c r="BOE2" s="8">
        <f>COUNT(BOF4:BOF400)</f>
        <v>0</v>
      </c>
      <c r="BOG2" s="8">
        <f>COUNT(BOH4:BOH400)</f>
        <v>0</v>
      </c>
      <c r="BOI2" s="8">
        <f>COUNT(BOJ4:BOJ400)</f>
        <v>0</v>
      </c>
      <c r="BOK2" s="8">
        <f>COUNT(BOL4:BOL400)</f>
        <v>0</v>
      </c>
      <c r="BOM2" s="8">
        <f>COUNT(BON4:BON400)</f>
        <v>0</v>
      </c>
      <c r="BOO2" s="8">
        <f>COUNT(BOP4:BOP400)</f>
        <v>0</v>
      </c>
      <c r="BOQ2" s="8">
        <f>COUNT(BOR4:BOR400)</f>
        <v>0</v>
      </c>
      <c r="BOS2" s="8">
        <f>COUNT(BOT4:BOT400)</f>
        <v>0</v>
      </c>
      <c r="BOU2" s="8">
        <f>COUNT(BOV4:BOV400)</f>
        <v>0</v>
      </c>
      <c r="BOW2" s="8">
        <f>COUNT(BOX4:BOX400)</f>
        <v>0</v>
      </c>
      <c r="BOY2" s="8">
        <f>COUNT(BOZ4:BOZ400)</f>
        <v>0</v>
      </c>
      <c r="BPA2" s="8">
        <f>COUNT(BPB4:BPB400)</f>
        <v>0</v>
      </c>
      <c r="BPC2" s="8">
        <f>COUNT(BPD4:BPD400)</f>
        <v>0</v>
      </c>
      <c r="BPE2" s="8">
        <f>COUNT(BPF4:BPF400)</f>
        <v>0</v>
      </c>
      <c r="BPG2" s="8">
        <f>COUNT(BPH4:BPH400)</f>
        <v>0</v>
      </c>
      <c r="BPI2" s="8">
        <f>COUNT(BPJ4:BPJ400)</f>
        <v>0</v>
      </c>
      <c r="BPK2" s="8">
        <f>COUNT(BPL4:BPL400)</f>
        <v>0</v>
      </c>
      <c r="BPM2" s="8">
        <f>COUNT(BPN4:BPN400)</f>
        <v>0</v>
      </c>
      <c r="BPO2" s="8">
        <f>COUNT(BPP4:BPP400)</f>
        <v>0</v>
      </c>
      <c r="BPQ2" s="8">
        <f>COUNT(BPR4:BPR400)</f>
        <v>0</v>
      </c>
      <c r="BPS2" s="8">
        <f>COUNT(BPT4:BPT400)</f>
        <v>0</v>
      </c>
      <c r="BPU2" s="8">
        <f>COUNT(BPV4:BPV400)</f>
        <v>0</v>
      </c>
      <c r="BPW2" s="8">
        <f>COUNT(BPX4:BPX400)</f>
        <v>0</v>
      </c>
      <c r="BPY2" s="8">
        <f>COUNT(BPZ4:BPZ400)</f>
        <v>0</v>
      </c>
      <c r="BQA2" s="8">
        <f>COUNT(BQB4:BQB400)</f>
        <v>0</v>
      </c>
      <c r="BQC2" s="8">
        <f>COUNT(BQD4:BQD400)</f>
        <v>0</v>
      </c>
      <c r="BQE2" s="8">
        <f>COUNT(BQF4:BQF400)</f>
        <v>0</v>
      </c>
      <c r="BQG2" s="8">
        <f>COUNT(BQH4:BQH400)</f>
        <v>0</v>
      </c>
      <c r="BQI2" s="8">
        <f>COUNT(BQJ4:BQJ400)</f>
        <v>0</v>
      </c>
      <c r="BQK2" s="8">
        <f>COUNT(BQL4:BQL400)</f>
        <v>0</v>
      </c>
      <c r="BQM2" s="8">
        <f>COUNT(BQN4:BQN400)</f>
        <v>0</v>
      </c>
      <c r="BQO2" s="8">
        <f>COUNT(BQP4:BQP400)</f>
        <v>0</v>
      </c>
      <c r="BQQ2" s="8">
        <f>COUNT(BQR4:BQR400)</f>
        <v>0</v>
      </c>
      <c r="BQS2" s="8">
        <f>COUNT(BQT4:BQT400)</f>
        <v>0</v>
      </c>
      <c r="BQU2" s="8">
        <f>COUNT(BQV4:BQV400)</f>
        <v>0</v>
      </c>
      <c r="BQW2" s="8">
        <f>COUNT(BQX4:BQX400)</f>
        <v>0</v>
      </c>
      <c r="BQY2" s="8">
        <f>COUNT(BQZ4:BQZ400)</f>
        <v>0</v>
      </c>
      <c r="BRA2" s="8">
        <f>COUNT(BRB4:BRB400)</f>
        <v>0</v>
      </c>
      <c r="BRC2" s="8">
        <f>COUNT(BRD4:BRD400)</f>
        <v>0</v>
      </c>
      <c r="BRE2" s="8">
        <f>COUNT(BRF4:BRF400)</f>
        <v>0</v>
      </c>
      <c r="BRG2" s="8">
        <f>COUNT(BRH4:BRH400)</f>
        <v>0</v>
      </c>
      <c r="BRI2" s="8">
        <f>COUNT(BRJ4:BRJ400)</f>
        <v>0</v>
      </c>
      <c r="BRK2" s="8">
        <f>COUNT(BRL4:BRL400)</f>
        <v>0</v>
      </c>
      <c r="BRM2" s="8">
        <f>COUNT(BRN4:BRN400)</f>
        <v>0</v>
      </c>
      <c r="BRO2" s="8">
        <f>COUNT(BRP4:BRP400)</f>
        <v>0</v>
      </c>
      <c r="BRQ2" s="8">
        <f>COUNT(BRR4:BRR400)</f>
        <v>0</v>
      </c>
      <c r="BRS2" s="8">
        <f>COUNT(BRT4:BRT400)</f>
        <v>0</v>
      </c>
      <c r="BRU2" s="8">
        <f>COUNT(BRV4:BRV400)</f>
        <v>0</v>
      </c>
      <c r="BRW2" s="8">
        <f>COUNT(BRX4:BRX400)</f>
        <v>0</v>
      </c>
      <c r="BRY2" s="8">
        <f>COUNT(BRZ4:BRZ400)</f>
        <v>0</v>
      </c>
      <c r="BSA2" s="8">
        <f>COUNT(BSB4:BSB400)</f>
        <v>0</v>
      </c>
      <c r="BSC2" s="8">
        <f>COUNT(BSD4:BSD400)</f>
        <v>0</v>
      </c>
      <c r="BSE2" s="8">
        <f>COUNT(BSF4:BSF400)</f>
        <v>0</v>
      </c>
      <c r="BSG2" s="8">
        <f>COUNT(BSH4:BSH400)</f>
        <v>0</v>
      </c>
      <c r="BSI2" s="8">
        <f>COUNT(BSJ4:BSJ400)</f>
        <v>0</v>
      </c>
      <c r="BSK2" s="8">
        <f>COUNT(BSL4:BSL400)</f>
        <v>0</v>
      </c>
      <c r="BSM2" s="8">
        <f>COUNT(BSN4:BSN400)</f>
        <v>0</v>
      </c>
      <c r="BSO2" s="8">
        <f>COUNT(BSP4:BSP400)</f>
        <v>0</v>
      </c>
      <c r="BSQ2" s="8">
        <f>COUNT(BSR4:BSR400)</f>
        <v>0</v>
      </c>
      <c r="BSS2" s="8">
        <f>COUNT(BST4:BST400)</f>
        <v>0</v>
      </c>
      <c r="BSU2" s="8">
        <f>COUNT(BSV4:BSV400)</f>
        <v>0</v>
      </c>
      <c r="BSW2" s="8">
        <f>COUNT(BSX4:BSX400)</f>
        <v>0</v>
      </c>
      <c r="BSY2" s="8">
        <f>COUNT(BSZ4:BSZ400)</f>
        <v>0</v>
      </c>
      <c r="BTA2" s="8">
        <f>COUNT(BTB4:BTB400)</f>
        <v>0</v>
      </c>
      <c r="BTC2" s="8">
        <f>COUNT(BTD4:BTD400)</f>
        <v>0</v>
      </c>
      <c r="BTE2" s="8">
        <f>COUNT(BTF4:BTF400)</f>
        <v>0</v>
      </c>
      <c r="BTG2" s="8">
        <f>COUNT(BTH4:BTH400)</f>
        <v>0</v>
      </c>
      <c r="BTI2" s="8">
        <f>COUNT(BTJ4:BTJ400)</f>
        <v>0</v>
      </c>
      <c r="BTK2" s="8">
        <f>COUNT(BTL4:BTL400)</f>
        <v>0</v>
      </c>
      <c r="BTM2" s="8">
        <f>COUNT(BTN4:BTN400)</f>
        <v>0</v>
      </c>
      <c r="BTO2" s="8">
        <f>COUNT(BTP4:BTP400)</f>
        <v>0</v>
      </c>
      <c r="BTQ2" s="8">
        <f>COUNT(BTR4:BTR400)</f>
        <v>0</v>
      </c>
      <c r="BTS2" s="8">
        <f>COUNT(BTT4:BTT400)</f>
        <v>0</v>
      </c>
      <c r="BTU2" s="8">
        <f>COUNT(BTV4:BTV400)</f>
        <v>0</v>
      </c>
      <c r="BTW2" s="8">
        <f>COUNT(BTX4:BTX400)</f>
        <v>0</v>
      </c>
      <c r="BTY2" s="8">
        <f>COUNT(BTZ4:BTZ400)</f>
        <v>0</v>
      </c>
      <c r="BUA2" s="8">
        <f>COUNT(BUB4:BUB400)</f>
        <v>0</v>
      </c>
      <c r="BUC2" s="8">
        <f>COUNT(BUD4:BUD400)</f>
        <v>0</v>
      </c>
      <c r="BUE2" s="8">
        <f>COUNT(BUF4:BUF400)</f>
        <v>0</v>
      </c>
      <c r="BUG2" s="8">
        <f>COUNT(BUH4:BUH400)</f>
        <v>0</v>
      </c>
      <c r="BUI2" s="8">
        <f>COUNT(BUJ4:BUJ400)</f>
        <v>0</v>
      </c>
      <c r="BUK2" s="8">
        <f>COUNT(BUL4:BUL400)</f>
        <v>0</v>
      </c>
      <c r="BUM2" s="8">
        <f>COUNT(BUN4:BUN400)</f>
        <v>0</v>
      </c>
      <c r="BUO2" s="8">
        <f>COUNT(BUP4:BUP400)</f>
        <v>0</v>
      </c>
      <c r="BUQ2" s="8">
        <f>COUNT(BUR4:BUR400)</f>
        <v>0</v>
      </c>
      <c r="BUS2" s="8">
        <f>COUNT(BUT4:BUT400)</f>
        <v>0</v>
      </c>
      <c r="BUU2" s="8">
        <f>COUNT(BUV4:BUV400)</f>
        <v>0</v>
      </c>
      <c r="BUW2" s="8">
        <f>COUNT(BUX4:BUX400)</f>
        <v>0</v>
      </c>
      <c r="BUY2" s="8">
        <f>COUNT(BUZ4:BUZ400)</f>
        <v>0</v>
      </c>
      <c r="BVA2" s="8">
        <f>COUNT(BVB4:BVB400)</f>
        <v>0</v>
      </c>
      <c r="BVC2" s="8">
        <f>COUNT(BVD4:BVD400)</f>
        <v>0</v>
      </c>
      <c r="BVE2" s="8">
        <f>COUNT(BVF4:BVF400)</f>
        <v>0</v>
      </c>
      <c r="BVG2" s="8">
        <f>COUNT(BVH4:BVH400)</f>
        <v>0</v>
      </c>
      <c r="BVI2" s="8">
        <f>COUNT(BVJ4:BVJ400)</f>
        <v>0</v>
      </c>
      <c r="BVK2" s="8">
        <f>COUNT(BVL4:BVL400)</f>
        <v>0</v>
      </c>
      <c r="BVM2" s="8">
        <f>COUNT(BVN4:BVN400)</f>
        <v>0</v>
      </c>
      <c r="BVO2" s="8">
        <f>COUNT(BVP4:BVP400)</f>
        <v>0</v>
      </c>
      <c r="BVQ2" s="8">
        <f>COUNT(BVR4:BVR400)</f>
        <v>0</v>
      </c>
      <c r="BVS2" s="8">
        <f>COUNT(BVT4:BVT400)</f>
        <v>0</v>
      </c>
      <c r="BVU2" s="8">
        <f>COUNT(BVV4:BVV400)</f>
        <v>0</v>
      </c>
      <c r="BVW2" s="8">
        <f>COUNT(BVX4:BVX400)</f>
        <v>0</v>
      </c>
      <c r="BVY2" s="8">
        <f>COUNT(BVZ4:BVZ400)</f>
        <v>0</v>
      </c>
      <c r="BWA2" s="8">
        <f>COUNT(BWB4:BWB400)</f>
        <v>0</v>
      </c>
      <c r="BWC2" s="8">
        <f>COUNT(BWD4:BWD400)</f>
        <v>0</v>
      </c>
      <c r="BWE2" s="8">
        <f>COUNT(BWF4:BWF400)</f>
        <v>0</v>
      </c>
      <c r="BWG2" s="8">
        <f>COUNT(BWH4:BWH400)</f>
        <v>0</v>
      </c>
      <c r="BWI2" s="8">
        <f>COUNT(BWJ4:BWJ400)</f>
        <v>0</v>
      </c>
      <c r="BWK2" s="8">
        <f>COUNT(BWL4:BWL400)</f>
        <v>0</v>
      </c>
      <c r="BWM2" s="8">
        <f>COUNT(BWN4:BWN400)</f>
        <v>0</v>
      </c>
      <c r="BWO2" s="8">
        <f>COUNT(BWP4:BWP400)</f>
        <v>0</v>
      </c>
      <c r="BWQ2" s="8">
        <f>COUNT(BWR4:BWR400)</f>
        <v>0</v>
      </c>
      <c r="BWS2" s="8">
        <f>COUNT(BWT4:BWT400)</f>
        <v>0</v>
      </c>
      <c r="BWU2" s="8">
        <f>COUNT(BWV4:BWV400)</f>
        <v>0</v>
      </c>
      <c r="BWW2" s="8">
        <f>COUNT(BWX4:BWX400)</f>
        <v>0</v>
      </c>
      <c r="BWY2" s="8">
        <f>COUNT(BWZ4:BWZ400)</f>
        <v>0</v>
      </c>
      <c r="BXA2" s="8">
        <f>COUNT(BXB4:BXB400)</f>
        <v>0</v>
      </c>
      <c r="BXC2" s="8">
        <f>COUNT(BXD4:BXD400)</f>
        <v>0</v>
      </c>
      <c r="BXE2" s="8">
        <f>COUNT(BXF4:BXF400)</f>
        <v>0</v>
      </c>
      <c r="BXG2" s="8">
        <f>COUNT(BXH4:BXH400)</f>
        <v>0</v>
      </c>
      <c r="BXI2" s="8">
        <f>COUNT(BXJ4:BXJ400)</f>
        <v>0</v>
      </c>
      <c r="BXK2" s="8">
        <f>COUNT(BXL4:BXL400)</f>
        <v>0</v>
      </c>
      <c r="BXM2" s="8">
        <f>COUNT(BXN4:BXN400)</f>
        <v>0</v>
      </c>
      <c r="BXO2" s="8">
        <f>COUNT(BXP4:BXP400)</f>
        <v>0</v>
      </c>
      <c r="BXQ2" s="8">
        <f>COUNT(BXR4:BXR400)</f>
        <v>0</v>
      </c>
      <c r="BXS2" s="8">
        <f>COUNT(BXT4:BXT400)</f>
        <v>0</v>
      </c>
      <c r="BXU2" s="8">
        <f>COUNT(BXV4:BXV400)</f>
        <v>0</v>
      </c>
      <c r="BXW2" s="8">
        <f>COUNT(BXX4:BXX400)</f>
        <v>0</v>
      </c>
      <c r="BXY2" s="8">
        <f>COUNT(BXZ4:BXZ400)</f>
        <v>0</v>
      </c>
      <c r="BYA2" s="8">
        <f>COUNT(BYB4:BYB400)</f>
        <v>0</v>
      </c>
      <c r="BYC2" s="8">
        <f>COUNT(BYD4:BYD400)</f>
        <v>0</v>
      </c>
      <c r="BYE2" s="8">
        <f>COUNT(BYF4:BYF400)</f>
        <v>0</v>
      </c>
      <c r="BYG2" s="8">
        <f>COUNT(BYH4:BYH400)</f>
        <v>0</v>
      </c>
      <c r="BYI2" s="8">
        <f>COUNT(BYJ4:BYJ400)</f>
        <v>0</v>
      </c>
      <c r="BYK2" s="8">
        <f>COUNT(BYL4:BYL400)</f>
        <v>0</v>
      </c>
      <c r="BYM2" s="8">
        <f>COUNT(BYN4:BYN400)</f>
        <v>0</v>
      </c>
      <c r="BYO2" s="8">
        <f>COUNT(BYP4:BYP400)</f>
        <v>0</v>
      </c>
      <c r="BYQ2" s="8">
        <f>COUNT(BYR4:BYR400)</f>
        <v>0</v>
      </c>
      <c r="BYS2" s="8">
        <f>COUNT(BYT4:BYT400)</f>
        <v>0</v>
      </c>
      <c r="BYU2" s="8">
        <f>COUNT(BYV4:BYV400)</f>
        <v>0</v>
      </c>
      <c r="BYW2" s="8">
        <f>COUNT(BYX4:BYX400)</f>
        <v>0</v>
      </c>
      <c r="BYY2" s="8">
        <f>COUNT(BYZ4:BYZ400)</f>
        <v>0</v>
      </c>
      <c r="BZA2" s="8">
        <f>COUNT(BZB4:BZB400)</f>
        <v>0</v>
      </c>
      <c r="BZC2" s="8">
        <f>COUNT(BZD4:BZD400)</f>
        <v>0</v>
      </c>
      <c r="BZE2" s="8">
        <f>COUNT(BZF4:BZF400)</f>
        <v>0</v>
      </c>
      <c r="BZG2" s="8">
        <f>COUNT(BZH4:BZH400)</f>
        <v>0</v>
      </c>
      <c r="BZI2" s="8">
        <f>COUNT(BZJ4:BZJ400)</f>
        <v>0</v>
      </c>
      <c r="BZK2" s="8">
        <f>COUNT(BZL4:BZL400)</f>
        <v>0</v>
      </c>
      <c r="BZM2" s="8">
        <f>COUNT(BZN4:BZN400)</f>
        <v>0</v>
      </c>
      <c r="BZO2" s="8">
        <f>COUNT(BZP4:BZP400)</f>
        <v>0</v>
      </c>
      <c r="BZQ2" s="8">
        <f>COUNT(BZR4:BZR400)</f>
        <v>0</v>
      </c>
      <c r="BZS2" s="8">
        <f>COUNT(BZT4:BZT400)</f>
        <v>0</v>
      </c>
      <c r="BZU2" s="8">
        <f>COUNT(BZV4:BZV400)</f>
        <v>0</v>
      </c>
      <c r="BZW2" s="8">
        <f>COUNT(BZX4:BZX400)</f>
        <v>0</v>
      </c>
      <c r="BZY2" s="8">
        <f>COUNT(BZZ4:BZZ400)</f>
        <v>0</v>
      </c>
      <c r="CAA2" s="8">
        <f>COUNT(CAB4:CAB400)</f>
        <v>0</v>
      </c>
      <c r="CAC2" s="8">
        <f>COUNT(CAD4:CAD400)</f>
        <v>0</v>
      </c>
      <c r="CAE2" s="8">
        <f>COUNT(CAF4:CAF400)</f>
        <v>0</v>
      </c>
      <c r="CAG2" s="8">
        <f>COUNT(CAH4:CAH400)</f>
        <v>0</v>
      </c>
      <c r="CAI2" s="8">
        <f>COUNT(CAJ4:CAJ400)</f>
        <v>0</v>
      </c>
      <c r="CAK2" s="8">
        <f>COUNT(CAL4:CAL400)</f>
        <v>0</v>
      </c>
      <c r="CAM2" s="8">
        <f>COUNT(CAN4:CAN400)</f>
        <v>0</v>
      </c>
      <c r="CAO2" s="8">
        <f>COUNT(CAP4:CAP400)</f>
        <v>0</v>
      </c>
      <c r="CAQ2" s="8">
        <f>COUNT(CAR4:CAR400)</f>
        <v>0</v>
      </c>
      <c r="CAS2" s="8">
        <f>COUNT(CAT4:CAT400)</f>
        <v>0</v>
      </c>
      <c r="CAU2" s="8">
        <f>COUNT(CAV4:CAV400)</f>
        <v>0</v>
      </c>
      <c r="CAW2" s="8">
        <f>COUNT(CAX4:CAX400)</f>
        <v>0</v>
      </c>
      <c r="CAY2" s="8">
        <f>COUNT(CAZ4:CAZ400)</f>
        <v>0</v>
      </c>
      <c r="CBA2" s="8">
        <f>COUNT(CBB4:CBB400)</f>
        <v>0</v>
      </c>
      <c r="CBC2" s="8">
        <f>COUNT(CBD4:CBD400)</f>
        <v>0</v>
      </c>
      <c r="CBE2" s="8">
        <f>COUNT(CBF4:CBF400)</f>
        <v>0</v>
      </c>
      <c r="CBG2" s="8">
        <f>COUNT(CBH4:CBH400)</f>
        <v>0</v>
      </c>
      <c r="CBI2" s="8">
        <f>COUNT(CBJ4:CBJ400)</f>
        <v>0</v>
      </c>
      <c r="CBK2" s="8">
        <f>COUNT(CBL4:CBL400)</f>
        <v>0</v>
      </c>
      <c r="CBM2" s="8">
        <f>COUNT(CBN4:CBN400)</f>
        <v>0</v>
      </c>
      <c r="CBO2" s="8">
        <f>COUNT(CBP4:CBP400)</f>
        <v>0</v>
      </c>
      <c r="CBQ2" s="8">
        <f>COUNT(CBR4:CBR400)</f>
        <v>0</v>
      </c>
      <c r="CBS2" s="8">
        <f>COUNT(CBT4:CBT400)</f>
        <v>0</v>
      </c>
      <c r="CBU2" s="8">
        <f>COUNT(CBV4:CBV400)</f>
        <v>0</v>
      </c>
      <c r="CBW2" s="8">
        <f>COUNT(CBX4:CBX400)</f>
        <v>0</v>
      </c>
      <c r="CBY2" s="8">
        <f>COUNT(CBZ4:CBZ400)</f>
        <v>0</v>
      </c>
      <c r="CCA2" s="8">
        <f>COUNT(CCB4:CCB400)</f>
        <v>0</v>
      </c>
      <c r="CCC2" s="8">
        <f>COUNT(CCD4:CCD400)</f>
        <v>0</v>
      </c>
      <c r="CCE2" s="8">
        <f>COUNT(CCF4:CCF400)</f>
        <v>0</v>
      </c>
      <c r="CCG2" s="8">
        <f>COUNT(CCH4:CCH400)</f>
        <v>0</v>
      </c>
      <c r="CCI2" s="8">
        <f>COUNT(CCJ4:CCJ400)</f>
        <v>0</v>
      </c>
      <c r="CCK2" s="8">
        <f>COUNT(CCL4:CCL400)</f>
        <v>0</v>
      </c>
      <c r="CCM2" s="8">
        <f>COUNT(CCN4:CCN400)</f>
        <v>0</v>
      </c>
      <c r="CCO2" s="8">
        <f>COUNT(CCP4:CCP400)</f>
        <v>0</v>
      </c>
      <c r="CCQ2" s="8">
        <f>COUNT(CCR4:CCR400)</f>
        <v>0</v>
      </c>
      <c r="CCS2" s="8">
        <f>COUNT(CCT4:CCT400)</f>
        <v>0</v>
      </c>
      <c r="CCU2" s="8">
        <f>COUNT(CCV4:CCV400)</f>
        <v>0</v>
      </c>
      <c r="CCW2" s="8">
        <f>COUNT(CCX4:CCX400)</f>
        <v>0</v>
      </c>
      <c r="CCY2" s="8">
        <f>COUNT(CCZ4:CCZ400)</f>
        <v>0</v>
      </c>
      <c r="CDA2" s="8">
        <f>COUNT(CDB4:CDB400)</f>
        <v>0</v>
      </c>
      <c r="CDC2" s="8">
        <f>COUNT(CDD4:CDD400)</f>
        <v>0</v>
      </c>
      <c r="CDE2" s="8">
        <f>COUNT(CDF4:CDF400)</f>
        <v>0</v>
      </c>
      <c r="CDG2" s="8">
        <f>COUNT(CDH4:CDH400)</f>
        <v>0</v>
      </c>
      <c r="CDI2" s="8">
        <f>COUNT(CDJ4:CDJ400)</f>
        <v>0</v>
      </c>
      <c r="CDK2" s="8">
        <f>COUNT(CDL4:CDL400)</f>
        <v>0</v>
      </c>
      <c r="CDM2" s="8">
        <f>COUNT(CDN4:CDN400)</f>
        <v>0</v>
      </c>
      <c r="CDO2" s="8">
        <f>COUNT(CDP4:CDP400)</f>
        <v>0</v>
      </c>
      <c r="CDQ2" s="8">
        <f>COUNT(CDR4:CDR400)</f>
        <v>0</v>
      </c>
      <c r="CDS2" s="8">
        <f>COUNT(CDT4:CDT400)</f>
        <v>0</v>
      </c>
      <c r="CDU2" s="8">
        <f>COUNT(CDV4:CDV400)</f>
        <v>0</v>
      </c>
      <c r="CDW2" s="8">
        <f>COUNT(CDX4:CDX400)</f>
        <v>0</v>
      </c>
      <c r="CDY2" s="8">
        <f>COUNT(CDZ4:CDZ400)</f>
        <v>0</v>
      </c>
      <c r="CEA2" s="8">
        <f>COUNT(CEB4:CEB400)</f>
        <v>0</v>
      </c>
      <c r="CEC2" s="8">
        <f>COUNT(CED4:CED400)</f>
        <v>0</v>
      </c>
      <c r="CEE2" s="8">
        <f>COUNT(CEF4:CEF400)</f>
        <v>0</v>
      </c>
      <c r="CEG2" s="8">
        <f>COUNT(CEH4:CEH400)</f>
        <v>0</v>
      </c>
      <c r="CEI2" s="8">
        <f>COUNT(CEJ4:CEJ400)</f>
        <v>0</v>
      </c>
      <c r="CEK2" s="8">
        <f>COUNT(CEL4:CEL400)</f>
        <v>0</v>
      </c>
      <c r="CEM2" s="8">
        <f>COUNT(CEN4:CEN400)</f>
        <v>0</v>
      </c>
      <c r="CEO2" s="8">
        <f>COUNT(CEP4:CEP400)</f>
        <v>0</v>
      </c>
      <c r="CEQ2" s="8">
        <f>COUNT(CER4:CER400)</f>
        <v>0</v>
      </c>
      <c r="CES2" s="8">
        <f>COUNT(CET4:CET400)</f>
        <v>0</v>
      </c>
      <c r="CEU2" s="8">
        <f>COUNT(CEV4:CEV400)</f>
        <v>0</v>
      </c>
      <c r="CEW2" s="8">
        <f>COUNT(CEX4:CEX400)</f>
        <v>0</v>
      </c>
      <c r="CEY2" s="8">
        <f>COUNT(CEZ4:CEZ400)</f>
        <v>0</v>
      </c>
      <c r="CFA2" s="8">
        <f>COUNT(CFB4:CFB400)</f>
        <v>0</v>
      </c>
      <c r="CFC2" s="8">
        <f>COUNT(CFD4:CFD400)</f>
        <v>0</v>
      </c>
      <c r="CFE2" s="8">
        <f>COUNT(CFF4:CFF400)</f>
        <v>0</v>
      </c>
      <c r="CFG2" s="8">
        <f>COUNT(CFH4:CFH400)</f>
        <v>0</v>
      </c>
      <c r="CFI2" s="8">
        <f>COUNT(CFJ4:CFJ400)</f>
        <v>0</v>
      </c>
      <c r="CFK2" s="8">
        <f>COUNT(CFL4:CFL400)</f>
        <v>0</v>
      </c>
      <c r="CFM2" s="8">
        <f>COUNT(CFN4:CFN400)</f>
        <v>0</v>
      </c>
      <c r="CFO2" s="8">
        <f>COUNT(CFP4:CFP400)</f>
        <v>0</v>
      </c>
      <c r="CFQ2" s="8">
        <f>COUNT(CFR4:CFR400)</f>
        <v>0</v>
      </c>
      <c r="CFS2" s="8">
        <f>COUNT(CFT4:CFT400)</f>
        <v>0</v>
      </c>
      <c r="CFU2" s="8">
        <f>COUNT(CFV4:CFV400)</f>
        <v>0</v>
      </c>
      <c r="CFW2" s="8">
        <f>COUNT(CFX4:CFX400)</f>
        <v>0</v>
      </c>
      <c r="CFY2" s="8">
        <f>COUNT(CFZ4:CFZ400)</f>
        <v>0</v>
      </c>
      <c r="CGA2" s="8">
        <f>COUNT(CGB4:CGB400)</f>
        <v>0</v>
      </c>
      <c r="CGC2" s="8">
        <f>COUNT(CGD4:CGD400)</f>
        <v>0</v>
      </c>
      <c r="CGE2" s="8">
        <f>COUNT(CGF4:CGF400)</f>
        <v>0</v>
      </c>
      <c r="CGG2" s="8">
        <f>COUNT(CGH4:CGH400)</f>
        <v>0</v>
      </c>
      <c r="CGI2" s="8">
        <f>COUNT(CGJ4:CGJ400)</f>
        <v>0</v>
      </c>
      <c r="CGK2" s="8">
        <f>COUNT(CGL4:CGL400)</f>
        <v>0</v>
      </c>
      <c r="CGM2" s="8">
        <f>COUNT(CGN4:CGN400)</f>
        <v>0</v>
      </c>
      <c r="CGO2" s="8">
        <f>COUNT(CGP4:CGP400)</f>
        <v>0</v>
      </c>
      <c r="CGQ2" s="8">
        <f>COUNT(CGR4:CGR400)</f>
        <v>0</v>
      </c>
      <c r="CGS2" s="8">
        <f>COUNT(CGT4:CGT400)</f>
        <v>0</v>
      </c>
      <c r="CGU2" s="8">
        <f>COUNT(CGV4:CGV400)</f>
        <v>0</v>
      </c>
      <c r="CGW2" s="8">
        <f>COUNT(CGX4:CGX400)</f>
        <v>0</v>
      </c>
      <c r="CGY2" s="8">
        <f>COUNT(CGZ4:CGZ400)</f>
        <v>0</v>
      </c>
      <c r="CHA2" s="8">
        <f>COUNT(CHB4:CHB400)</f>
        <v>0</v>
      </c>
      <c r="CHC2" s="8">
        <f>COUNT(CHD4:CHD400)</f>
        <v>0</v>
      </c>
      <c r="CHE2" s="8">
        <f>COUNT(CHF4:CHF400)</f>
        <v>0</v>
      </c>
      <c r="CHG2" s="8">
        <f>COUNT(CHH4:CHH400)</f>
        <v>0</v>
      </c>
      <c r="CHI2" s="8">
        <f>COUNT(CHJ4:CHJ400)</f>
        <v>0</v>
      </c>
      <c r="CHK2" s="8">
        <f>COUNT(CHL4:CHL400)</f>
        <v>0</v>
      </c>
      <c r="CHM2" s="8">
        <f>COUNT(CHN4:CHN400)</f>
        <v>0</v>
      </c>
      <c r="CHO2" s="8">
        <f>COUNT(CHP4:CHP400)</f>
        <v>0</v>
      </c>
      <c r="CHQ2" s="8">
        <f>COUNT(CHR4:CHR400)</f>
        <v>0</v>
      </c>
      <c r="CHS2" s="8">
        <f>COUNT(CHT4:CHT400)</f>
        <v>0</v>
      </c>
      <c r="CHU2" s="8">
        <f>COUNT(CHV4:CHV400)</f>
        <v>0</v>
      </c>
      <c r="CHW2" s="8">
        <f>COUNT(CHX4:CHX400)</f>
        <v>0</v>
      </c>
      <c r="CHY2" s="8">
        <f>COUNT(CHZ4:CHZ400)</f>
        <v>0</v>
      </c>
      <c r="CIA2" s="8">
        <f>COUNT(CIB4:CIB400)</f>
        <v>0</v>
      </c>
      <c r="CIC2" s="8">
        <f>COUNT(CID4:CID400)</f>
        <v>0</v>
      </c>
      <c r="CIE2" s="8">
        <f>COUNT(CIF4:CIF400)</f>
        <v>0</v>
      </c>
      <c r="CIG2" s="8">
        <f>COUNT(CIH4:CIH400)</f>
        <v>0</v>
      </c>
      <c r="CII2" s="8">
        <f>COUNT(CIJ4:CIJ400)</f>
        <v>0</v>
      </c>
      <c r="CIK2" s="8">
        <f>COUNT(CIL4:CIL400)</f>
        <v>0</v>
      </c>
      <c r="CIM2" s="8">
        <f>COUNT(CIN4:CIN400)</f>
        <v>0</v>
      </c>
      <c r="CIO2" s="8">
        <f>COUNT(CIP4:CIP400)</f>
        <v>0</v>
      </c>
      <c r="CIQ2" s="8">
        <f>COUNT(CIR4:CIR400)</f>
        <v>0</v>
      </c>
      <c r="CIS2" s="8">
        <f>COUNT(CIT4:CIT400)</f>
        <v>0</v>
      </c>
      <c r="CIU2" s="8">
        <f>COUNT(CIV4:CIV400)</f>
        <v>0</v>
      </c>
      <c r="CIW2" s="8">
        <f>COUNT(CIX4:CIX400)</f>
        <v>0</v>
      </c>
      <c r="CIY2" s="8">
        <f>COUNT(CIZ4:CIZ400)</f>
        <v>0</v>
      </c>
      <c r="CJA2" s="8">
        <f>COUNT(CJB4:CJB400)</f>
        <v>0</v>
      </c>
      <c r="CJC2" s="8">
        <f>COUNT(CJD4:CJD400)</f>
        <v>0</v>
      </c>
      <c r="CJE2" s="8">
        <f>COUNT(CJF4:CJF400)</f>
        <v>0</v>
      </c>
      <c r="CJG2" s="8">
        <f>COUNT(CJH4:CJH400)</f>
        <v>0</v>
      </c>
      <c r="CJI2" s="8">
        <f>COUNT(CJJ4:CJJ400)</f>
        <v>0</v>
      </c>
      <c r="CJK2" s="8">
        <f>COUNT(CJL4:CJL400)</f>
        <v>0</v>
      </c>
      <c r="CJM2" s="8">
        <f>COUNT(CJN4:CJN400)</f>
        <v>0</v>
      </c>
      <c r="CJO2" s="8">
        <f>COUNT(CJP4:CJP400)</f>
        <v>0</v>
      </c>
      <c r="CJQ2" s="8">
        <f>COUNT(CJR4:CJR400)</f>
        <v>0</v>
      </c>
      <c r="CJS2" s="8">
        <f>COUNT(CJT4:CJT400)</f>
        <v>0</v>
      </c>
      <c r="CJU2" s="8">
        <f>COUNT(CJV4:CJV400)</f>
        <v>0</v>
      </c>
      <c r="CJW2" s="8">
        <f>COUNT(CJX4:CJX400)</f>
        <v>0</v>
      </c>
      <c r="CJY2" s="8">
        <f>COUNT(CJZ4:CJZ400)</f>
        <v>0</v>
      </c>
      <c r="CKA2" s="8">
        <f>COUNT(CKB4:CKB400)</f>
        <v>0</v>
      </c>
      <c r="CKC2" s="8">
        <f>COUNT(CKD4:CKD400)</f>
        <v>0</v>
      </c>
      <c r="CKE2" s="8">
        <f>COUNT(CKF4:CKF400)</f>
        <v>0</v>
      </c>
      <c r="CKG2" s="8">
        <f>COUNT(CKH4:CKH400)</f>
        <v>0</v>
      </c>
      <c r="CKI2" s="8">
        <f>COUNT(CKJ4:CKJ400)</f>
        <v>0</v>
      </c>
      <c r="CKK2" s="8">
        <f>COUNT(CKL4:CKL400)</f>
        <v>0</v>
      </c>
      <c r="CKM2" s="8">
        <f>COUNT(CKN4:CKN400)</f>
        <v>0</v>
      </c>
      <c r="CKO2" s="8">
        <f>COUNT(CKP4:CKP400)</f>
        <v>0</v>
      </c>
      <c r="CKQ2" s="8">
        <f>COUNT(CKR4:CKR400)</f>
        <v>0</v>
      </c>
      <c r="CKS2" s="8">
        <f>COUNT(CKT4:CKT400)</f>
        <v>0</v>
      </c>
      <c r="CKU2" s="8">
        <f>COUNT(CKV4:CKV400)</f>
        <v>0</v>
      </c>
      <c r="CKW2" s="8">
        <f>COUNT(CKX4:CKX400)</f>
        <v>0</v>
      </c>
      <c r="CKY2" s="8">
        <f>COUNT(CKZ4:CKZ400)</f>
        <v>0</v>
      </c>
      <c r="CLA2" s="8">
        <f>COUNT(CLB4:CLB400)</f>
        <v>0</v>
      </c>
      <c r="CLC2" s="8">
        <f>COUNT(CLD4:CLD400)</f>
        <v>0</v>
      </c>
      <c r="CLE2" s="8">
        <f>COUNT(CLF4:CLF400)</f>
        <v>0</v>
      </c>
      <c r="CLG2" s="8">
        <f>COUNT(CLH4:CLH400)</f>
        <v>0</v>
      </c>
      <c r="CLI2" s="8">
        <f>COUNT(CLJ4:CLJ400)</f>
        <v>0</v>
      </c>
      <c r="CLK2" s="8">
        <f>COUNT(CLL4:CLL400)</f>
        <v>0</v>
      </c>
      <c r="CLM2" s="8">
        <f>COUNT(CLN4:CLN400)</f>
        <v>0</v>
      </c>
      <c r="CLO2" s="8">
        <f>COUNT(CLP4:CLP400)</f>
        <v>0</v>
      </c>
      <c r="CLQ2" s="8">
        <f>COUNT(CLR4:CLR400)</f>
        <v>0</v>
      </c>
      <c r="CLS2" s="8">
        <f>COUNT(CLT4:CLT400)</f>
        <v>0</v>
      </c>
      <c r="CLU2" s="8">
        <f>COUNT(CLV4:CLV400)</f>
        <v>0</v>
      </c>
      <c r="CLW2" s="8">
        <f>COUNT(CLX4:CLX400)</f>
        <v>0</v>
      </c>
      <c r="CLY2" s="8">
        <f>COUNT(CLZ4:CLZ400)</f>
        <v>0</v>
      </c>
      <c r="CMA2" s="8">
        <f>COUNT(CMB4:CMB400)</f>
        <v>0</v>
      </c>
      <c r="CMC2" s="8">
        <f>COUNT(CMD4:CMD400)</f>
        <v>0</v>
      </c>
      <c r="CME2" s="8">
        <f>COUNT(CMF4:CMF400)</f>
        <v>0</v>
      </c>
      <c r="CMG2" s="8">
        <f>COUNT(CMH4:CMH400)</f>
        <v>0</v>
      </c>
      <c r="CMI2" s="8">
        <f>COUNT(CMJ4:CMJ400)</f>
        <v>0</v>
      </c>
      <c r="CMK2" s="8">
        <f>COUNT(CML4:CML400)</f>
        <v>0</v>
      </c>
      <c r="CMM2" s="8">
        <f>COUNT(CMN4:CMN400)</f>
        <v>0</v>
      </c>
      <c r="CMO2" s="8">
        <f>COUNT(CMP4:CMP400)</f>
        <v>0</v>
      </c>
      <c r="CMQ2" s="8">
        <f>COUNT(CMR4:CMR400)</f>
        <v>0</v>
      </c>
      <c r="CMS2" s="8">
        <f>COUNT(CMT4:CMT400)</f>
        <v>0</v>
      </c>
      <c r="CMU2" s="8">
        <f>COUNT(CMV4:CMV400)</f>
        <v>0</v>
      </c>
      <c r="CMW2" s="8">
        <f>COUNT(CMX4:CMX400)</f>
        <v>0</v>
      </c>
      <c r="CMY2" s="8">
        <f>COUNT(CMZ4:CMZ400)</f>
        <v>0</v>
      </c>
      <c r="CNA2" s="8">
        <f>COUNT(CNB4:CNB400)</f>
        <v>0</v>
      </c>
      <c r="CNC2" s="8">
        <f>COUNT(CND4:CND400)</f>
        <v>0</v>
      </c>
      <c r="CNE2" s="8">
        <f>COUNT(CNF4:CNF400)</f>
        <v>0</v>
      </c>
      <c r="CNG2" s="8">
        <f>COUNT(CNH4:CNH400)</f>
        <v>0</v>
      </c>
      <c r="CNI2" s="8">
        <f>COUNT(CNJ4:CNJ400)</f>
        <v>0</v>
      </c>
      <c r="CNK2" s="8">
        <f>COUNT(CNL4:CNL400)</f>
        <v>0</v>
      </c>
      <c r="CNM2" s="8">
        <f>COUNT(CNN4:CNN400)</f>
        <v>0</v>
      </c>
      <c r="CNO2" s="8">
        <f>COUNT(CNP4:CNP400)</f>
        <v>0</v>
      </c>
      <c r="CNQ2" s="8">
        <f>COUNT(CNR4:CNR400)</f>
        <v>0</v>
      </c>
      <c r="CNS2" s="8">
        <f>COUNT(CNT4:CNT400)</f>
        <v>0</v>
      </c>
      <c r="CNU2" s="8">
        <f>COUNT(CNV4:CNV400)</f>
        <v>0</v>
      </c>
      <c r="CNW2" s="8">
        <f>COUNT(CNX4:CNX400)</f>
        <v>0</v>
      </c>
      <c r="CNY2" s="8">
        <f>COUNT(CNZ4:CNZ400)</f>
        <v>0</v>
      </c>
      <c r="COA2" s="8">
        <f>COUNT(COB4:COB400)</f>
        <v>0</v>
      </c>
      <c r="COC2" s="8">
        <f>COUNT(COD4:COD400)</f>
        <v>0</v>
      </c>
      <c r="COE2" s="8">
        <f>COUNT(COF4:COF400)</f>
        <v>0</v>
      </c>
      <c r="COG2" s="8">
        <f>COUNT(COH4:COH400)</f>
        <v>0</v>
      </c>
      <c r="COI2" s="8">
        <f>COUNT(COJ4:COJ400)</f>
        <v>0</v>
      </c>
      <c r="COK2" s="8">
        <f>COUNT(COL4:COL400)</f>
        <v>0</v>
      </c>
      <c r="COM2" s="8">
        <f>COUNT(CON4:CON400)</f>
        <v>0</v>
      </c>
      <c r="COO2" s="8">
        <f>COUNT(COP4:COP400)</f>
        <v>0</v>
      </c>
      <c r="COQ2" s="8">
        <f>COUNT(COR4:COR400)</f>
        <v>0</v>
      </c>
      <c r="COS2" s="8">
        <f>COUNT(COT4:COT400)</f>
        <v>0</v>
      </c>
      <c r="COU2" s="8">
        <f>COUNT(COV4:COV400)</f>
        <v>0</v>
      </c>
      <c r="COW2" s="8">
        <f>COUNT(COX4:COX400)</f>
        <v>0</v>
      </c>
      <c r="COY2" s="8">
        <f>COUNT(COZ4:COZ400)</f>
        <v>0</v>
      </c>
      <c r="CPA2" s="8">
        <f>COUNT(CPB4:CPB400)</f>
        <v>0</v>
      </c>
      <c r="CPC2" s="8">
        <f>COUNT(CPD4:CPD400)</f>
        <v>0</v>
      </c>
      <c r="CPE2" s="8">
        <f>COUNT(CPF4:CPF400)</f>
        <v>0</v>
      </c>
      <c r="CPG2" s="8">
        <f>COUNT(CPH4:CPH400)</f>
        <v>0</v>
      </c>
      <c r="CPI2" s="8">
        <f>COUNT(CPJ4:CPJ400)</f>
        <v>0</v>
      </c>
      <c r="CPK2" s="8">
        <f>COUNT(CPL4:CPL400)</f>
        <v>0</v>
      </c>
      <c r="CPM2" s="8">
        <f>COUNT(CPN4:CPN400)</f>
        <v>0</v>
      </c>
      <c r="CPO2" s="8">
        <f>COUNT(CPP4:CPP400)</f>
        <v>0</v>
      </c>
      <c r="CPQ2" s="8">
        <f>COUNT(CPR4:CPR400)</f>
        <v>0</v>
      </c>
      <c r="CPS2" s="8">
        <f>COUNT(CPT4:CPT400)</f>
        <v>0</v>
      </c>
      <c r="CPU2" s="8">
        <f>COUNT(CPV4:CPV400)</f>
        <v>0</v>
      </c>
      <c r="CPW2" s="8">
        <f>COUNT(CPX4:CPX400)</f>
        <v>0</v>
      </c>
      <c r="CPY2" s="8">
        <f>COUNT(CPZ4:CPZ400)</f>
        <v>0</v>
      </c>
      <c r="CQA2" s="8">
        <f>COUNT(CQB4:CQB400)</f>
        <v>0</v>
      </c>
      <c r="CQC2" s="8">
        <f>COUNT(CQD4:CQD400)</f>
        <v>0</v>
      </c>
      <c r="CQE2" s="8">
        <f>COUNT(CQF4:CQF400)</f>
        <v>0</v>
      </c>
      <c r="CQG2" s="8">
        <f>COUNT(CQH4:CQH400)</f>
        <v>0</v>
      </c>
      <c r="CQI2" s="8">
        <f>COUNT(CQJ4:CQJ400)</f>
        <v>0</v>
      </c>
      <c r="CQK2" s="8">
        <f>COUNT(CQL4:CQL400)</f>
        <v>0</v>
      </c>
      <c r="CQM2" s="8">
        <f>COUNT(CQN4:CQN400)</f>
        <v>0</v>
      </c>
      <c r="CQO2" s="8">
        <f>COUNT(CQP4:CQP400)</f>
        <v>0</v>
      </c>
      <c r="CQQ2" s="8">
        <f>COUNT(CQR4:CQR400)</f>
        <v>0</v>
      </c>
      <c r="CQS2" s="8">
        <f>COUNT(CQT4:CQT400)</f>
        <v>0</v>
      </c>
      <c r="CQU2" s="8">
        <f>COUNT(CQV4:CQV400)</f>
        <v>0</v>
      </c>
      <c r="CQW2" s="8">
        <f>COUNT(CQX4:CQX400)</f>
        <v>0</v>
      </c>
      <c r="CQY2" s="8">
        <f>COUNT(CQZ4:CQZ400)</f>
        <v>0</v>
      </c>
      <c r="CRA2" s="8">
        <f>COUNT(CRB4:CRB400)</f>
        <v>0</v>
      </c>
      <c r="CRC2" s="8">
        <f>COUNT(CRD4:CRD400)</f>
        <v>0</v>
      </c>
      <c r="CRE2" s="8">
        <f>COUNT(CRF4:CRF400)</f>
        <v>0</v>
      </c>
      <c r="CRG2" s="8">
        <f>COUNT(CRH4:CRH400)</f>
        <v>0</v>
      </c>
      <c r="CRI2" s="8">
        <f>COUNT(CRJ4:CRJ400)</f>
        <v>0</v>
      </c>
      <c r="CRK2" s="8">
        <f>COUNT(CRL4:CRL400)</f>
        <v>0</v>
      </c>
      <c r="CRM2" s="8">
        <f>COUNT(CRN4:CRN400)</f>
        <v>0</v>
      </c>
      <c r="CRO2" s="8">
        <f>COUNT(CRP4:CRP400)</f>
        <v>0</v>
      </c>
      <c r="CRQ2" s="8">
        <f>COUNT(CRR4:CRR400)</f>
        <v>0</v>
      </c>
      <c r="CRS2" s="8">
        <f>COUNT(CRT4:CRT400)</f>
        <v>0</v>
      </c>
      <c r="CRU2" s="8">
        <f>COUNT(CRV4:CRV400)</f>
        <v>0</v>
      </c>
      <c r="CRW2" s="8">
        <f>COUNT(CRX4:CRX400)</f>
        <v>0</v>
      </c>
      <c r="CRY2" s="8">
        <f>COUNT(CRZ4:CRZ400)</f>
        <v>0</v>
      </c>
      <c r="CSA2" s="8">
        <f>COUNT(CSB4:CSB400)</f>
        <v>0</v>
      </c>
      <c r="CSC2" s="8">
        <f>COUNT(CSD4:CSD400)</f>
        <v>0</v>
      </c>
      <c r="CSE2" s="8">
        <f>COUNT(CSF4:CSF400)</f>
        <v>0</v>
      </c>
      <c r="CSG2" s="8">
        <f>COUNT(CSH4:CSH400)</f>
        <v>0</v>
      </c>
      <c r="CSI2" s="8">
        <f>COUNT(CSJ4:CSJ400)</f>
        <v>0</v>
      </c>
      <c r="CSK2" s="8">
        <f>COUNT(CSL4:CSL400)</f>
        <v>0</v>
      </c>
      <c r="CSM2" s="8">
        <f>COUNT(CSN4:CSN400)</f>
        <v>0</v>
      </c>
      <c r="CSO2" s="8">
        <f>COUNT(CSP4:CSP400)</f>
        <v>0</v>
      </c>
      <c r="CSQ2" s="8">
        <f>COUNT(CSR4:CSR400)</f>
        <v>0</v>
      </c>
      <c r="CSS2" s="8">
        <f>COUNT(CST4:CST400)</f>
        <v>0</v>
      </c>
      <c r="CSU2" s="8">
        <f>COUNT(CSV4:CSV400)</f>
        <v>0</v>
      </c>
      <c r="CSW2" s="8">
        <f>COUNT(CSX4:CSX400)</f>
        <v>0</v>
      </c>
      <c r="CSY2" s="8">
        <f>COUNT(CSZ4:CSZ400)</f>
        <v>0</v>
      </c>
      <c r="CTA2" s="8">
        <f>COUNT(CTB4:CTB400)</f>
        <v>0</v>
      </c>
      <c r="CTC2" s="8">
        <f>COUNT(CTD4:CTD400)</f>
        <v>0</v>
      </c>
      <c r="CTE2" s="8">
        <f>COUNT(CTF4:CTF400)</f>
        <v>0</v>
      </c>
      <c r="CTG2" s="8">
        <f>COUNT(CTH4:CTH400)</f>
        <v>0</v>
      </c>
      <c r="CTI2" s="8">
        <f>COUNT(CTJ4:CTJ400)</f>
        <v>0</v>
      </c>
      <c r="CTK2" s="8">
        <f>COUNT(CTL4:CTL400)</f>
        <v>0</v>
      </c>
      <c r="CTM2" s="8">
        <f>COUNT(CTN4:CTN400)</f>
        <v>0</v>
      </c>
      <c r="CTO2" s="8">
        <f>COUNT(CTP4:CTP400)</f>
        <v>0</v>
      </c>
      <c r="CTQ2" s="8">
        <f>COUNT(CTR4:CTR400)</f>
        <v>0</v>
      </c>
      <c r="CTS2" s="8">
        <f>COUNT(CTT4:CTT400)</f>
        <v>0</v>
      </c>
      <c r="CTU2" s="8">
        <f>COUNT(CTV4:CTV400)</f>
        <v>0</v>
      </c>
      <c r="CTW2" s="8">
        <f>COUNT(CTX4:CTX400)</f>
        <v>0</v>
      </c>
      <c r="CTY2" s="8">
        <f>COUNT(CTZ4:CTZ400)</f>
        <v>0</v>
      </c>
      <c r="CUA2" s="8">
        <f>COUNT(CUB4:CUB400)</f>
        <v>0</v>
      </c>
      <c r="CUC2" s="8">
        <f>COUNT(CUD4:CUD400)</f>
        <v>0</v>
      </c>
      <c r="CUE2" s="8">
        <f>COUNT(CUF4:CUF400)</f>
        <v>0</v>
      </c>
      <c r="CUG2" s="8">
        <f>COUNT(CUH4:CUH400)</f>
        <v>0</v>
      </c>
      <c r="CUI2" s="8">
        <f>COUNT(CUJ4:CUJ400)</f>
        <v>0</v>
      </c>
      <c r="CUK2" s="8">
        <f>COUNT(CUL4:CUL400)</f>
        <v>0</v>
      </c>
      <c r="CUM2" s="8">
        <f>COUNT(CUN4:CUN400)</f>
        <v>0</v>
      </c>
      <c r="CUO2" s="8">
        <f>COUNT(CUP4:CUP400)</f>
        <v>0</v>
      </c>
      <c r="CUQ2" s="8">
        <f>COUNT(CUR4:CUR400)</f>
        <v>0</v>
      </c>
      <c r="CUS2" s="8">
        <f>COUNT(CUT4:CUT400)</f>
        <v>0</v>
      </c>
      <c r="CUU2" s="8">
        <f>COUNT(CUV4:CUV400)</f>
        <v>0</v>
      </c>
      <c r="CUW2" s="8">
        <f>COUNT(CUX4:CUX400)</f>
        <v>0</v>
      </c>
      <c r="CUY2" s="8">
        <f>COUNT(CUZ4:CUZ400)</f>
        <v>0</v>
      </c>
      <c r="CVA2" s="8">
        <f>COUNT(CVB4:CVB400)</f>
        <v>0</v>
      </c>
      <c r="CVC2" s="8">
        <f>COUNT(CVD4:CVD400)</f>
        <v>0</v>
      </c>
      <c r="CVE2" s="8">
        <f>COUNT(CVF4:CVF400)</f>
        <v>0</v>
      </c>
      <c r="CVG2" s="8">
        <f>COUNT(CVH4:CVH400)</f>
        <v>0</v>
      </c>
      <c r="CVI2" s="8">
        <f>COUNT(CVJ4:CVJ400)</f>
        <v>0</v>
      </c>
      <c r="CVK2" s="8">
        <f>COUNT(CVL4:CVL400)</f>
        <v>0</v>
      </c>
      <c r="CVM2" s="8">
        <f>COUNT(CVN4:CVN400)</f>
        <v>0</v>
      </c>
      <c r="CVO2" s="8">
        <f>COUNT(CVP4:CVP400)</f>
        <v>0</v>
      </c>
      <c r="CVQ2" s="8">
        <f>COUNT(CVR4:CVR400)</f>
        <v>0</v>
      </c>
      <c r="CVS2" s="8">
        <f>COUNT(CVT4:CVT400)</f>
        <v>0</v>
      </c>
      <c r="CVU2" s="8">
        <f>COUNT(CVV4:CVV400)</f>
        <v>0</v>
      </c>
      <c r="CVW2" s="8">
        <f>COUNT(CVX4:CVX400)</f>
        <v>0</v>
      </c>
      <c r="CVY2" s="8">
        <f>COUNT(CVZ4:CVZ400)</f>
        <v>0</v>
      </c>
      <c r="CWA2" s="8">
        <f>COUNT(CWB4:CWB400)</f>
        <v>0</v>
      </c>
      <c r="CWC2" s="8">
        <f>COUNT(CWD4:CWD400)</f>
        <v>0</v>
      </c>
      <c r="CWE2" s="8">
        <f>COUNT(CWF4:CWF400)</f>
        <v>0</v>
      </c>
      <c r="CWG2" s="8">
        <f>COUNT(CWH4:CWH400)</f>
        <v>0</v>
      </c>
      <c r="CWI2" s="8">
        <f>COUNT(CWJ4:CWJ400)</f>
        <v>0</v>
      </c>
      <c r="CWK2" s="8">
        <f>COUNT(CWL4:CWL400)</f>
        <v>0</v>
      </c>
      <c r="CWM2" s="8">
        <f>COUNT(CWN4:CWN400)</f>
        <v>0</v>
      </c>
      <c r="CWO2" s="8">
        <f>COUNT(CWP4:CWP400)</f>
        <v>0</v>
      </c>
      <c r="CWQ2" s="8">
        <f>COUNT(CWR4:CWR400)</f>
        <v>0</v>
      </c>
      <c r="CWS2" s="8">
        <f>COUNT(CWT4:CWT400)</f>
        <v>0</v>
      </c>
      <c r="CWU2" s="8">
        <f>COUNT(CWV4:CWV400)</f>
        <v>0</v>
      </c>
      <c r="CWW2" s="8">
        <f>COUNT(CWX4:CWX400)</f>
        <v>0</v>
      </c>
      <c r="CWY2" s="8">
        <f>COUNT(CWZ4:CWZ400)</f>
        <v>0</v>
      </c>
      <c r="CXA2" s="8">
        <f>COUNT(CXB4:CXB400)</f>
        <v>0</v>
      </c>
      <c r="CXC2" s="8">
        <f>COUNT(CXD4:CXD400)</f>
        <v>0</v>
      </c>
      <c r="CXE2" s="8">
        <f>COUNT(CXF4:CXF400)</f>
        <v>0</v>
      </c>
      <c r="CXG2" s="8">
        <f>COUNT(CXH4:CXH400)</f>
        <v>0</v>
      </c>
      <c r="CXI2" s="8">
        <f>COUNT(CXJ4:CXJ400)</f>
        <v>0</v>
      </c>
      <c r="CXK2" s="8">
        <f>COUNT(CXL4:CXL400)</f>
        <v>0</v>
      </c>
      <c r="CXM2" s="8">
        <f>COUNT(CXN4:CXN400)</f>
        <v>0</v>
      </c>
      <c r="CXO2" s="8">
        <f>COUNT(CXP4:CXP400)</f>
        <v>0</v>
      </c>
      <c r="CXQ2" s="8">
        <f>COUNT(CXR4:CXR400)</f>
        <v>0</v>
      </c>
      <c r="CXS2" s="8">
        <f>COUNT(CXT4:CXT400)</f>
        <v>0</v>
      </c>
      <c r="CXU2" s="8">
        <f>COUNT(CXV4:CXV400)</f>
        <v>0</v>
      </c>
      <c r="CXW2" s="8">
        <f>COUNT(CXX4:CXX400)</f>
        <v>0</v>
      </c>
      <c r="CXY2" s="8">
        <f>COUNT(CXZ4:CXZ400)</f>
        <v>0</v>
      </c>
      <c r="CYA2" s="8">
        <f>COUNT(CYB4:CYB400)</f>
        <v>0</v>
      </c>
      <c r="CYC2" s="8">
        <f>COUNT(CYD4:CYD400)</f>
        <v>0</v>
      </c>
      <c r="CYE2" s="8">
        <f>COUNT(CYF4:CYF400)</f>
        <v>0</v>
      </c>
      <c r="CYG2" s="8">
        <f>COUNT(CYH4:CYH400)</f>
        <v>0</v>
      </c>
      <c r="CYI2" s="8">
        <f>COUNT(CYJ4:CYJ400)</f>
        <v>0</v>
      </c>
      <c r="CYK2" s="8">
        <f>COUNT(CYL4:CYL400)</f>
        <v>0</v>
      </c>
      <c r="CYM2" s="8">
        <f>COUNT(CYN4:CYN400)</f>
        <v>0</v>
      </c>
      <c r="CYO2" s="8">
        <f>COUNT(CYP4:CYP400)</f>
        <v>0</v>
      </c>
      <c r="CYQ2" s="8">
        <f>COUNT(CYR4:CYR400)</f>
        <v>0</v>
      </c>
      <c r="CYS2" s="8">
        <f>COUNT(CYT4:CYT400)</f>
        <v>0</v>
      </c>
      <c r="CYU2" s="8">
        <f>COUNT(CYV4:CYV400)</f>
        <v>0</v>
      </c>
      <c r="CYW2" s="8">
        <f>COUNT(CYX4:CYX400)</f>
        <v>0</v>
      </c>
      <c r="CYY2" s="8">
        <f>COUNT(CYZ4:CYZ400)</f>
        <v>0</v>
      </c>
      <c r="CZA2" s="8">
        <f>COUNT(CZB4:CZB400)</f>
        <v>0</v>
      </c>
      <c r="CZC2" s="8">
        <f>COUNT(CZD4:CZD400)</f>
        <v>0</v>
      </c>
      <c r="CZE2" s="8">
        <f>COUNT(CZF4:CZF400)</f>
        <v>0</v>
      </c>
      <c r="CZG2" s="8">
        <f>COUNT(CZH4:CZH400)</f>
        <v>0</v>
      </c>
      <c r="CZI2" s="8">
        <f>COUNT(CZJ4:CZJ400)</f>
        <v>0</v>
      </c>
      <c r="CZK2" s="8">
        <f>COUNT(CZL4:CZL400)</f>
        <v>0</v>
      </c>
      <c r="CZM2" s="8">
        <f>COUNT(CZN4:CZN400)</f>
        <v>0</v>
      </c>
      <c r="CZO2" s="8">
        <f>COUNT(CZP4:CZP400)</f>
        <v>0</v>
      </c>
      <c r="CZQ2" s="8">
        <f>COUNT(CZR4:CZR400)</f>
        <v>0</v>
      </c>
      <c r="CZS2" s="8">
        <f>COUNT(CZT4:CZT400)</f>
        <v>0</v>
      </c>
      <c r="CZU2" s="8">
        <f>COUNT(CZV4:CZV400)</f>
        <v>0</v>
      </c>
      <c r="CZW2" s="8">
        <f>COUNT(CZX4:CZX400)</f>
        <v>0</v>
      </c>
      <c r="CZY2" s="8">
        <f>COUNT(CZZ4:CZZ400)</f>
        <v>0</v>
      </c>
      <c r="DAA2" s="8">
        <f>COUNT(DAB4:DAB400)</f>
        <v>0</v>
      </c>
      <c r="DAC2" s="8">
        <f>COUNT(DAD4:DAD400)</f>
        <v>0</v>
      </c>
      <c r="DAE2" s="8">
        <f>COUNT(DAF4:DAF400)</f>
        <v>0</v>
      </c>
      <c r="DAG2" s="8">
        <f>COUNT(DAH4:DAH400)</f>
        <v>0</v>
      </c>
      <c r="DAI2" s="8">
        <f>COUNT(DAJ4:DAJ400)</f>
        <v>0</v>
      </c>
      <c r="DAK2" s="8">
        <f>COUNT(DAL4:DAL400)</f>
        <v>0</v>
      </c>
      <c r="DAM2" s="8">
        <f>COUNT(DAN4:DAN400)</f>
        <v>0</v>
      </c>
      <c r="DAO2" s="8">
        <f>COUNT(DAP4:DAP400)</f>
        <v>0</v>
      </c>
      <c r="DAQ2" s="8">
        <f>COUNT(DAR4:DAR400)</f>
        <v>0</v>
      </c>
      <c r="DAS2" s="8">
        <f>COUNT(DAT4:DAT400)</f>
        <v>0</v>
      </c>
      <c r="DAU2" s="8">
        <f>COUNT(DAV4:DAV400)</f>
        <v>0</v>
      </c>
      <c r="DAW2" s="8">
        <f>COUNT(DAX4:DAX400)</f>
        <v>0</v>
      </c>
      <c r="DAY2" s="8">
        <f>COUNT(DAZ4:DAZ400)</f>
        <v>0</v>
      </c>
      <c r="DBA2" s="8">
        <f>COUNT(DBB4:DBB400)</f>
        <v>0</v>
      </c>
      <c r="DBC2" s="8">
        <f>COUNT(DBD4:DBD400)</f>
        <v>0</v>
      </c>
      <c r="DBE2" s="8">
        <f>COUNT(DBF4:DBF400)</f>
        <v>0</v>
      </c>
      <c r="DBG2" s="8">
        <f>COUNT(DBH4:DBH400)</f>
        <v>0</v>
      </c>
      <c r="DBI2" s="8">
        <f>COUNT(DBJ4:DBJ400)</f>
        <v>0</v>
      </c>
      <c r="DBK2" s="8">
        <f>COUNT(DBL4:DBL400)</f>
        <v>0</v>
      </c>
      <c r="DBM2" s="8">
        <f>COUNT(DBN4:DBN400)</f>
        <v>0</v>
      </c>
      <c r="DBO2" s="8">
        <f>COUNT(DBP4:DBP400)</f>
        <v>0</v>
      </c>
      <c r="DBQ2" s="8">
        <f>COUNT(DBR4:DBR400)</f>
        <v>0</v>
      </c>
      <c r="DBS2" s="8">
        <f>COUNT(DBT4:DBT400)</f>
        <v>0</v>
      </c>
      <c r="DBU2" s="8">
        <f>COUNT(DBV4:DBV400)</f>
        <v>0</v>
      </c>
      <c r="DBW2" s="8">
        <f>COUNT(DBX4:DBX400)</f>
        <v>0</v>
      </c>
      <c r="DBY2" s="8">
        <f>COUNT(DBZ4:DBZ400)</f>
        <v>0</v>
      </c>
      <c r="DCA2" s="8">
        <f>COUNT(DCB4:DCB400)</f>
        <v>0</v>
      </c>
      <c r="DCC2" s="8">
        <f>COUNT(DCD4:DCD400)</f>
        <v>0</v>
      </c>
      <c r="DCE2" s="8">
        <f>COUNT(DCF4:DCF400)</f>
        <v>0</v>
      </c>
      <c r="DCG2" s="8">
        <f>COUNT(DCH4:DCH400)</f>
        <v>0</v>
      </c>
      <c r="DCI2" s="8">
        <f>COUNT(DCJ4:DCJ400)</f>
        <v>0</v>
      </c>
      <c r="DCK2" s="8">
        <f>COUNT(DCL4:DCL400)</f>
        <v>0</v>
      </c>
      <c r="DCM2" s="8">
        <f>COUNT(DCN4:DCN400)</f>
        <v>0</v>
      </c>
      <c r="DCO2" s="8">
        <f>COUNT(DCP4:DCP400)</f>
        <v>0</v>
      </c>
      <c r="DCQ2" s="8">
        <f>COUNT(DCR4:DCR400)</f>
        <v>0</v>
      </c>
      <c r="DCS2" s="8">
        <f>COUNT(DCT4:DCT400)</f>
        <v>0</v>
      </c>
      <c r="DCU2" s="8">
        <f>COUNT(DCV4:DCV400)</f>
        <v>0</v>
      </c>
      <c r="DCW2" s="8">
        <f>COUNT(DCX4:DCX400)</f>
        <v>0</v>
      </c>
      <c r="DCY2" s="8">
        <f>COUNT(DCZ4:DCZ400)</f>
        <v>0</v>
      </c>
      <c r="DDA2" s="8">
        <f>COUNT(DDB4:DDB400)</f>
        <v>0</v>
      </c>
      <c r="DDC2" s="8">
        <f>COUNT(DDD4:DDD400)</f>
        <v>0</v>
      </c>
      <c r="DDE2" s="8">
        <f>COUNT(DDF4:DDF400)</f>
        <v>0</v>
      </c>
      <c r="DDG2" s="8">
        <f>COUNT(DDH4:DDH400)</f>
        <v>0</v>
      </c>
      <c r="DDI2" s="8">
        <f>COUNT(DDJ4:DDJ400)</f>
        <v>0</v>
      </c>
      <c r="DDK2" s="8">
        <f>COUNT(DDL4:DDL400)</f>
        <v>0</v>
      </c>
      <c r="DDM2" s="8">
        <f>COUNT(DDN4:DDN400)</f>
        <v>0</v>
      </c>
      <c r="DDO2" s="8">
        <f>COUNT(DDP4:DDP400)</f>
        <v>0</v>
      </c>
      <c r="DDQ2" s="8">
        <f>COUNT(DDR4:DDR400)</f>
        <v>0</v>
      </c>
      <c r="DDS2" s="8">
        <f>COUNT(DDT4:DDT400)</f>
        <v>0</v>
      </c>
      <c r="DDU2" s="8">
        <f>COUNT(DDV4:DDV400)</f>
        <v>0</v>
      </c>
      <c r="DDW2" s="8">
        <f>COUNT(DDX4:DDX400)</f>
        <v>0</v>
      </c>
      <c r="DDY2" s="8">
        <f>COUNT(DDZ4:DDZ400)</f>
        <v>0</v>
      </c>
      <c r="DEA2" s="8">
        <f>COUNT(DEB4:DEB400)</f>
        <v>0</v>
      </c>
      <c r="DEC2" s="8">
        <f>COUNT(DED4:DED400)</f>
        <v>0</v>
      </c>
      <c r="DEE2" s="8">
        <f>COUNT(DEF4:DEF400)</f>
        <v>0</v>
      </c>
      <c r="DEG2" s="8">
        <f>COUNT(DEH4:DEH400)</f>
        <v>0</v>
      </c>
      <c r="DEI2" s="8">
        <f>COUNT(DEJ4:DEJ400)</f>
        <v>0</v>
      </c>
      <c r="DEK2" s="8">
        <f>COUNT(DEL4:DEL400)</f>
        <v>0</v>
      </c>
      <c r="DEM2" s="8">
        <f>COUNT(DEN4:DEN400)</f>
        <v>0</v>
      </c>
      <c r="DEO2" s="8">
        <f>COUNT(DEP4:DEP400)</f>
        <v>0</v>
      </c>
      <c r="DEQ2" s="8">
        <f>COUNT(DER4:DER400)</f>
        <v>0</v>
      </c>
      <c r="DES2" s="8">
        <f>COUNT(DET4:DET400)</f>
        <v>0</v>
      </c>
      <c r="DEU2" s="8">
        <f>COUNT(DEV4:DEV400)</f>
        <v>0</v>
      </c>
      <c r="DEW2" s="8">
        <f>COUNT(DEX4:DEX400)</f>
        <v>0</v>
      </c>
      <c r="DEY2" s="8">
        <f>COUNT(DEZ4:DEZ400)</f>
        <v>0</v>
      </c>
      <c r="DFA2" s="8">
        <f>COUNT(DFB4:DFB400)</f>
        <v>0</v>
      </c>
      <c r="DFC2" s="8">
        <f>COUNT(DFD4:DFD400)</f>
        <v>0</v>
      </c>
      <c r="DFE2" s="8">
        <f>COUNT(DFF4:DFF400)</f>
        <v>0</v>
      </c>
      <c r="DFG2" s="8">
        <f>COUNT(DFH4:DFH400)</f>
        <v>0</v>
      </c>
      <c r="DFI2" s="8">
        <f>COUNT(DFJ4:DFJ400)</f>
        <v>0</v>
      </c>
      <c r="DFK2" s="8">
        <f>COUNT(DFL4:DFL400)</f>
        <v>0</v>
      </c>
      <c r="DFM2" s="8">
        <f>COUNT(DFN4:DFN400)</f>
        <v>0</v>
      </c>
      <c r="DFO2" s="8">
        <f>COUNT(DFP4:DFP400)</f>
        <v>0</v>
      </c>
      <c r="DFQ2" s="8">
        <f>COUNT(DFR4:DFR400)</f>
        <v>0</v>
      </c>
      <c r="DFS2" s="8">
        <f>COUNT(DFT4:DFT400)</f>
        <v>0</v>
      </c>
      <c r="DFU2" s="8">
        <f>COUNT(DFV4:DFV400)</f>
        <v>0</v>
      </c>
      <c r="DFW2" s="8">
        <f>COUNT(DFX4:DFX400)</f>
        <v>0</v>
      </c>
      <c r="DFY2" s="8">
        <f>COUNT(DFZ4:DFZ400)</f>
        <v>0</v>
      </c>
      <c r="DGA2" s="8">
        <f>COUNT(DGB4:DGB400)</f>
        <v>0</v>
      </c>
      <c r="DGC2" s="8">
        <f>COUNT(DGD4:DGD400)</f>
        <v>0</v>
      </c>
      <c r="DGE2" s="8">
        <f>COUNT(DGF4:DGF400)</f>
        <v>0</v>
      </c>
      <c r="DGG2" s="8">
        <f>COUNT(DGH4:DGH400)</f>
        <v>0</v>
      </c>
      <c r="DGI2" s="8">
        <f>COUNT(DGJ4:DGJ400)</f>
        <v>0</v>
      </c>
      <c r="DGK2" s="8">
        <f>COUNT(DGL4:DGL400)</f>
        <v>0</v>
      </c>
      <c r="DGM2" s="8">
        <f>COUNT(DGN4:DGN400)</f>
        <v>0</v>
      </c>
      <c r="DGO2" s="8">
        <f>COUNT(DGP4:DGP400)</f>
        <v>0</v>
      </c>
      <c r="DGQ2" s="8">
        <f>COUNT(DGR4:DGR400)</f>
        <v>0</v>
      </c>
      <c r="DGS2" s="8">
        <f>COUNT(DGT4:DGT400)</f>
        <v>0</v>
      </c>
      <c r="DGU2" s="8">
        <f>COUNT(DGV4:DGV400)</f>
        <v>0</v>
      </c>
      <c r="DGW2" s="8">
        <f>COUNT(DGX4:DGX400)</f>
        <v>0</v>
      </c>
      <c r="DGY2" s="8">
        <f>COUNT(DGZ4:DGZ400)</f>
        <v>0</v>
      </c>
      <c r="DHA2" s="8">
        <f>COUNT(DHB4:DHB400)</f>
        <v>0</v>
      </c>
      <c r="DHC2" s="8">
        <f>COUNT(DHD4:DHD400)</f>
        <v>0</v>
      </c>
      <c r="DHE2" s="8">
        <f>COUNT(DHF4:DHF400)</f>
        <v>0</v>
      </c>
      <c r="DHG2" s="8">
        <f>COUNT(DHH4:DHH400)</f>
        <v>0</v>
      </c>
      <c r="DHI2" s="8">
        <f>COUNT(DHJ4:DHJ400)</f>
        <v>0</v>
      </c>
      <c r="DHK2" s="8">
        <f>COUNT(DHL4:DHL400)</f>
        <v>0</v>
      </c>
      <c r="DHM2" s="8">
        <f>COUNT(DHN4:DHN400)</f>
        <v>0</v>
      </c>
      <c r="DHO2" s="8">
        <f>COUNT(DHP4:DHP400)</f>
        <v>0</v>
      </c>
      <c r="DHQ2" s="8">
        <f>COUNT(DHR4:DHR400)</f>
        <v>0</v>
      </c>
      <c r="DHS2" s="8">
        <f>COUNT(DHT4:DHT400)</f>
        <v>0</v>
      </c>
      <c r="DHU2" s="8">
        <f>COUNT(DHV4:DHV400)</f>
        <v>0</v>
      </c>
      <c r="DHW2" s="8">
        <f>COUNT(DHX4:DHX400)</f>
        <v>0</v>
      </c>
      <c r="DHY2" s="8">
        <f>COUNT(DHZ4:DHZ400)</f>
        <v>0</v>
      </c>
      <c r="DIA2" s="8">
        <f>COUNT(DIB4:DIB400)</f>
        <v>0</v>
      </c>
      <c r="DIC2" s="8">
        <f>COUNT(DID4:DID400)</f>
        <v>0</v>
      </c>
      <c r="DIE2" s="8">
        <f>COUNT(DIF4:DIF400)</f>
        <v>0</v>
      </c>
      <c r="DIG2" s="8">
        <f>COUNT(DIH4:DIH400)</f>
        <v>0</v>
      </c>
      <c r="DII2" s="8">
        <f>COUNT(DIJ4:DIJ400)</f>
        <v>0</v>
      </c>
      <c r="DIK2" s="8">
        <f>COUNT(DIL4:DIL400)</f>
        <v>0</v>
      </c>
      <c r="DIM2" s="8">
        <f>COUNT(DIN4:DIN400)</f>
        <v>0</v>
      </c>
      <c r="DIO2" s="8">
        <f>COUNT(DIP4:DIP400)</f>
        <v>0</v>
      </c>
      <c r="DIQ2" s="8">
        <f>COUNT(DIR4:DIR400)</f>
        <v>0</v>
      </c>
      <c r="DIS2" s="8">
        <f>COUNT(DIT4:DIT400)</f>
        <v>0</v>
      </c>
      <c r="DIU2" s="8">
        <f>COUNT(DIV4:DIV400)</f>
        <v>0</v>
      </c>
      <c r="DIW2" s="8">
        <f>COUNT(DIX4:DIX400)</f>
        <v>0</v>
      </c>
      <c r="DIY2" s="8">
        <f>COUNT(DIZ4:DIZ400)</f>
        <v>0</v>
      </c>
      <c r="DJA2" s="8">
        <f>COUNT(DJB4:DJB400)</f>
        <v>0</v>
      </c>
      <c r="DJC2" s="8">
        <f>COUNT(DJD4:DJD400)</f>
        <v>0</v>
      </c>
      <c r="DJE2" s="8">
        <f>COUNT(DJF4:DJF400)</f>
        <v>0</v>
      </c>
      <c r="DJG2" s="8">
        <f>COUNT(DJH4:DJH400)</f>
        <v>0</v>
      </c>
      <c r="DJI2" s="8">
        <f>COUNT(DJJ4:DJJ400)</f>
        <v>0</v>
      </c>
      <c r="DJK2" s="8">
        <f>COUNT(DJL4:DJL400)</f>
        <v>0</v>
      </c>
      <c r="DJM2" s="8">
        <f>COUNT(DJN4:DJN400)</f>
        <v>0</v>
      </c>
      <c r="DJO2" s="8">
        <f>COUNT(DJP4:DJP400)</f>
        <v>0</v>
      </c>
      <c r="DJQ2" s="8">
        <f>COUNT(DJR4:DJR400)</f>
        <v>0</v>
      </c>
      <c r="DJS2" s="8">
        <f>COUNT(DJT4:DJT400)</f>
        <v>0</v>
      </c>
      <c r="DJU2" s="8">
        <f>COUNT(DJV4:DJV400)</f>
        <v>0</v>
      </c>
      <c r="DJW2" s="8">
        <f>COUNT(DJX4:DJX400)</f>
        <v>0</v>
      </c>
      <c r="DJY2" s="8">
        <f>COUNT(DJZ4:DJZ400)</f>
        <v>0</v>
      </c>
      <c r="DKA2" s="8">
        <f>COUNT(DKB4:DKB400)</f>
        <v>0</v>
      </c>
      <c r="DKC2" s="8">
        <f>COUNT(DKD4:DKD400)</f>
        <v>0</v>
      </c>
      <c r="DKE2" s="8">
        <f>COUNT(DKF4:DKF400)</f>
        <v>0</v>
      </c>
      <c r="DKG2" s="8">
        <f>COUNT(DKH4:DKH400)</f>
        <v>0</v>
      </c>
      <c r="DKI2" s="8">
        <f>COUNT(DKJ4:DKJ400)</f>
        <v>0</v>
      </c>
      <c r="DKK2" s="8">
        <f>COUNT(DKL4:DKL400)</f>
        <v>0</v>
      </c>
      <c r="DKM2" s="8">
        <f>COUNT(DKN4:DKN400)</f>
        <v>0</v>
      </c>
      <c r="DKO2" s="8">
        <f>COUNT(DKP4:DKP400)</f>
        <v>0</v>
      </c>
      <c r="DKQ2" s="8">
        <f>COUNT(DKR4:DKR400)</f>
        <v>0</v>
      </c>
      <c r="DKS2" s="8">
        <f>COUNT(DKT4:DKT400)</f>
        <v>0</v>
      </c>
      <c r="DKU2" s="8">
        <f>COUNT(DKV4:DKV400)</f>
        <v>0</v>
      </c>
      <c r="DKW2" s="8">
        <f>COUNT(DKX4:DKX400)</f>
        <v>0</v>
      </c>
      <c r="DKY2" s="8">
        <f>COUNT(DKZ4:DKZ400)</f>
        <v>0</v>
      </c>
      <c r="DLA2" s="8">
        <f>COUNT(DLB4:DLB400)</f>
        <v>0</v>
      </c>
      <c r="DLC2" s="8">
        <f>COUNT(DLD4:DLD400)</f>
        <v>0</v>
      </c>
      <c r="DLE2" s="8">
        <f>COUNT(DLF4:DLF400)</f>
        <v>0</v>
      </c>
      <c r="DLG2" s="8">
        <f>COUNT(DLH4:DLH400)</f>
        <v>0</v>
      </c>
      <c r="DLI2" s="8">
        <f>COUNT(DLJ4:DLJ400)</f>
        <v>0</v>
      </c>
      <c r="DLK2" s="8">
        <f>COUNT(DLL4:DLL400)</f>
        <v>0</v>
      </c>
      <c r="DLM2" s="8">
        <f>COUNT(DLN4:DLN400)</f>
        <v>0</v>
      </c>
      <c r="DLO2" s="8">
        <f>COUNT(DLP4:DLP400)</f>
        <v>0</v>
      </c>
      <c r="DLQ2" s="8">
        <f>COUNT(DLR4:DLR400)</f>
        <v>0</v>
      </c>
      <c r="DLS2" s="8">
        <f>COUNT(DLT4:DLT400)</f>
        <v>0</v>
      </c>
      <c r="DLU2" s="8">
        <f>COUNT(DLV4:DLV400)</f>
        <v>0</v>
      </c>
      <c r="DLW2" s="8">
        <f>COUNT(DLX4:DLX400)</f>
        <v>0</v>
      </c>
      <c r="DLY2" s="8">
        <f>COUNT(DLZ4:DLZ400)</f>
        <v>0</v>
      </c>
      <c r="DMA2" s="8">
        <f>COUNT(DMB4:DMB400)</f>
        <v>0</v>
      </c>
      <c r="DMC2" s="8">
        <f>COUNT(DMD4:DMD400)</f>
        <v>0</v>
      </c>
      <c r="DME2" s="8">
        <f>COUNT(DMF4:DMF400)</f>
        <v>0</v>
      </c>
      <c r="DMG2" s="8">
        <f>COUNT(DMH4:DMH400)</f>
        <v>0</v>
      </c>
      <c r="DMI2" s="8">
        <f>COUNT(DMJ4:DMJ400)</f>
        <v>0</v>
      </c>
      <c r="DMK2" s="8">
        <f>COUNT(DML4:DML400)</f>
        <v>0</v>
      </c>
      <c r="DMM2" s="8">
        <f>COUNT(DMN4:DMN400)</f>
        <v>0</v>
      </c>
      <c r="DMO2" s="8">
        <f>COUNT(DMP4:DMP400)</f>
        <v>0</v>
      </c>
      <c r="DMQ2" s="8">
        <f>COUNT(DMR4:DMR400)</f>
        <v>0</v>
      </c>
      <c r="DMS2" s="8">
        <f>COUNT(DMT4:DMT400)</f>
        <v>0</v>
      </c>
      <c r="DMU2" s="8">
        <f>COUNT(DMV4:DMV400)</f>
        <v>0</v>
      </c>
      <c r="DMW2" s="8">
        <f>COUNT(DMX4:DMX400)</f>
        <v>0</v>
      </c>
      <c r="DMY2" s="8">
        <f>COUNT(DMZ4:DMZ400)</f>
        <v>0</v>
      </c>
      <c r="DNA2" s="8">
        <f>COUNT(DNB4:DNB400)</f>
        <v>0</v>
      </c>
      <c r="DNC2" s="8">
        <f>COUNT(DND4:DND400)</f>
        <v>0</v>
      </c>
      <c r="DNE2" s="8">
        <f>COUNT(DNF4:DNF400)</f>
        <v>0</v>
      </c>
      <c r="DNG2" s="8">
        <f>COUNT(DNH4:DNH400)</f>
        <v>0</v>
      </c>
      <c r="DNI2" s="8">
        <f>COUNT(DNJ4:DNJ400)</f>
        <v>0</v>
      </c>
      <c r="DNK2" s="8">
        <f>COUNT(DNL4:DNL400)</f>
        <v>0</v>
      </c>
      <c r="DNM2" s="8">
        <f>COUNT(DNN4:DNN400)</f>
        <v>0</v>
      </c>
      <c r="DNO2" s="8">
        <f>COUNT(DNP4:DNP400)</f>
        <v>0</v>
      </c>
      <c r="DNQ2" s="8">
        <f>COUNT(DNR4:DNR400)</f>
        <v>0</v>
      </c>
      <c r="DNS2" s="8">
        <f>COUNT(DNT4:DNT400)</f>
        <v>0</v>
      </c>
      <c r="DNU2" s="8">
        <f>COUNT(DNV4:DNV400)</f>
        <v>0</v>
      </c>
      <c r="DNW2" s="8">
        <f>COUNT(DNX4:DNX400)</f>
        <v>0</v>
      </c>
      <c r="DNY2" s="8">
        <f>COUNT(DNZ4:DNZ400)</f>
        <v>0</v>
      </c>
      <c r="DOA2" s="8">
        <f>COUNT(DOB4:DOB400)</f>
        <v>0</v>
      </c>
      <c r="DOC2" s="8">
        <f>COUNT(DOD4:DOD400)</f>
        <v>0</v>
      </c>
      <c r="DOE2" s="8">
        <f>COUNT(DOF4:DOF400)</f>
        <v>0</v>
      </c>
      <c r="DOG2" s="8">
        <f>COUNT(DOH4:DOH400)</f>
        <v>0</v>
      </c>
      <c r="DOI2" s="8">
        <f>COUNT(DOJ4:DOJ400)</f>
        <v>0</v>
      </c>
      <c r="DOK2" s="8">
        <f>COUNT(DOL4:DOL400)</f>
        <v>0</v>
      </c>
      <c r="DOM2" s="8">
        <f>COUNT(DON4:DON400)</f>
        <v>0</v>
      </c>
      <c r="DOO2" s="8">
        <f>COUNT(DOP4:DOP400)</f>
        <v>0</v>
      </c>
      <c r="DOQ2" s="8">
        <f>COUNT(DOR4:DOR400)</f>
        <v>0</v>
      </c>
      <c r="DOS2" s="8">
        <f>COUNT(DOT4:DOT400)</f>
        <v>0</v>
      </c>
      <c r="DOU2" s="8">
        <f>COUNT(DOV4:DOV400)</f>
        <v>0</v>
      </c>
      <c r="DOW2" s="8">
        <f>COUNT(DOX4:DOX400)</f>
        <v>0</v>
      </c>
      <c r="DOY2" s="8">
        <f>COUNT(DOZ4:DOZ400)</f>
        <v>0</v>
      </c>
      <c r="DPA2" s="8">
        <f>COUNT(DPB4:DPB400)</f>
        <v>0</v>
      </c>
      <c r="DPC2" s="8">
        <f>COUNT(DPD4:DPD400)</f>
        <v>0</v>
      </c>
      <c r="DPE2" s="8">
        <f>COUNT(DPF4:DPF400)</f>
        <v>0</v>
      </c>
      <c r="DPG2" s="8">
        <f>COUNT(DPH4:DPH400)</f>
        <v>0</v>
      </c>
      <c r="DPI2" s="8">
        <f>COUNT(DPJ4:DPJ400)</f>
        <v>0</v>
      </c>
      <c r="DPK2" s="8">
        <f>COUNT(DPL4:DPL400)</f>
        <v>0</v>
      </c>
      <c r="DPM2" s="8">
        <f>COUNT(DPN4:DPN400)</f>
        <v>0</v>
      </c>
      <c r="DPO2" s="8">
        <f>COUNT(DPP4:DPP400)</f>
        <v>0</v>
      </c>
      <c r="DPQ2" s="8">
        <f>COUNT(DPR4:DPR400)</f>
        <v>0</v>
      </c>
      <c r="DPS2" s="8">
        <f>COUNT(DPT4:DPT400)</f>
        <v>0</v>
      </c>
      <c r="DPU2" s="8">
        <f>COUNT(DPV4:DPV400)</f>
        <v>0</v>
      </c>
      <c r="DPW2" s="8">
        <f>COUNT(DPX4:DPX400)</f>
        <v>0</v>
      </c>
      <c r="DPY2" s="8">
        <f>COUNT(DPZ4:DPZ400)</f>
        <v>0</v>
      </c>
      <c r="DQA2" s="8">
        <f>COUNT(DQB4:DQB400)</f>
        <v>0</v>
      </c>
      <c r="DQC2" s="8">
        <f>COUNT(DQD4:DQD400)</f>
        <v>0</v>
      </c>
      <c r="DQE2" s="8">
        <f>COUNT(DQF4:DQF400)</f>
        <v>0</v>
      </c>
      <c r="DQG2" s="8">
        <f>COUNT(DQH4:DQH400)</f>
        <v>0</v>
      </c>
      <c r="DQI2" s="8">
        <f>COUNT(DQJ4:DQJ400)</f>
        <v>0</v>
      </c>
      <c r="DQK2" s="8">
        <f>COUNT(DQL4:DQL400)</f>
        <v>0</v>
      </c>
      <c r="DQM2" s="8">
        <f>COUNT(DQN4:DQN400)</f>
        <v>0</v>
      </c>
      <c r="DQO2" s="8">
        <f>COUNT(DQP4:DQP400)</f>
        <v>0</v>
      </c>
      <c r="DQQ2" s="8">
        <f>COUNT(DQR4:DQR400)</f>
        <v>0</v>
      </c>
      <c r="DQS2" s="8">
        <f>COUNT(DQT4:DQT400)</f>
        <v>0</v>
      </c>
      <c r="DQU2" s="8">
        <f>COUNT(DQV4:DQV400)</f>
        <v>0</v>
      </c>
      <c r="DQW2" s="8">
        <f>COUNT(DQX4:DQX400)</f>
        <v>0</v>
      </c>
      <c r="DQY2" s="8">
        <f>COUNT(DQZ4:DQZ400)</f>
        <v>0</v>
      </c>
      <c r="DRA2" s="8">
        <f>COUNT(DRB4:DRB400)</f>
        <v>0</v>
      </c>
      <c r="DRC2" s="8">
        <f>COUNT(DRD4:DRD400)</f>
        <v>0</v>
      </c>
      <c r="DRE2" s="8">
        <f>COUNT(DRF4:DRF400)</f>
        <v>0</v>
      </c>
      <c r="DRG2" s="8">
        <f>COUNT(DRH4:DRH400)</f>
        <v>0</v>
      </c>
      <c r="DRI2" s="8">
        <f>COUNT(DRJ4:DRJ400)</f>
        <v>0</v>
      </c>
      <c r="DRK2" s="8">
        <f>COUNT(DRL4:DRL400)</f>
        <v>0</v>
      </c>
      <c r="DRM2" s="8">
        <f>COUNT(DRN4:DRN400)</f>
        <v>0</v>
      </c>
      <c r="DRO2" s="8">
        <f>COUNT(DRP4:DRP400)</f>
        <v>0</v>
      </c>
      <c r="DRQ2" s="8">
        <f>COUNT(DRR4:DRR400)</f>
        <v>0</v>
      </c>
      <c r="DRS2" s="8">
        <f>COUNT(DRT4:DRT400)</f>
        <v>0</v>
      </c>
      <c r="DRU2" s="8">
        <f>COUNT(DRV4:DRV400)</f>
        <v>0</v>
      </c>
      <c r="DRW2" s="8">
        <f>COUNT(DRX4:DRX400)</f>
        <v>0</v>
      </c>
      <c r="DRY2" s="8">
        <f>COUNT(DRZ4:DRZ400)</f>
        <v>0</v>
      </c>
      <c r="DSA2" s="8">
        <f>COUNT(DSB4:DSB400)</f>
        <v>0</v>
      </c>
      <c r="DSC2" s="8">
        <f>COUNT(DSD4:DSD400)</f>
        <v>0</v>
      </c>
      <c r="DSE2" s="8">
        <f>COUNT(DSF4:DSF400)</f>
        <v>0</v>
      </c>
      <c r="DSG2" s="8">
        <f>COUNT(DSH4:DSH400)</f>
        <v>0</v>
      </c>
      <c r="DSI2" s="8">
        <f>COUNT(DSJ4:DSJ400)</f>
        <v>0</v>
      </c>
      <c r="DSK2" s="8">
        <f>COUNT(DSL4:DSL400)</f>
        <v>0</v>
      </c>
      <c r="DSM2" s="8">
        <f>COUNT(DSN4:DSN400)</f>
        <v>0</v>
      </c>
      <c r="DSO2" s="8">
        <f>COUNT(DSP4:DSP400)</f>
        <v>0</v>
      </c>
      <c r="DSQ2" s="8">
        <f>COUNT(DSR4:DSR400)</f>
        <v>0</v>
      </c>
      <c r="DSS2" s="8">
        <f>COUNT(DST4:DST400)</f>
        <v>0</v>
      </c>
      <c r="DSU2" s="8">
        <f>COUNT(DSV4:DSV400)</f>
        <v>0</v>
      </c>
      <c r="DSW2" s="8">
        <f>COUNT(DSX4:DSX400)</f>
        <v>0</v>
      </c>
      <c r="DSY2" s="8">
        <f>COUNT(DSZ4:DSZ400)</f>
        <v>0</v>
      </c>
      <c r="DTA2" s="8">
        <f>COUNT(DTB4:DTB400)</f>
        <v>0</v>
      </c>
      <c r="DTC2" s="8">
        <f>COUNT(DTD4:DTD400)</f>
        <v>0</v>
      </c>
      <c r="DTE2" s="8">
        <f>COUNT(DTF4:DTF400)</f>
        <v>0</v>
      </c>
      <c r="DTG2" s="8">
        <f>COUNT(DTH4:DTH400)</f>
        <v>0</v>
      </c>
      <c r="DTI2" s="8">
        <f>COUNT(DTJ4:DTJ400)</f>
        <v>0</v>
      </c>
      <c r="DTK2" s="8">
        <f>COUNT(DTL4:DTL400)</f>
        <v>0</v>
      </c>
      <c r="DTM2" s="8">
        <f>COUNT(DTN4:DTN400)</f>
        <v>0</v>
      </c>
      <c r="DTO2" s="8">
        <f>COUNT(DTP4:DTP400)</f>
        <v>0</v>
      </c>
      <c r="DTQ2" s="8">
        <f>COUNT(DTR4:DTR400)</f>
        <v>0</v>
      </c>
      <c r="DTS2" s="8">
        <f>COUNT(DTT4:DTT400)</f>
        <v>0</v>
      </c>
      <c r="DTU2" s="8">
        <f>COUNT(DTV4:DTV400)</f>
        <v>0</v>
      </c>
      <c r="DTW2" s="8">
        <f>COUNT(DTX4:DTX400)</f>
        <v>0</v>
      </c>
      <c r="DTY2" s="8">
        <f>COUNT(DTZ4:DTZ400)</f>
        <v>0</v>
      </c>
      <c r="DUA2" s="8">
        <f>COUNT(DUB4:DUB400)</f>
        <v>0</v>
      </c>
      <c r="DUC2" s="8">
        <f>COUNT(DUD4:DUD400)</f>
        <v>0</v>
      </c>
      <c r="DUE2" s="8">
        <f>COUNT(DUF4:DUF400)</f>
        <v>0</v>
      </c>
      <c r="DUG2" s="8">
        <f>COUNT(DUH4:DUH400)</f>
        <v>0</v>
      </c>
      <c r="DUI2" s="8">
        <f>COUNT(DUJ4:DUJ400)</f>
        <v>0</v>
      </c>
      <c r="DUK2" s="8">
        <f>COUNT(DUL4:DUL400)</f>
        <v>0</v>
      </c>
      <c r="DUM2" s="8">
        <f>COUNT(DUN4:DUN400)</f>
        <v>0</v>
      </c>
      <c r="DUO2" s="8">
        <f>COUNT(DUP4:DUP400)</f>
        <v>0</v>
      </c>
      <c r="DUQ2" s="8">
        <f>COUNT(DUR4:DUR400)</f>
        <v>0</v>
      </c>
      <c r="DUS2" s="8">
        <f>COUNT(DUT4:DUT400)</f>
        <v>0</v>
      </c>
      <c r="DUU2" s="8">
        <f>COUNT(DUV4:DUV400)</f>
        <v>0</v>
      </c>
      <c r="DUW2" s="8">
        <f>COUNT(DUX4:DUX400)</f>
        <v>0</v>
      </c>
      <c r="DUY2" s="8">
        <f>COUNT(DUZ4:DUZ400)</f>
        <v>0</v>
      </c>
      <c r="DVA2" s="8">
        <f>COUNT(DVB4:DVB400)</f>
        <v>0</v>
      </c>
      <c r="DVC2" s="8">
        <f>COUNT(DVD4:DVD400)</f>
        <v>0</v>
      </c>
      <c r="DVE2" s="8">
        <f>COUNT(DVF4:DVF400)</f>
        <v>0</v>
      </c>
      <c r="DVG2" s="8">
        <f>COUNT(DVH4:DVH400)</f>
        <v>0</v>
      </c>
      <c r="DVI2" s="8">
        <f>COUNT(DVJ4:DVJ400)</f>
        <v>0</v>
      </c>
      <c r="DVK2" s="8">
        <f>COUNT(DVL4:DVL400)</f>
        <v>0</v>
      </c>
      <c r="DVM2" s="8">
        <f>COUNT(DVN4:DVN400)</f>
        <v>0</v>
      </c>
      <c r="DVO2" s="8">
        <f>COUNT(DVP4:DVP400)</f>
        <v>0</v>
      </c>
      <c r="DVQ2" s="8">
        <f>COUNT(DVR4:DVR400)</f>
        <v>0</v>
      </c>
      <c r="DVS2" s="8">
        <f>COUNT(DVT4:DVT400)</f>
        <v>0</v>
      </c>
      <c r="DVU2" s="8">
        <f>COUNT(DVV4:DVV400)</f>
        <v>0</v>
      </c>
      <c r="DVW2" s="8">
        <f>COUNT(DVX4:DVX400)</f>
        <v>0</v>
      </c>
      <c r="DVY2" s="8">
        <f>COUNT(DVZ4:DVZ400)</f>
        <v>0</v>
      </c>
      <c r="DWA2" s="8">
        <f>COUNT(DWB4:DWB400)</f>
        <v>0</v>
      </c>
      <c r="DWC2" s="8">
        <f>COUNT(DWD4:DWD400)</f>
        <v>0</v>
      </c>
      <c r="DWE2" s="8">
        <f>COUNT(DWF4:DWF400)</f>
        <v>0</v>
      </c>
      <c r="DWG2" s="8">
        <f>COUNT(DWH4:DWH400)</f>
        <v>0</v>
      </c>
      <c r="DWI2" s="8">
        <f>COUNT(DWJ4:DWJ400)</f>
        <v>0</v>
      </c>
      <c r="DWK2" s="8">
        <f>COUNT(DWL4:DWL400)</f>
        <v>0</v>
      </c>
      <c r="DWM2" s="8">
        <f>COUNT(DWN4:DWN400)</f>
        <v>0</v>
      </c>
      <c r="DWO2" s="8">
        <f>COUNT(DWP4:DWP400)</f>
        <v>0</v>
      </c>
      <c r="DWQ2" s="8">
        <f>COUNT(DWR4:DWR400)</f>
        <v>0</v>
      </c>
      <c r="DWS2" s="8">
        <f>COUNT(DWT4:DWT400)</f>
        <v>0</v>
      </c>
      <c r="DWU2" s="8">
        <f>COUNT(DWV4:DWV400)</f>
        <v>0</v>
      </c>
      <c r="DWW2" s="8">
        <f>COUNT(DWX4:DWX400)</f>
        <v>0</v>
      </c>
      <c r="DWY2" s="8">
        <f>COUNT(DWZ4:DWZ400)</f>
        <v>0</v>
      </c>
      <c r="DXA2" s="8">
        <f>COUNT(DXB4:DXB400)</f>
        <v>0</v>
      </c>
      <c r="DXC2" s="8">
        <f>COUNT(DXD4:DXD400)</f>
        <v>0</v>
      </c>
      <c r="DXE2" s="8">
        <f>COUNT(DXF4:DXF400)</f>
        <v>0</v>
      </c>
      <c r="DXG2" s="8">
        <f>COUNT(DXH4:DXH400)</f>
        <v>0</v>
      </c>
      <c r="DXI2" s="8">
        <f>COUNT(DXJ4:DXJ400)</f>
        <v>0</v>
      </c>
      <c r="DXK2" s="8">
        <f>COUNT(DXL4:DXL400)</f>
        <v>0</v>
      </c>
      <c r="DXM2" s="8">
        <f>COUNT(DXN4:DXN400)</f>
        <v>0</v>
      </c>
      <c r="DXO2" s="8">
        <f>COUNT(DXP4:DXP400)</f>
        <v>0</v>
      </c>
      <c r="DXQ2" s="8">
        <f>COUNT(DXR4:DXR400)</f>
        <v>0</v>
      </c>
      <c r="DXS2" s="8">
        <f>COUNT(DXT4:DXT400)</f>
        <v>0</v>
      </c>
      <c r="DXU2" s="8">
        <f>COUNT(DXV4:DXV400)</f>
        <v>0</v>
      </c>
      <c r="DXW2" s="8">
        <f>COUNT(DXX4:DXX400)</f>
        <v>0</v>
      </c>
      <c r="DXY2" s="8">
        <f>COUNT(DXZ4:DXZ400)</f>
        <v>0</v>
      </c>
      <c r="DYA2" s="8">
        <f>COUNT(DYB4:DYB400)</f>
        <v>0</v>
      </c>
      <c r="DYC2" s="8">
        <f>COUNT(DYD4:DYD400)</f>
        <v>0</v>
      </c>
      <c r="DYE2" s="8">
        <f>COUNT(DYF4:DYF400)</f>
        <v>0</v>
      </c>
      <c r="DYG2" s="8">
        <f>COUNT(DYH4:DYH400)</f>
        <v>0</v>
      </c>
      <c r="DYI2" s="8">
        <f>COUNT(DYJ4:DYJ400)</f>
        <v>0</v>
      </c>
      <c r="DYK2" s="8">
        <f>COUNT(DYL4:DYL400)</f>
        <v>0</v>
      </c>
      <c r="DYM2" s="8">
        <f>COUNT(DYN4:DYN400)</f>
        <v>0</v>
      </c>
      <c r="DYO2" s="8">
        <f>COUNT(DYP4:DYP400)</f>
        <v>0</v>
      </c>
      <c r="DYQ2" s="8">
        <f>COUNT(DYR4:DYR400)</f>
        <v>0</v>
      </c>
      <c r="DYS2" s="8">
        <f>COUNT(DYT4:DYT400)</f>
        <v>0</v>
      </c>
      <c r="DYU2" s="8">
        <f>COUNT(DYV4:DYV400)</f>
        <v>0</v>
      </c>
      <c r="DYW2" s="8">
        <f>COUNT(DYX4:DYX400)</f>
        <v>0</v>
      </c>
      <c r="DYY2" s="8">
        <f>COUNT(DYZ4:DYZ400)</f>
        <v>0</v>
      </c>
      <c r="DZA2" s="8">
        <f>COUNT(DZB4:DZB400)</f>
        <v>0</v>
      </c>
      <c r="DZC2" s="8">
        <f>COUNT(DZD4:DZD400)</f>
        <v>0</v>
      </c>
      <c r="DZE2" s="8">
        <f>COUNT(DZF4:DZF400)</f>
        <v>0</v>
      </c>
      <c r="DZG2" s="8">
        <f>COUNT(DZH4:DZH400)</f>
        <v>0</v>
      </c>
      <c r="DZI2" s="8">
        <f>COUNT(DZJ4:DZJ400)</f>
        <v>0</v>
      </c>
      <c r="DZK2" s="8">
        <f>COUNT(DZL4:DZL400)</f>
        <v>0</v>
      </c>
      <c r="DZM2" s="8">
        <f>COUNT(DZN4:DZN400)</f>
        <v>0</v>
      </c>
      <c r="DZO2" s="8">
        <f>COUNT(DZP4:DZP400)</f>
        <v>0</v>
      </c>
      <c r="DZQ2" s="8">
        <f>COUNT(DZR4:DZR400)</f>
        <v>0</v>
      </c>
      <c r="DZS2" s="8">
        <f>COUNT(DZT4:DZT400)</f>
        <v>0</v>
      </c>
      <c r="DZU2" s="8">
        <f>COUNT(DZV4:DZV400)</f>
        <v>0</v>
      </c>
      <c r="DZW2" s="8">
        <f>COUNT(DZX4:DZX400)</f>
        <v>0</v>
      </c>
      <c r="DZY2" s="8">
        <f>COUNT(DZZ4:DZZ400)</f>
        <v>0</v>
      </c>
      <c r="EAA2" s="8">
        <f>COUNT(EAB4:EAB400)</f>
        <v>0</v>
      </c>
      <c r="EAC2" s="8">
        <f>COUNT(EAD4:EAD400)</f>
        <v>0</v>
      </c>
      <c r="EAE2" s="8">
        <f>COUNT(EAF4:EAF400)</f>
        <v>0</v>
      </c>
      <c r="EAG2" s="8">
        <f>COUNT(EAH4:EAH400)</f>
        <v>0</v>
      </c>
      <c r="EAI2" s="8">
        <f>COUNT(EAJ4:EAJ400)</f>
        <v>0</v>
      </c>
      <c r="EAK2" s="8">
        <f>COUNT(EAL4:EAL400)</f>
        <v>0</v>
      </c>
      <c r="EAM2" s="8">
        <f>COUNT(EAN4:EAN400)</f>
        <v>0</v>
      </c>
      <c r="EAO2" s="8">
        <f>COUNT(EAP4:EAP400)</f>
        <v>0</v>
      </c>
      <c r="EAQ2" s="8">
        <f>COUNT(EAR4:EAR400)</f>
        <v>0</v>
      </c>
      <c r="EAS2" s="8">
        <f>COUNT(EAT4:EAT400)</f>
        <v>0</v>
      </c>
      <c r="EAU2" s="8">
        <f>COUNT(EAV4:EAV400)</f>
        <v>0</v>
      </c>
      <c r="EAW2" s="8">
        <f>COUNT(EAX4:EAX400)</f>
        <v>0</v>
      </c>
      <c r="EAY2" s="8">
        <f>COUNT(EAZ4:EAZ400)</f>
        <v>0</v>
      </c>
      <c r="EBA2" s="8">
        <f>COUNT(EBB4:EBB400)</f>
        <v>0</v>
      </c>
      <c r="EBC2" s="8">
        <f>COUNT(EBD4:EBD400)</f>
        <v>0</v>
      </c>
      <c r="EBE2" s="8">
        <f>COUNT(EBF4:EBF400)</f>
        <v>0</v>
      </c>
      <c r="EBG2" s="8">
        <f>COUNT(EBH4:EBH400)</f>
        <v>0</v>
      </c>
      <c r="EBI2" s="8">
        <f>COUNT(EBJ4:EBJ400)</f>
        <v>0</v>
      </c>
      <c r="EBK2" s="8">
        <f>COUNT(EBL4:EBL400)</f>
        <v>0</v>
      </c>
      <c r="EBM2" s="8">
        <f>COUNT(EBN4:EBN400)</f>
        <v>0</v>
      </c>
      <c r="EBO2" s="8">
        <f>COUNT(EBP4:EBP400)</f>
        <v>0</v>
      </c>
      <c r="EBQ2" s="8">
        <f>COUNT(EBR4:EBR400)</f>
        <v>0</v>
      </c>
      <c r="EBS2" s="8">
        <f>COUNT(EBT4:EBT400)</f>
        <v>0</v>
      </c>
      <c r="EBU2" s="8">
        <f>COUNT(EBV4:EBV400)</f>
        <v>0</v>
      </c>
      <c r="EBW2" s="8">
        <f>COUNT(EBX4:EBX400)</f>
        <v>0</v>
      </c>
      <c r="EBY2" s="8">
        <f>COUNT(EBZ4:EBZ400)</f>
        <v>0</v>
      </c>
      <c r="ECA2" s="8">
        <f>COUNT(ECB4:ECB400)</f>
        <v>0</v>
      </c>
      <c r="ECC2" s="8">
        <f>COUNT(ECD4:ECD400)</f>
        <v>0</v>
      </c>
      <c r="ECE2" s="8">
        <f>COUNT(ECF4:ECF400)</f>
        <v>0</v>
      </c>
      <c r="ECG2" s="8">
        <f>COUNT(ECH4:ECH400)</f>
        <v>0</v>
      </c>
      <c r="ECI2" s="8">
        <f>COUNT(ECJ4:ECJ400)</f>
        <v>0</v>
      </c>
      <c r="ECK2" s="8">
        <f>COUNT(ECL4:ECL400)</f>
        <v>0</v>
      </c>
      <c r="ECM2" s="8">
        <f>COUNT(ECN4:ECN400)</f>
        <v>0</v>
      </c>
      <c r="ECO2" s="8">
        <f>COUNT(ECP4:ECP400)</f>
        <v>0</v>
      </c>
      <c r="ECQ2" s="8">
        <f>COUNT(ECR4:ECR400)</f>
        <v>0</v>
      </c>
      <c r="ECS2" s="8">
        <f>COUNT(ECT4:ECT400)</f>
        <v>0</v>
      </c>
      <c r="ECU2" s="8">
        <f>COUNT(ECV4:ECV400)</f>
        <v>0</v>
      </c>
      <c r="ECW2" s="8">
        <f>COUNT(ECX4:ECX400)</f>
        <v>0</v>
      </c>
      <c r="ECY2" s="8">
        <f>COUNT(ECZ4:ECZ400)</f>
        <v>0</v>
      </c>
      <c r="EDA2" s="8">
        <f>COUNT(EDB4:EDB400)</f>
        <v>0</v>
      </c>
      <c r="EDC2" s="8">
        <f>COUNT(EDD4:EDD400)</f>
        <v>0</v>
      </c>
      <c r="EDE2" s="8">
        <f>COUNT(EDF4:EDF400)</f>
        <v>0</v>
      </c>
      <c r="EDG2" s="8">
        <f>COUNT(EDH4:EDH400)</f>
        <v>0</v>
      </c>
      <c r="EDI2" s="8">
        <f>COUNT(EDJ4:EDJ400)</f>
        <v>0</v>
      </c>
      <c r="EDK2" s="8">
        <f>COUNT(EDL4:EDL400)</f>
        <v>0</v>
      </c>
      <c r="EDM2" s="8">
        <f>COUNT(EDN4:EDN400)</f>
        <v>0</v>
      </c>
      <c r="EDO2" s="8">
        <f>COUNT(EDP4:EDP400)</f>
        <v>0</v>
      </c>
      <c r="EDQ2" s="8">
        <f>COUNT(EDR4:EDR400)</f>
        <v>0</v>
      </c>
      <c r="EDS2" s="8">
        <f>COUNT(EDT4:EDT400)</f>
        <v>0</v>
      </c>
      <c r="EDU2" s="8">
        <f>COUNT(EDV4:EDV400)</f>
        <v>0</v>
      </c>
      <c r="EDW2" s="8">
        <f>COUNT(EDX4:EDX400)</f>
        <v>0</v>
      </c>
      <c r="EDY2" s="8">
        <f>COUNT(EDZ4:EDZ400)</f>
        <v>0</v>
      </c>
      <c r="EEA2" s="8">
        <f>COUNT(EEB4:EEB400)</f>
        <v>0</v>
      </c>
      <c r="EEC2" s="8">
        <f>COUNT(EED4:EED400)</f>
        <v>0</v>
      </c>
      <c r="EEE2" s="8">
        <f>COUNT(EEF4:EEF400)</f>
        <v>0</v>
      </c>
      <c r="EEG2" s="8">
        <f>COUNT(EEH4:EEH400)</f>
        <v>0</v>
      </c>
      <c r="EEI2" s="8">
        <f>COUNT(EEJ4:EEJ400)</f>
        <v>0</v>
      </c>
      <c r="EEK2" s="8">
        <f>COUNT(EEL4:EEL400)</f>
        <v>0</v>
      </c>
      <c r="EEM2" s="8">
        <f>COUNT(EEN4:EEN400)</f>
        <v>0</v>
      </c>
      <c r="EEO2" s="8">
        <f>COUNT(EEP4:EEP400)</f>
        <v>0</v>
      </c>
      <c r="EEQ2" s="8">
        <f>COUNT(EER4:EER400)</f>
        <v>0</v>
      </c>
      <c r="EES2" s="8">
        <f>COUNT(EET4:EET400)</f>
        <v>0</v>
      </c>
      <c r="EEU2" s="8">
        <f>COUNT(EEV4:EEV400)</f>
        <v>0</v>
      </c>
      <c r="EEW2" s="8">
        <f>COUNT(EEX4:EEX400)</f>
        <v>0</v>
      </c>
      <c r="EEY2" s="8">
        <f>COUNT(EEZ4:EEZ400)</f>
        <v>0</v>
      </c>
      <c r="EFA2" s="8">
        <f>COUNT(EFB4:EFB400)</f>
        <v>0</v>
      </c>
      <c r="EFC2" s="8">
        <f>COUNT(EFD4:EFD400)</f>
        <v>0</v>
      </c>
      <c r="EFE2" s="8">
        <f>COUNT(EFF4:EFF400)</f>
        <v>0</v>
      </c>
      <c r="EFG2" s="8">
        <f>COUNT(EFH4:EFH400)</f>
        <v>0</v>
      </c>
      <c r="EFI2" s="8">
        <f>COUNT(EFJ4:EFJ400)</f>
        <v>0</v>
      </c>
      <c r="EFK2" s="8">
        <f>COUNT(EFL4:EFL400)</f>
        <v>0</v>
      </c>
      <c r="EFM2" s="8">
        <f>COUNT(EFN4:EFN400)</f>
        <v>0</v>
      </c>
      <c r="EFO2" s="8">
        <f>COUNT(EFP4:EFP400)</f>
        <v>0</v>
      </c>
      <c r="EFQ2" s="8">
        <f>COUNT(EFR4:EFR400)</f>
        <v>0</v>
      </c>
      <c r="EFS2" s="8">
        <f>COUNT(EFT4:EFT400)</f>
        <v>0</v>
      </c>
      <c r="EFU2" s="8">
        <f>COUNT(EFV4:EFV400)</f>
        <v>0</v>
      </c>
      <c r="EFW2" s="8">
        <f>COUNT(EFX4:EFX400)</f>
        <v>0</v>
      </c>
      <c r="EFY2" s="8">
        <f>COUNT(EFZ4:EFZ400)</f>
        <v>0</v>
      </c>
      <c r="EGA2" s="8">
        <f>COUNT(EGB4:EGB400)</f>
        <v>0</v>
      </c>
      <c r="EGC2" s="8">
        <f>COUNT(EGD4:EGD400)</f>
        <v>0</v>
      </c>
      <c r="EGE2" s="8">
        <f>COUNT(EGF4:EGF400)</f>
        <v>0</v>
      </c>
      <c r="EGG2" s="8">
        <f>COUNT(EGH4:EGH400)</f>
        <v>0</v>
      </c>
      <c r="EGI2" s="8">
        <f>COUNT(EGJ4:EGJ400)</f>
        <v>0</v>
      </c>
      <c r="EGK2" s="8">
        <f>COUNT(EGL4:EGL400)</f>
        <v>0</v>
      </c>
      <c r="EGM2" s="8">
        <f>COUNT(EGN4:EGN400)</f>
        <v>0</v>
      </c>
      <c r="EGO2" s="8">
        <f>COUNT(EGP4:EGP400)</f>
        <v>0</v>
      </c>
      <c r="EGQ2" s="8">
        <f>COUNT(EGR4:EGR400)</f>
        <v>0</v>
      </c>
      <c r="EGS2" s="8">
        <f>COUNT(EGT4:EGT400)</f>
        <v>0</v>
      </c>
      <c r="EGU2" s="8">
        <f>COUNT(EGV4:EGV400)</f>
        <v>0</v>
      </c>
      <c r="EGW2" s="8">
        <f>COUNT(EGX4:EGX400)</f>
        <v>0</v>
      </c>
      <c r="EGY2" s="8">
        <f>COUNT(EGZ4:EGZ400)</f>
        <v>0</v>
      </c>
      <c r="EHA2" s="8">
        <f>COUNT(EHB4:EHB400)</f>
        <v>0</v>
      </c>
      <c r="EHC2" s="8">
        <f>COUNT(EHD4:EHD400)</f>
        <v>0</v>
      </c>
      <c r="EHE2" s="8">
        <f>COUNT(EHF4:EHF400)</f>
        <v>0</v>
      </c>
      <c r="EHG2" s="8">
        <f>COUNT(EHH4:EHH400)</f>
        <v>0</v>
      </c>
      <c r="EHI2" s="8">
        <f>COUNT(EHJ4:EHJ400)</f>
        <v>0</v>
      </c>
      <c r="EHK2" s="8">
        <f>COUNT(EHL4:EHL400)</f>
        <v>0</v>
      </c>
      <c r="EHM2" s="8">
        <f>COUNT(EHN4:EHN400)</f>
        <v>0</v>
      </c>
      <c r="EHO2" s="8">
        <f>COUNT(EHP4:EHP400)</f>
        <v>0</v>
      </c>
      <c r="EHQ2" s="8">
        <f>COUNT(EHR4:EHR400)</f>
        <v>0</v>
      </c>
      <c r="EHS2" s="8">
        <f>COUNT(EHT4:EHT400)</f>
        <v>0</v>
      </c>
      <c r="EHU2" s="8">
        <f>COUNT(EHV4:EHV400)</f>
        <v>0</v>
      </c>
      <c r="EHW2" s="8">
        <f>COUNT(EHX4:EHX400)</f>
        <v>0</v>
      </c>
      <c r="EHY2" s="8">
        <f>COUNT(EHZ4:EHZ400)</f>
        <v>0</v>
      </c>
      <c r="EIA2" s="8">
        <f>COUNT(EIB4:EIB400)</f>
        <v>0</v>
      </c>
      <c r="EIC2" s="8">
        <f>COUNT(EID4:EID400)</f>
        <v>0</v>
      </c>
      <c r="EIE2" s="8">
        <f>COUNT(EIF4:EIF400)</f>
        <v>0</v>
      </c>
      <c r="EIG2" s="8">
        <f>COUNT(EIH4:EIH400)</f>
        <v>0</v>
      </c>
      <c r="EII2" s="8">
        <f>COUNT(EIJ4:EIJ400)</f>
        <v>0</v>
      </c>
      <c r="EIK2" s="8">
        <f>COUNT(EIL4:EIL400)</f>
        <v>0</v>
      </c>
      <c r="EIM2" s="8">
        <f>COUNT(EIN4:EIN400)</f>
        <v>0</v>
      </c>
      <c r="EIO2" s="8">
        <f>COUNT(EIP4:EIP400)</f>
        <v>0</v>
      </c>
      <c r="EIQ2" s="8">
        <f>COUNT(EIR4:EIR400)</f>
        <v>0</v>
      </c>
      <c r="EIS2" s="8">
        <f>COUNT(EIT4:EIT400)</f>
        <v>0</v>
      </c>
      <c r="EIU2" s="8">
        <f>COUNT(EIV4:EIV400)</f>
        <v>0</v>
      </c>
      <c r="EIW2" s="8">
        <f>COUNT(EIX4:EIX400)</f>
        <v>0</v>
      </c>
      <c r="EIY2" s="8">
        <f>COUNT(EIZ4:EIZ400)</f>
        <v>0</v>
      </c>
      <c r="EJA2" s="8">
        <f>COUNT(EJB4:EJB400)</f>
        <v>0</v>
      </c>
      <c r="EJC2" s="8">
        <f>COUNT(EJD4:EJD400)</f>
        <v>0</v>
      </c>
      <c r="EJE2" s="8">
        <f>COUNT(EJF4:EJF400)</f>
        <v>0</v>
      </c>
      <c r="EJG2" s="8">
        <f>COUNT(EJH4:EJH400)</f>
        <v>0</v>
      </c>
      <c r="EJI2" s="8">
        <f>COUNT(EJJ4:EJJ400)</f>
        <v>0</v>
      </c>
      <c r="EJK2" s="8">
        <f>COUNT(EJL4:EJL400)</f>
        <v>0</v>
      </c>
      <c r="EJM2" s="8">
        <f>COUNT(EJN4:EJN400)</f>
        <v>0</v>
      </c>
      <c r="EJO2" s="8">
        <f>COUNT(EJP4:EJP400)</f>
        <v>0</v>
      </c>
      <c r="EJQ2" s="8">
        <f>COUNT(EJR4:EJR400)</f>
        <v>0</v>
      </c>
      <c r="EJS2" s="8">
        <f>COUNT(EJT4:EJT400)</f>
        <v>0</v>
      </c>
      <c r="EJU2" s="8">
        <f>COUNT(EJV4:EJV400)</f>
        <v>0</v>
      </c>
      <c r="EJW2" s="8">
        <f>COUNT(EJX4:EJX400)</f>
        <v>0</v>
      </c>
      <c r="EJY2" s="8">
        <f>COUNT(EJZ4:EJZ400)</f>
        <v>0</v>
      </c>
      <c r="EKA2" s="8">
        <f>COUNT(EKB4:EKB400)</f>
        <v>0</v>
      </c>
      <c r="EKC2" s="8">
        <f>COUNT(EKD4:EKD400)</f>
        <v>0</v>
      </c>
      <c r="EKE2" s="8">
        <f>COUNT(EKF4:EKF400)</f>
        <v>0</v>
      </c>
      <c r="EKG2" s="8">
        <f>COUNT(EKH4:EKH400)</f>
        <v>0</v>
      </c>
      <c r="EKI2" s="8">
        <f>COUNT(EKJ4:EKJ400)</f>
        <v>0</v>
      </c>
      <c r="EKK2" s="8">
        <f>COUNT(EKL4:EKL400)</f>
        <v>0</v>
      </c>
      <c r="EKM2" s="8">
        <f>COUNT(EKN4:EKN400)</f>
        <v>0</v>
      </c>
      <c r="EKO2" s="8">
        <f>COUNT(EKP4:EKP400)</f>
        <v>0</v>
      </c>
      <c r="EKQ2" s="8">
        <f>COUNT(EKR4:EKR400)</f>
        <v>0</v>
      </c>
      <c r="EKS2" s="8">
        <f>COUNT(EKT4:EKT400)</f>
        <v>0</v>
      </c>
      <c r="EKU2" s="8">
        <f>COUNT(EKV4:EKV400)</f>
        <v>0</v>
      </c>
      <c r="EKW2" s="8">
        <f>COUNT(EKX4:EKX400)</f>
        <v>0</v>
      </c>
      <c r="EKY2" s="8">
        <f>COUNT(EKZ4:EKZ400)</f>
        <v>0</v>
      </c>
      <c r="ELA2" s="8">
        <f>COUNT(ELB4:ELB400)</f>
        <v>0</v>
      </c>
      <c r="ELC2" s="8">
        <f>COUNT(ELD4:ELD400)</f>
        <v>0</v>
      </c>
      <c r="ELE2" s="8">
        <f>COUNT(ELF4:ELF400)</f>
        <v>0</v>
      </c>
      <c r="ELG2" s="8">
        <f>COUNT(ELH4:ELH400)</f>
        <v>0</v>
      </c>
      <c r="ELI2" s="8">
        <f>COUNT(ELJ4:ELJ400)</f>
        <v>0</v>
      </c>
      <c r="ELK2" s="8">
        <f>COUNT(ELL4:ELL400)</f>
        <v>0</v>
      </c>
      <c r="ELM2" s="8">
        <f>COUNT(ELN4:ELN400)</f>
        <v>0</v>
      </c>
      <c r="ELO2" s="8">
        <f>COUNT(ELP4:ELP400)</f>
        <v>0</v>
      </c>
      <c r="ELQ2" s="8">
        <f>COUNT(ELR4:ELR400)</f>
        <v>0</v>
      </c>
      <c r="ELS2" s="8">
        <f>COUNT(ELT4:ELT400)</f>
        <v>0</v>
      </c>
      <c r="ELU2" s="8">
        <f>COUNT(ELV4:ELV400)</f>
        <v>0</v>
      </c>
      <c r="ELW2" s="8">
        <f>COUNT(ELX4:ELX400)</f>
        <v>0</v>
      </c>
      <c r="ELY2" s="8">
        <f>COUNT(ELZ4:ELZ400)</f>
        <v>0</v>
      </c>
      <c r="EMA2" s="8">
        <f>COUNT(EMB4:EMB400)</f>
        <v>0</v>
      </c>
      <c r="EMC2" s="8">
        <f>COUNT(EMD4:EMD400)</f>
        <v>0</v>
      </c>
      <c r="EME2" s="8">
        <f>COUNT(EMF4:EMF400)</f>
        <v>0</v>
      </c>
      <c r="EMG2" s="8">
        <f>COUNT(EMH4:EMH400)</f>
        <v>0</v>
      </c>
      <c r="EMI2" s="8">
        <f>COUNT(EMJ4:EMJ400)</f>
        <v>0</v>
      </c>
      <c r="EMK2" s="8">
        <f>COUNT(EML4:EML400)</f>
        <v>0</v>
      </c>
      <c r="EMM2" s="8">
        <f>COUNT(EMN4:EMN400)</f>
        <v>0</v>
      </c>
      <c r="EMO2" s="8">
        <f>COUNT(EMP4:EMP400)</f>
        <v>0</v>
      </c>
      <c r="EMQ2" s="8">
        <f>COUNT(EMR4:EMR400)</f>
        <v>0</v>
      </c>
      <c r="EMS2" s="8">
        <f>COUNT(EMT4:EMT400)</f>
        <v>0</v>
      </c>
      <c r="EMU2" s="8">
        <f>COUNT(EMV4:EMV400)</f>
        <v>0</v>
      </c>
      <c r="EMW2" s="8">
        <f>COUNT(EMX4:EMX400)</f>
        <v>0</v>
      </c>
      <c r="EMY2" s="8">
        <f>COUNT(EMZ4:EMZ400)</f>
        <v>0</v>
      </c>
      <c r="ENA2" s="8">
        <f>COUNT(ENB4:ENB400)</f>
        <v>0</v>
      </c>
      <c r="ENC2" s="8">
        <f>COUNT(END4:END400)</f>
        <v>0</v>
      </c>
      <c r="ENE2" s="8">
        <f>COUNT(ENF4:ENF400)</f>
        <v>0</v>
      </c>
      <c r="ENG2" s="8">
        <f>COUNT(ENH4:ENH400)</f>
        <v>0</v>
      </c>
      <c r="ENI2" s="8">
        <f>COUNT(ENJ4:ENJ400)</f>
        <v>0</v>
      </c>
      <c r="ENK2" s="8">
        <f>COUNT(ENL4:ENL400)</f>
        <v>0</v>
      </c>
      <c r="ENM2" s="8">
        <f>COUNT(ENN4:ENN400)</f>
        <v>0</v>
      </c>
      <c r="ENO2" s="8">
        <f>COUNT(ENP4:ENP400)</f>
        <v>0</v>
      </c>
      <c r="ENQ2" s="8">
        <f>COUNT(ENR4:ENR400)</f>
        <v>0</v>
      </c>
      <c r="ENS2" s="8">
        <f>COUNT(ENT4:ENT400)</f>
        <v>0</v>
      </c>
      <c r="ENU2" s="8">
        <f>COUNT(ENV4:ENV400)</f>
        <v>0</v>
      </c>
      <c r="ENW2" s="8">
        <f>COUNT(ENX4:ENX400)</f>
        <v>0</v>
      </c>
      <c r="ENY2" s="8">
        <f>COUNT(ENZ4:ENZ400)</f>
        <v>0</v>
      </c>
      <c r="EOA2" s="8">
        <f>COUNT(EOB4:EOB400)</f>
        <v>0</v>
      </c>
      <c r="EOC2" s="8">
        <f>COUNT(EOD4:EOD400)</f>
        <v>0</v>
      </c>
      <c r="EOE2" s="8">
        <f>COUNT(EOF4:EOF400)</f>
        <v>0</v>
      </c>
      <c r="EOG2" s="8">
        <f>COUNT(EOH4:EOH400)</f>
        <v>0</v>
      </c>
      <c r="EOI2" s="8">
        <f>COUNT(EOJ4:EOJ400)</f>
        <v>0</v>
      </c>
      <c r="EOK2" s="8">
        <f>COUNT(EOL4:EOL400)</f>
        <v>0</v>
      </c>
      <c r="EOM2" s="8">
        <f>COUNT(EON4:EON400)</f>
        <v>0</v>
      </c>
      <c r="EOO2" s="8">
        <f>COUNT(EOP4:EOP400)</f>
        <v>0</v>
      </c>
      <c r="EOQ2" s="8">
        <f>COUNT(EOR4:EOR400)</f>
        <v>0</v>
      </c>
      <c r="EOS2" s="8">
        <f>COUNT(EOT4:EOT400)</f>
        <v>0</v>
      </c>
      <c r="EOU2" s="8">
        <f>COUNT(EOV4:EOV400)</f>
        <v>0</v>
      </c>
      <c r="EOW2" s="8">
        <f>COUNT(EOX4:EOX400)</f>
        <v>0</v>
      </c>
      <c r="EOY2" s="8">
        <f>COUNT(EOZ4:EOZ400)</f>
        <v>0</v>
      </c>
      <c r="EPA2" s="8">
        <f>COUNT(EPB4:EPB400)</f>
        <v>0</v>
      </c>
      <c r="EPC2" s="8">
        <f>COUNT(EPD4:EPD400)</f>
        <v>0</v>
      </c>
      <c r="EPE2" s="8">
        <f>COUNT(EPF4:EPF400)</f>
        <v>0</v>
      </c>
      <c r="EPG2" s="8">
        <f>COUNT(EPH4:EPH400)</f>
        <v>0</v>
      </c>
      <c r="EPI2" s="8">
        <f>COUNT(EPJ4:EPJ400)</f>
        <v>0</v>
      </c>
      <c r="EPK2" s="8">
        <f>COUNT(EPL4:EPL400)</f>
        <v>0</v>
      </c>
      <c r="EPM2" s="8">
        <f>COUNT(EPN4:EPN400)</f>
        <v>0</v>
      </c>
      <c r="EPO2" s="8">
        <f>COUNT(EPP4:EPP400)</f>
        <v>0</v>
      </c>
      <c r="EPQ2" s="8">
        <f>COUNT(EPR4:EPR400)</f>
        <v>0</v>
      </c>
      <c r="EPS2" s="8">
        <f>COUNT(EPT4:EPT400)</f>
        <v>0</v>
      </c>
      <c r="EPU2" s="8">
        <f>COUNT(EPV4:EPV400)</f>
        <v>0</v>
      </c>
      <c r="EPW2" s="8">
        <f>COUNT(EPX4:EPX400)</f>
        <v>0</v>
      </c>
      <c r="EPY2" s="8">
        <f>COUNT(EPZ4:EPZ400)</f>
        <v>0</v>
      </c>
      <c r="EQA2" s="8">
        <f>COUNT(EQB4:EQB400)</f>
        <v>0</v>
      </c>
      <c r="EQC2" s="8">
        <f>COUNT(EQD4:EQD400)</f>
        <v>0</v>
      </c>
      <c r="EQE2" s="8">
        <f>COUNT(EQF4:EQF400)</f>
        <v>0</v>
      </c>
      <c r="EQG2" s="8">
        <f>COUNT(EQH4:EQH400)</f>
        <v>0</v>
      </c>
      <c r="EQI2" s="8">
        <f>COUNT(EQJ4:EQJ400)</f>
        <v>0</v>
      </c>
      <c r="EQK2" s="8">
        <f>COUNT(EQL4:EQL400)</f>
        <v>0</v>
      </c>
      <c r="EQM2" s="8">
        <f>COUNT(EQN4:EQN400)</f>
        <v>0</v>
      </c>
      <c r="EQO2" s="8">
        <f>COUNT(EQP4:EQP400)</f>
        <v>0</v>
      </c>
      <c r="EQQ2" s="8">
        <f>COUNT(EQR4:EQR400)</f>
        <v>0</v>
      </c>
      <c r="EQS2" s="8">
        <f>COUNT(EQT4:EQT400)</f>
        <v>0</v>
      </c>
      <c r="EQU2" s="8">
        <f>COUNT(EQV4:EQV400)</f>
        <v>0</v>
      </c>
      <c r="EQW2" s="8">
        <f>COUNT(EQX4:EQX400)</f>
        <v>0</v>
      </c>
      <c r="EQY2" s="8">
        <f>COUNT(EQZ4:EQZ400)</f>
        <v>0</v>
      </c>
      <c r="ERA2" s="8">
        <f>COUNT(ERB4:ERB400)</f>
        <v>0</v>
      </c>
      <c r="ERC2" s="8">
        <f>COUNT(ERD4:ERD400)</f>
        <v>0</v>
      </c>
      <c r="ERE2" s="8">
        <f>COUNT(ERF4:ERF400)</f>
        <v>0</v>
      </c>
      <c r="ERG2" s="8">
        <f>COUNT(ERH4:ERH400)</f>
        <v>0</v>
      </c>
      <c r="ERI2" s="8">
        <f>COUNT(ERJ4:ERJ400)</f>
        <v>0</v>
      </c>
      <c r="ERK2" s="8">
        <f>COUNT(ERL4:ERL400)</f>
        <v>0</v>
      </c>
      <c r="ERM2" s="8">
        <f>COUNT(ERN4:ERN400)</f>
        <v>0</v>
      </c>
      <c r="ERO2" s="8">
        <f>COUNT(ERP4:ERP400)</f>
        <v>0</v>
      </c>
      <c r="ERQ2" s="8">
        <f>COUNT(ERR4:ERR400)</f>
        <v>0</v>
      </c>
      <c r="ERS2" s="8">
        <f>COUNT(ERT4:ERT400)</f>
        <v>0</v>
      </c>
      <c r="ERU2" s="8">
        <f>COUNT(ERV4:ERV400)</f>
        <v>0</v>
      </c>
      <c r="ERW2" s="8">
        <f>COUNT(ERX4:ERX400)</f>
        <v>0</v>
      </c>
      <c r="ERY2" s="8">
        <f>COUNT(ERZ4:ERZ400)</f>
        <v>0</v>
      </c>
      <c r="ESA2" s="8">
        <f>COUNT(ESB4:ESB400)</f>
        <v>0</v>
      </c>
      <c r="ESC2" s="8">
        <f>COUNT(ESD4:ESD400)</f>
        <v>0</v>
      </c>
      <c r="ESE2" s="8">
        <f>COUNT(ESF4:ESF400)</f>
        <v>0</v>
      </c>
      <c r="ESG2" s="8">
        <f>COUNT(ESH4:ESH400)</f>
        <v>0</v>
      </c>
      <c r="ESI2" s="8">
        <f>COUNT(ESJ4:ESJ400)</f>
        <v>0</v>
      </c>
      <c r="ESK2" s="8">
        <f>COUNT(ESL4:ESL400)</f>
        <v>0</v>
      </c>
      <c r="ESM2" s="8">
        <f>COUNT(ESN4:ESN400)</f>
        <v>0</v>
      </c>
      <c r="ESO2" s="8">
        <f>COUNT(ESP4:ESP400)</f>
        <v>0</v>
      </c>
      <c r="ESQ2" s="8">
        <f>COUNT(ESR4:ESR400)</f>
        <v>0</v>
      </c>
      <c r="ESS2" s="8">
        <f>COUNT(EST4:EST400)</f>
        <v>0</v>
      </c>
      <c r="ESU2" s="8">
        <f>COUNT(ESV4:ESV400)</f>
        <v>0</v>
      </c>
      <c r="ESW2" s="8">
        <f>COUNT(ESX4:ESX400)</f>
        <v>0</v>
      </c>
      <c r="ESY2" s="8">
        <f>COUNT(ESZ4:ESZ400)</f>
        <v>0</v>
      </c>
      <c r="ETA2" s="8">
        <f>COUNT(ETB4:ETB400)</f>
        <v>0</v>
      </c>
      <c r="ETC2" s="8">
        <f>COUNT(ETD4:ETD400)</f>
        <v>0</v>
      </c>
      <c r="ETE2" s="8">
        <f>COUNT(ETF4:ETF400)</f>
        <v>0</v>
      </c>
      <c r="ETG2" s="8">
        <f>COUNT(ETH4:ETH400)</f>
        <v>0</v>
      </c>
      <c r="ETI2" s="8">
        <f>COUNT(ETJ4:ETJ400)</f>
        <v>0</v>
      </c>
      <c r="ETK2" s="8">
        <f>COUNT(ETL4:ETL400)</f>
        <v>0</v>
      </c>
      <c r="ETM2" s="8">
        <f>COUNT(ETN4:ETN400)</f>
        <v>0</v>
      </c>
      <c r="ETO2" s="8">
        <f>COUNT(ETP4:ETP400)</f>
        <v>0</v>
      </c>
      <c r="ETQ2" s="8">
        <f>COUNT(ETR4:ETR400)</f>
        <v>0</v>
      </c>
      <c r="ETS2" s="8">
        <f>COUNT(ETT4:ETT400)</f>
        <v>0</v>
      </c>
      <c r="ETU2" s="8">
        <f>COUNT(ETV4:ETV400)</f>
        <v>0</v>
      </c>
      <c r="ETW2" s="8">
        <f>COUNT(ETX4:ETX400)</f>
        <v>0</v>
      </c>
      <c r="ETY2" s="8">
        <f>COUNT(ETZ4:ETZ400)</f>
        <v>0</v>
      </c>
      <c r="EUA2" s="8">
        <f>COUNT(EUB4:EUB400)</f>
        <v>0</v>
      </c>
      <c r="EUC2" s="8">
        <f>COUNT(EUD4:EUD400)</f>
        <v>0</v>
      </c>
      <c r="EUE2" s="8">
        <f>COUNT(EUF4:EUF400)</f>
        <v>0</v>
      </c>
      <c r="EUG2" s="8">
        <f>COUNT(EUH4:EUH400)</f>
        <v>0</v>
      </c>
      <c r="EUI2" s="8">
        <f>COUNT(EUJ4:EUJ400)</f>
        <v>0</v>
      </c>
      <c r="EUK2" s="8">
        <f>COUNT(EUL4:EUL400)</f>
        <v>0</v>
      </c>
      <c r="EUM2" s="8">
        <f>COUNT(EUN4:EUN400)</f>
        <v>0</v>
      </c>
      <c r="EUO2" s="8">
        <f>COUNT(EUP4:EUP400)</f>
        <v>0</v>
      </c>
      <c r="EUQ2" s="8">
        <f>COUNT(EUR4:EUR400)</f>
        <v>0</v>
      </c>
      <c r="EUS2" s="8">
        <f>COUNT(EUT4:EUT400)</f>
        <v>0</v>
      </c>
      <c r="EUU2" s="8">
        <f>COUNT(EUV4:EUV400)</f>
        <v>0</v>
      </c>
      <c r="EUW2" s="8">
        <f>COUNT(EUX4:EUX400)</f>
        <v>0</v>
      </c>
      <c r="EUY2" s="8">
        <f>COUNT(EUZ4:EUZ400)</f>
        <v>0</v>
      </c>
      <c r="EVA2" s="8">
        <f>COUNT(EVB4:EVB400)</f>
        <v>0</v>
      </c>
      <c r="EVC2" s="8">
        <f>COUNT(EVD4:EVD400)</f>
        <v>0</v>
      </c>
      <c r="EVE2" s="8">
        <f>COUNT(EVF4:EVF400)</f>
        <v>0</v>
      </c>
      <c r="EVG2" s="8">
        <f>COUNT(EVH4:EVH400)</f>
        <v>0</v>
      </c>
      <c r="EVI2" s="8">
        <f>COUNT(EVJ4:EVJ400)</f>
        <v>0</v>
      </c>
      <c r="EVK2" s="8">
        <f>COUNT(EVL4:EVL400)</f>
        <v>0</v>
      </c>
      <c r="EVM2" s="8">
        <f>COUNT(EVN4:EVN400)</f>
        <v>0</v>
      </c>
      <c r="EVO2" s="8">
        <f>COUNT(EVP4:EVP400)</f>
        <v>0</v>
      </c>
      <c r="EVQ2" s="8">
        <f>COUNT(EVR4:EVR400)</f>
        <v>0</v>
      </c>
      <c r="EVS2" s="8">
        <f>COUNT(EVT4:EVT400)</f>
        <v>0</v>
      </c>
      <c r="EVU2" s="8">
        <f>COUNT(EVV4:EVV400)</f>
        <v>0</v>
      </c>
      <c r="EVW2" s="8">
        <f>COUNT(EVX4:EVX400)</f>
        <v>0</v>
      </c>
      <c r="EVY2" s="8">
        <f>COUNT(EVZ4:EVZ400)</f>
        <v>0</v>
      </c>
      <c r="EWA2" s="8">
        <f>COUNT(EWB4:EWB400)</f>
        <v>0</v>
      </c>
      <c r="EWC2" s="8">
        <f>COUNT(EWD4:EWD400)</f>
        <v>0</v>
      </c>
      <c r="EWE2" s="8">
        <f>COUNT(EWF4:EWF400)</f>
        <v>0</v>
      </c>
      <c r="EWG2" s="8">
        <f>COUNT(EWH4:EWH400)</f>
        <v>0</v>
      </c>
      <c r="EWI2" s="8">
        <f>COUNT(EWJ4:EWJ400)</f>
        <v>0</v>
      </c>
      <c r="EWK2" s="8">
        <f>COUNT(EWL4:EWL400)</f>
        <v>0</v>
      </c>
      <c r="EWM2" s="8">
        <f>COUNT(EWN4:EWN400)</f>
        <v>0</v>
      </c>
      <c r="EWO2" s="8">
        <f>COUNT(EWP4:EWP400)</f>
        <v>0</v>
      </c>
      <c r="EWQ2" s="8">
        <f>COUNT(EWR4:EWR400)</f>
        <v>0</v>
      </c>
      <c r="EWS2" s="8">
        <f>COUNT(EWT4:EWT400)</f>
        <v>0</v>
      </c>
      <c r="EWU2" s="8">
        <f>COUNT(EWV4:EWV400)</f>
        <v>0</v>
      </c>
    </row>
    <row r="3" spans="1:4000">
      <c r="A3" s="10" t="s">
        <v>67</v>
      </c>
      <c r="B3" s="10" t="s">
        <v>70</v>
      </c>
      <c r="C3" s="10" t="s">
        <v>67</v>
      </c>
      <c r="D3" s="10" t="s">
        <v>70</v>
      </c>
      <c r="E3" s="10" t="s">
        <v>67</v>
      </c>
      <c r="F3" s="10" t="s">
        <v>70</v>
      </c>
      <c r="G3" s="10" t="s">
        <v>67</v>
      </c>
      <c r="H3" s="10" t="s">
        <v>70</v>
      </c>
      <c r="I3" s="10" t="s">
        <v>67</v>
      </c>
      <c r="J3" s="10" t="s">
        <v>70</v>
      </c>
      <c r="K3" s="10" t="s">
        <v>67</v>
      </c>
      <c r="L3" s="10" t="s">
        <v>70</v>
      </c>
      <c r="M3" s="10" t="s">
        <v>67</v>
      </c>
      <c r="N3" s="10" t="s">
        <v>70</v>
      </c>
      <c r="O3" s="10" t="s">
        <v>67</v>
      </c>
      <c r="P3" s="10" t="s">
        <v>70</v>
      </c>
      <c r="Q3" s="10" t="s">
        <v>67</v>
      </c>
      <c r="R3" s="10" t="s">
        <v>70</v>
      </c>
      <c r="S3" s="10" t="s">
        <v>67</v>
      </c>
      <c r="T3" s="10" t="s">
        <v>70</v>
      </c>
      <c r="U3" s="10" t="s">
        <v>67</v>
      </c>
      <c r="V3" s="10" t="s">
        <v>70</v>
      </c>
      <c r="W3" s="10" t="s">
        <v>67</v>
      </c>
      <c r="X3" s="10" t="s">
        <v>70</v>
      </c>
      <c r="Y3" s="10" t="s">
        <v>67</v>
      </c>
      <c r="Z3" s="10" t="s">
        <v>70</v>
      </c>
      <c r="AA3" s="10" t="s">
        <v>67</v>
      </c>
      <c r="AB3" s="10" t="s">
        <v>70</v>
      </c>
      <c r="AC3" s="10" t="s">
        <v>67</v>
      </c>
      <c r="AD3" s="10" t="s">
        <v>70</v>
      </c>
      <c r="AE3" s="10" t="s">
        <v>67</v>
      </c>
      <c r="AF3" s="10" t="s">
        <v>70</v>
      </c>
      <c r="AG3" s="10" t="s">
        <v>67</v>
      </c>
      <c r="AH3" s="10" t="s">
        <v>70</v>
      </c>
      <c r="AI3" s="10" t="s">
        <v>67</v>
      </c>
      <c r="AJ3" s="10" t="s">
        <v>70</v>
      </c>
      <c r="AK3" s="10" t="s">
        <v>67</v>
      </c>
      <c r="AL3" s="10" t="s">
        <v>70</v>
      </c>
      <c r="AM3" s="10" t="s">
        <v>67</v>
      </c>
      <c r="AN3" s="10" t="s">
        <v>70</v>
      </c>
      <c r="AO3" s="10" t="s">
        <v>67</v>
      </c>
      <c r="AP3" s="10" t="s">
        <v>70</v>
      </c>
      <c r="AQ3" s="10" t="s">
        <v>67</v>
      </c>
      <c r="AR3" s="10" t="s">
        <v>70</v>
      </c>
      <c r="AS3" s="10" t="s">
        <v>67</v>
      </c>
      <c r="AT3" s="10" t="s">
        <v>70</v>
      </c>
      <c r="AU3" s="10" t="s">
        <v>67</v>
      </c>
      <c r="AV3" s="10" t="s">
        <v>70</v>
      </c>
      <c r="AW3" s="10" t="s">
        <v>67</v>
      </c>
      <c r="AX3" s="10" t="s">
        <v>70</v>
      </c>
      <c r="AY3" s="10" t="s">
        <v>67</v>
      </c>
      <c r="AZ3" s="10" t="s">
        <v>70</v>
      </c>
      <c r="BA3" s="10" t="s">
        <v>67</v>
      </c>
      <c r="BB3" s="10" t="s">
        <v>70</v>
      </c>
      <c r="BC3" s="10" t="s">
        <v>67</v>
      </c>
      <c r="BD3" s="10" t="s">
        <v>70</v>
      </c>
      <c r="BE3" s="10" t="s">
        <v>67</v>
      </c>
      <c r="BF3" s="10" t="s">
        <v>70</v>
      </c>
      <c r="BG3" s="10" t="s">
        <v>67</v>
      </c>
      <c r="BH3" s="10" t="s">
        <v>70</v>
      </c>
      <c r="BI3" s="10" t="s">
        <v>67</v>
      </c>
      <c r="BJ3" s="10" t="s">
        <v>70</v>
      </c>
      <c r="BK3" s="10" t="s">
        <v>67</v>
      </c>
      <c r="BL3" s="10" t="s">
        <v>70</v>
      </c>
      <c r="BM3" s="10" t="s">
        <v>67</v>
      </c>
      <c r="BN3" s="10" t="s">
        <v>70</v>
      </c>
      <c r="BO3" s="10" t="s">
        <v>67</v>
      </c>
      <c r="BP3" s="10" t="s">
        <v>70</v>
      </c>
      <c r="BQ3" s="10" t="s">
        <v>67</v>
      </c>
      <c r="BR3" s="10" t="s">
        <v>70</v>
      </c>
      <c r="BS3" s="10" t="s">
        <v>67</v>
      </c>
      <c r="BT3" s="10" t="s">
        <v>70</v>
      </c>
      <c r="BU3" s="10" t="s">
        <v>67</v>
      </c>
      <c r="BV3" s="10" t="s">
        <v>70</v>
      </c>
      <c r="BW3" s="10" t="s">
        <v>67</v>
      </c>
      <c r="BX3" s="10" t="s">
        <v>70</v>
      </c>
      <c r="BY3" s="10" t="s">
        <v>67</v>
      </c>
      <c r="BZ3" s="10" t="s">
        <v>70</v>
      </c>
      <c r="CA3" s="10" t="s">
        <v>67</v>
      </c>
      <c r="CB3" s="10" t="s">
        <v>70</v>
      </c>
      <c r="CC3" s="10" t="s">
        <v>67</v>
      </c>
      <c r="CD3" s="10" t="s">
        <v>70</v>
      </c>
      <c r="CE3" s="10" t="s">
        <v>67</v>
      </c>
      <c r="CF3" s="10" t="s">
        <v>70</v>
      </c>
      <c r="CG3" s="10" t="s">
        <v>67</v>
      </c>
      <c r="CH3" s="10" t="s">
        <v>70</v>
      </c>
      <c r="CI3" s="10" t="s">
        <v>67</v>
      </c>
      <c r="CJ3" s="10" t="s">
        <v>70</v>
      </c>
      <c r="CK3" s="10" t="s">
        <v>67</v>
      </c>
      <c r="CL3" s="10" t="s">
        <v>70</v>
      </c>
      <c r="CM3" s="10" t="s">
        <v>67</v>
      </c>
      <c r="CN3" s="10" t="s">
        <v>70</v>
      </c>
      <c r="CO3" s="10" t="s">
        <v>67</v>
      </c>
      <c r="CP3" s="10" t="s">
        <v>70</v>
      </c>
      <c r="CQ3" s="10" t="s">
        <v>67</v>
      </c>
      <c r="CR3" s="10" t="s">
        <v>70</v>
      </c>
      <c r="CS3" s="10" t="s">
        <v>67</v>
      </c>
      <c r="CT3" s="10" t="s">
        <v>70</v>
      </c>
      <c r="CU3" s="10" t="s">
        <v>67</v>
      </c>
      <c r="CV3" s="10" t="s">
        <v>70</v>
      </c>
      <c r="CW3" s="10" t="s">
        <v>67</v>
      </c>
      <c r="CX3" s="10" t="s">
        <v>70</v>
      </c>
      <c r="CY3" s="10" t="s">
        <v>67</v>
      </c>
      <c r="CZ3" s="10" t="s">
        <v>70</v>
      </c>
      <c r="DA3" s="10" t="s">
        <v>67</v>
      </c>
      <c r="DB3" s="10" t="s">
        <v>70</v>
      </c>
      <c r="DC3" s="10" t="s">
        <v>67</v>
      </c>
      <c r="DD3" s="10" t="s">
        <v>70</v>
      </c>
      <c r="DE3" s="10" t="s">
        <v>67</v>
      </c>
      <c r="DF3" s="10" t="s">
        <v>70</v>
      </c>
      <c r="DG3" s="10" t="s">
        <v>67</v>
      </c>
      <c r="DH3" s="10" t="s">
        <v>70</v>
      </c>
      <c r="DI3" s="10" t="s">
        <v>67</v>
      </c>
      <c r="DJ3" s="10" t="s">
        <v>70</v>
      </c>
      <c r="DK3" s="10" t="s">
        <v>67</v>
      </c>
      <c r="DL3" s="10" t="s">
        <v>70</v>
      </c>
      <c r="DM3" s="10" t="s">
        <v>67</v>
      </c>
      <c r="DN3" s="10" t="s">
        <v>70</v>
      </c>
      <c r="DO3" s="10" t="s">
        <v>67</v>
      </c>
      <c r="DP3" s="10" t="s">
        <v>70</v>
      </c>
      <c r="DQ3" s="10" t="s">
        <v>67</v>
      </c>
      <c r="DR3" s="10" t="s">
        <v>70</v>
      </c>
      <c r="DS3" s="10" t="s">
        <v>67</v>
      </c>
      <c r="DT3" s="10" t="s">
        <v>70</v>
      </c>
      <c r="DU3" s="10" t="s">
        <v>67</v>
      </c>
      <c r="DV3" s="10" t="s">
        <v>70</v>
      </c>
      <c r="DW3" s="10" t="s">
        <v>67</v>
      </c>
      <c r="DX3" s="10" t="s">
        <v>70</v>
      </c>
      <c r="DY3" s="10" t="s">
        <v>67</v>
      </c>
      <c r="DZ3" s="10" t="s">
        <v>70</v>
      </c>
      <c r="EA3" s="10" t="s">
        <v>67</v>
      </c>
      <c r="EB3" s="10" t="s">
        <v>70</v>
      </c>
      <c r="EC3" s="10" t="s">
        <v>67</v>
      </c>
      <c r="ED3" s="10" t="s">
        <v>70</v>
      </c>
      <c r="EE3" s="10" t="s">
        <v>67</v>
      </c>
      <c r="EF3" s="10" t="s">
        <v>70</v>
      </c>
      <c r="EG3" s="10" t="s">
        <v>67</v>
      </c>
      <c r="EH3" s="10" t="s">
        <v>70</v>
      </c>
      <c r="EI3" s="10" t="s">
        <v>67</v>
      </c>
      <c r="EJ3" s="10" t="s">
        <v>70</v>
      </c>
      <c r="EK3" s="10" t="s">
        <v>67</v>
      </c>
      <c r="EL3" s="10" t="s">
        <v>70</v>
      </c>
      <c r="EM3" s="10" t="s">
        <v>67</v>
      </c>
      <c r="EN3" s="10" t="s">
        <v>70</v>
      </c>
      <c r="EO3" s="10" t="s">
        <v>67</v>
      </c>
      <c r="EP3" s="10" t="s">
        <v>70</v>
      </c>
      <c r="EQ3" s="10" t="s">
        <v>67</v>
      </c>
      <c r="ER3" s="10" t="s">
        <v>70</v>
      </c>
      <c r="ES3" s="10" t="s">
        <v>67</v>
      </c>
      <c r="ET3" s="10" t="s">
        <v>70</v>
      </c>
      <c r="EU3" s="10" t="s">
        <v>67</v>
      </c>
      <c r="EV3" s="10" t="s">
        <v>70</v>
      </c>
      <c r="EW3" s="10" t="s">
        <v>67</v>
      </c>
      <c r="EX3" s="10" t="s">
        <v>70</v>
      </c>
      <c r="EY3" s="10" t="s">
        <v>67</v>
      </c>
      <c r="EZ3" s="10" t="s">
        <v>70</v>
      </c>
      <c r="FA3" s="10" t="s">
        <v>67</v>
      </c>
      <c r="FB3" s="10" t="s">
        <v>70</v>
      </c>
      <c r="FC3" s="10" t="s">
        <v>67</v>
      </c>
      <c r="FD3" s="10" t="s">
        <v>70</v>
      </c>
      <c r="FE3" s="10" t="s">
        <v>67</v>
      </c>
      <c r="FF3" s="10" t="s">
        <v>70</v>
      </c>
      <c r="FG3" s="10" t="s">
        <v>67</v>
      </c>
      <c r="FH3" s="10" t="s">
        <v>70</v>
      </c>
      <c r="FI3" s="10" t="s">
        <v>67</v>
      </c>
      <c r="FJ3" s="10" t="s">
        <v>70</v>
      </c>
      <c r="FK3" s="10" t="s">
        <v>67</v>
      </c>
      <c r="FL3" s="10" t="s">
        <v>70</v>
      </c>
      <c r="FM3" s="10" t="s">
        <v>67</v>
      </c>
      <c r="FN3" s="10" t="s">
        <v>70</v>
      </c>
      <c r="FO3" s="10" t="s">
        <v>67</v>
      </c>
      <c r="FP3" s="10" t="s">
        <v>70</v>
      </c>
      <c r="FQ3" s="10" t="s">
        <v>67</v>
      </c>
      <c r="FR3" s="10" t="s">
        <v>70</v>
      </c>
      <c r="FS3" s="10" t="s">
        <v>67</v>
      </c>
      <c r="FT3" s="10" t="s">
        <v>70</v>
      </c>
      <c r="FU3" s="10" t="s">
        <v>67</v>
      </c>
      <c r="FV3" s="10" t="s">
        <v>70</v>
      </c>
      <c r="FW3" s="10" t="s">
        <v>67</v>
      </c>
      <c r="FX3" s="10" t="s">
        <v>70</v>
      </c>
      <c r="FY3" s="10" t="s">
        <v>67</v>
      </c>
      <c r="FZ3" s="10" t="s">
        <v>70</v>
      </c>
      <c r="GA3" s="10" t="s">
        <v>67</v>
      </c>
      <c r="GB3" s="10" t="s">
        <v>70</v>
      </c>
      <c r="GC3" s="10" t="s">
        <v>67</v>
      </c>
      <c r="GD3" s="10" t="s">
        <v>70</v>
      </c>
      <c r="GE3" s="10" t="s">
        <v>67</v>
      </c>
      <c r="GF3" s="10" t="s">
        <v>70</v>
      </c>
      <c r="GG3" s="10" t="s">
        <v>67</v>
      </c>
      <c r="GH3" s="10" t="s">
        <v>70</v>
      </c>
      <c r="GI3" s="10" t="s">
        <v>67</v>
      </c>
      <c r="GJ3" s="10" t="s">
        <v>70</v>
      </c>
      <c r="GK3" s="10" t="s">
        <v>67</v>
      </c>
      <c r="GL3" s="10" t="s">
        <v>70</v>
      </c>
      <c r="GM3" s="10" t="s">
        <v>67</v>
      </c>
      <c r="GN3" s="10" t="s">
        <v>70</v>
      </c>
      <c r="GO3" s="10" t="s">
        <v>67</v>
      </c>
      <c r="GP3" s="10" t="s">
        <v>70</v>
      </c>
      <c r="GQ3" s="10" t="s">
        <v>67</v>
      </c>
      <c r="GR3" s="10" t="s">
        <v>70</v>
      </c>
      <c r="GS3" s="10" t="s">
        <v>67</v>
      </c>
      <c r="GT3" s="10" t="s">
        <v>70</v>
      </c>
      <c r="GU3" s="10" t="s">
        <v>67</v>
      </c>
      <c r="GV3" s="10" t="s">
        <v>70</v>
      </c>
      <c r="GW3" s="10" t="s">
        <v>67</v>
      </c>
      <c r="GX3" s="10" t="s">
        <v>70</v>
      </c>
      <c r="GY3" s="10" t="s">
        <v>67</v>
      </c>
      <c r="GZ3" s="10" t="s">
        <v>70</v>
      </c>
      <c r="HA3" s="10" t="s">
        <v>67</v>
      </c>
      <c r="HB3" s="10" t="s">
        <v>70</v>
      </c>
      <c r="HC3" s="10" t="s">
        <v>67</v>
      </c>
      <c r="HD3" s="10" t="s">
        <v>70</v>
      </c>
      <c r="HE3" s="10" t="s">
        <v>67</v>
      </c>
      <c r="HF3" s="10" t="s">
        <v>70</v>
      </c>
      <c r="HG3" s="10" t="s">
        <v>67</v>
      </c>
      <c r="HH3" s="10" t="s">
        <v>70</v>
      </c>
      <c r="HI3" s="10" t="s">
        <v>67</v>
      </c>
      <c r="HJ3" s="10" t="s">
        <v>70</v>
      </c>
      <c r="HK3" s="10" t="s">
        <v>67</v>
      </c>
      <c r="HL3" s="10" t="s">
        <v>70</v>
      </c>
      <c r="HM3" s="10" t="s">
        <v>67</v>
      </c>
      <c r="HN3" s="10" t="s">
        <v>70</v>
      </c>
      <c r="HO3" s="10" t="s">
        <v>67</v>
      </c>
      <c r="HP3" s="10" t="s">
        <v>70</v>
      </c>
      <c r="HQ3" s="10" t="s">
        <v>67</v>
      </c>
      <c r="HR3" s="10" t="s">
        <v>70</v>
      </c>
      <c r="HS3" s="10" t="s">
        <v>67</v>
      </c>
      <c r="HT3" s="10" t="s">
        <v>70</v>
      </c>
      <c r="HU3" s="10" t="s">
        <v>67</v>
      </c>
      <c r="HV3" s="10" t="s">
        <v>70</v>
      </c>
      <c r="HW3" s="10" t="s">
        <v>67</v>
      </c>
      <c r="HX3" s="10" t="s">
        <v>70</v>
      </c>
      <c r="HY3" s="10" t="s">
        <v>67</v>
      </c>
      <c r="HZ3" s="10" t="s">
        <v>70</v>
      </c>
      <c r="IA3" s="10" t="s">
        <v>67</v>
      </c>
      <c r="IB3" s="10" t="s">
        <v>70</v>
      </c>
      <c r="IC3" s="10" t="s">
        <v>67</v>
      </c>
      <c r="ID3" s="10" t="s">
        <v>70</v>
      </c>
      <c r="IE3" s="10" t="s">
        <v>67</v>
      </c>
      <c r="IF3" s="10" t="s">
        <v>70</v>
      </c>
      <c r="IG3" s="10" t="s">
        <v>67</v>
      </c>
      <c r="IH3" s="10" t="s">
        <v>70</v>
      </c>
      <c r="II3" s="10" t="s">
        <v>67</v>
      </c>
      <c r="IJ3" s="10" t="s">
        <v>70</v>
      </c>
      <c r="IK3" s="10" t="s">
        <v>67</v>
      </c>
      <c r="IL3" s="10" t="s">
        <v>70</v>
      </c>
      <c r="IM3" s="10" t="s">
        <v>67</v>
      </c>
      <c r="IN3" s="10" t="s">
        <v>70</v>
      </c>
      <c r="IO3" s="10" t="s">
        <v>67</v>
      </c>
      <c r="IP3" s="10" t="s">
        <v>70</v>
      </c>
      <c r="IQ3" s="10" t="s">
        <v>67</v>
      </c>
      <c r="IR3" s="10" t="s">
        <v>70</v>
      </c>
      <c r="IS3" s="10" t="s">
        <v>67</v>
      </c>
      <c r="IT3" s="10" t="s">
        <v>70</v>
      </c>
      <c r="IU3" s="10" t="s">
        <v>67</v>
      </c>
      <c r="IV3" s="10" t="s">
        <v>70</v>
      </c>
      <c r="IW3" s="10" t="s">
        <v>67</v>
      </c>
      <c r="IX3" s="10" t="s">
        <v>70</v>
      </c>
      <c r="IY3" s="10" t="s">
        <v>67</v>
      </c>
      <c r="IZ3" s="10" t="s">
        <v>70</v>
      </c>
      <c r="JA3" s="10" t="s">
        <v>67</v>
      </c>
      <c r="JB3" s="10" t="s">
        <v>70</v>
      </c>
      <c r="JC3" s="10" t="s">
        <v>67</v>
      </c>
      <c r="JD3" s="10" t="s">
        <v>70</v>
      </c>
      <c r="JE3" s="10" t="s">
        <v>67</v>
      </c>
      <c r="JF3" s="10" t="s">
        <v>70</v>
      </c>
      <c r="JG3" s="10" t="s">
        <v>67</v>
      </c>
      <c r="JH3" s="10" t="s">
        <v>70</v>
      </c>
      <c r="JI3" s="10" t="s">
        <v>67</v>
      </c>
      <c r="JJ3" s="10" t="s">
        <v>70</v>
      </c>
      <c r="JK3" s="10" t="s">
        <v>67</v>
      </c>
      <c r="JL3" s="10" t="s">
        <v>70</v>
      </c>
      <c r="JM3" s="10" t="s">
        <v>67</v>
      </c>
      <c r="JN3" s="10" t="s">
        <v>70</v>
      </c>
      <c r="JO3" s="10" t="s">
        <v>67</v>
      </c>
      <c r="JP3" s="10" t="s">
        <v>70</v>
      </c>
      <c r="JQ3" s="10" t="s">
        <v>67</v>
      </c>
      <c r="JR3" s="10" t="s">
        <v>70</v>
      </c>
      <c r="JS3" s="10" t="s">
        <v>67</v>
      </c>
      <c r="JT3" s="10" t="s">
        <v>70</v>
      </c>
      <c r="JU3" s="10" t="s">
        <v>67</v>
      </c>
      <c r="JV3" s="10" t="s">
        <v>70</v>
      </c>
      <c r="JW3" s="10" t="s">
        <v>67</v>
      </c>
      <c r="JX3" s="10" t="s">
        <v>70</v>
      </c>
      <c r="JY3" s="10" t="s">
        <v>67</v>
      </c>
      <c r="JZ3" s="10" t="s">
        <v>70</v>
      </c>
      <c r="KA3" s="10" t="s">
        <v>67</v>
      </c>
      <c r="KB3" s="10" t="s">
        <v>70</v>
      </c>
      <c r="KC3" s="10" t="s">
        <v>67</v>
      </c>
      <c r="KD3" s="10" t="s">
        <v>70</v>
      </c>
      <c r="KE3" s="10" t="s">
        <v>67</v>
      </c>
      <c r="KF3" s="10" t="s">
        <v>70</v>
      </c>
      <c r="KG3" s="10" t="s">
        <v>67</v>
      </c>
      <c r="KH3" s="10" t="s">
        <v>70</v>
      </c>
      <c r="KI3" s="10" t="s">
        <v>67</v>
      </c>
      <c r="KJ3" s="10" t="s">
        <v>70</v>
      </c>
      <c r="KK3" s="10" t="s">
        <v>67</v>
      </c>
      <c r="KL3" s="10" t="s">
        <v>70</v>
      </c>
      <c r="KM3" s="10" t="s">
        <v>67</v>
      </c>
      <c r="KN3" s="10" t="s">
        <v>70</v>
      </c>
      <c r="KO3" s="10" t="s">
        <v>67</v>
      </c>
      <c r="KP3" s="10" t="s">
        <v>70</v>
      </c>
      <c r="KQ3" s="10" t="s">
        <v>67</v>
      </c>
      <c r="KR3" s="10" t="s">
        <v>70</v>
      </c>
      <c r="KS3" s="10" t="s">
        <v>67</v>
      </c>
      <c r="KT3" s="10" t="s">
        <v>70</v>
      </c>
      <c r="KU3" s="10" t="s">
        <v>67</v>
      </c>
      <c r="KV3" s="10" t="s">
        <v>70</v>
      </c>
      <c r="KW3" s="10" t="s">
        <v>67</v>
      </c>
      <c r="KX3" s="10" t="s">
        <v>70</v>
      </c>
      <c r="KY3" s="10" t="s">
        <v>67</v>
      </c>
      <c r="KZ3" s="10" t="s">
        <v>70</v>
      </c>
      <c r="LA3" s="10" t="s">
        <v>67</v>
      </c>
      <c r="LB3" s="10" t="s">
        <v>70</v>
      </c>
      <c r="LC3" s="10" t="s">
        <v>67</v>
      </c>
      <c r="LD3" s="10" t="s">
        <v>70</v>
      </c>
      <c r="LE3" s="10" t="s">
        <v>67</v>
      </c>
      <c r="LF3" s="10" t="s">
        <v>70</v>
      </c>
      <c r="LG3" s="10" t="s">
        <v>67</v>
      </c>
      <c r="LH3" s="10" t="s">
        <v>70</v>
      </c>
      <c r="LI3" s="10" t="s">
        <v>67</v>
      </c>
      <c r="LJ3" s="10" t="s">
        <v>70</v>
      </c>
      <c r="LK3" s="10" t="s">
        <v>67</v>
      </c>
      <c r="LL3" s="10" t="s">
        <v>70</v>
      </c>
      <c r="LM3" s="10" t="s">
        <v>67</v>
      </c>
      <c r="LN3" s="10" t="s">
        <v>70</v>
      </c>
      <c r="LO3" s="10" t="s">
        <v>67</v>
      </c>
      <c r="LP3" s="10" t="s">
        <v>70</v>
      </c>
      <c r="LQ3" s="10" t="s">
        <v>67</v>
      </c>
      <c r="LR3" s="10" t="s">
        <v>70</v>
      </c>
      <c r="LS3" s="10" t="s">
        <v>67</v>
      </c>
      <c r="LT3" s="10" t="s">
        <v>70</v>
      </c>
      <c r="LU3" s="10" t="s">
        <v>67</v>
      </c>
      <c r="LV3" s="10" t="s">
        <v>70</v>
      </c>
      <c r="LW3" s="10" t="s">
        <v>67</v>
      </c>
      <c r="LX3" s="10" t="s">
        <v>70</v>
      </c>
      <c r="LY3" s="10" t="s">
        <v>67</v>
      </c>
      <c r="LZ3" s="10" t="s">
        <v>70</v>
      </c>
      <c r="MA3" s="10" t="s">
        <v>67</v>
      </c>
      <c r="MB3" s="10" t="s">
        <v>70</v>
      </c>
      <c r="MC3" s="10" t="s">
        <v>67</v>
      </c>
      <c r="MD3" s="10" t="s">
        <v>70</v>
      </c>
      <c r="ME3" s="10" t="s">
        <v>67</v>
      </c>
      <c r="MF3" s="10" t="s">
        <v>70</v>
      </c>
      <c r="MG3" s="10" t="s">
        <v>67</v>
      </c>
      <c r="MH3" s="10" t="s">
        <v>70</v>
      </c>
      <c r="MI3" s="10" t="s">
        <v>67</v>
      </c>
      <c r="MJ3" s="10" t="s">
        <v>70</v>
      </c>
      <c r="MK3" s="10" t="s">
        <v>67</v>
      </c>
      <c r="ML3" s="10" t="s">
        <v>70</v>
      </c>
      <c r="MM3" s="10" t="s">
        <v>67</v>
      </c>
      <c r="MN3" s="10" t="s">
        <v>70</v>
      </c>
      <c r="MO3" s="10" t="s">
        <v>67</v>
      </c>
      <c r="MP3" s="10" t="s">
        <v>70</v>
      </c>
      <c r="MQ3" s="10" t="s">
        <v>67</v>
      </c>
      <c r="MR3" s="10" t="s">
        <v>70</v>
      </c>
      <c r="MS3" s="10" t="s">
        <v>67</v>
      </c>
      <c r="MT3" s="10" t="s">
        <v>70</v>
      </c>
      <c r="MU3" s="10" t="s">
        <v>67</v>
      </c>
      <c r="MV3" s="10" t="s">
        <v>70</v>
      </c>
      <c r="MW3" s="10" t="s">
        <v>67</v>
      </c>
      <c r="MX3" s="10" t="s">
        <v>70</v>
      </c>
      <c r="MY3" s="10" t="s">
        <v>67</v>
      </c>
      <c r="MZ3" s="10" t="s">
        <v>70</v>
      </c>
      <c r="NA3" s="10" t="s">
        <v>67</v>
      </c>
      <c r="NB3" s="10" t="s">
        <v>70</v>
      </c>
      <c r="NC3" s="10" t="s">
        <v>67</v>
      </c>
      <c r="ND3" s="10" t="s">
        <v>70</v>
      </c>
      <c r="NE3" s="10" t="s">
        <v>67</v>
      </c>
      <c r="NF3" s="10" t="s">
        <v>70</v>
      </c>
      <c r="NG3" s="10" t="s">
        <v>67</v>
      </c>
      <c r="NH3" s="10" t="s">
        <v>70</v>
      </c>
      <c r="NI3" s="10" t="s">
        <v>67</v>
      </c>
      <c r="NJ3" s="10" t="s">
        <v>70</v>
      </c>
      <c r="NK3" s="10" t="s">
        <v>67</v>
      </c>
      <c r="NL3" s="10" t="s">
        <v>70</v>
      </c>
      <c r="NM3" s="10" t="s">
        <v>67</v>
      </c>
      <c r="NN3" s="10" t="s">
        <v>70</v>
      </c>
      <c r="NO3" s="10" t="s">
        <v>67</v>
      </c>
      <c r="NP3" s="10" t="s">
        <v>70</v>
      </c>
      <c r="NQ3" s="10" t="s">
        <v>67</v>
      </c>
      <c r="NR3" s="10" t="s">
        <v>70</v>
      </c>
      <c r="NS3" s="10" t="s">
        <v>67</v>
      </c>
      <c r="NT3" s="10" t="s">
        <v>70</v>
      </c>
      <c r="NU3" s="10" t="s">
        <v>67</v>
      </c>
      <c r="NV3" s="10" t="s">
        <v>70</v>
      </c>
      <c r="NW3" s="10" t="s">
        <v>67</v>
      </c>
      <c r="NX3" s="10" t="s">
        <v>70</v>
      </c>
      <c r="NY3" s="10" t="s">
        <v>67</v>
      </c>
      <c r="NZ3" s="10" t="s">
        <v>70</v>
      </c>
      <c r="OA3" s="10" t="s">
        <v>67</v>
      </c>
      <c r="OB3" s="10" t="s">
        <v>70</v>
      </c>
      <c r="OC3" s="10" t="s">
        <v>67</v>
      </c>
      <c r="OD3" s="10" t="s">
        <v>70</v>
      </c>
      <c r="OE3" s="10" t="s">
        <v>67</v>
      </c>
      <c r="OF3" s="10" t="s">
        <v>70</v>
      </c>
      <c r="OG3" s="10" t="s">
        <v>67</v>
      </c>
      <c r="OH3" s="10" t="s">
        <v>70</v>
      </c>
      <c r="OI3" s="10" t="s">
        <v>67</v>
      </c>
      <c r="OJ3" s="10" t="s">
        <v>70</v>
      </c>
      <c r="OK3" s="10" t="s">
        <v>67</v>
      </c>
      <c r="OL3" s="10" t="s">
        <v>70</v>
      </c>
      <c r="OM3" s="10" t="s">
        <v>67</v>
      </c>
      <c r="ON3" s="10" t="s">
        <v>70</v>
      </c>
      <c r="OO3" s="10" t="s">
        <v>67</v>
      </c>
      <c r="OP3" s="10" t="s">
        <v>70</v>
      </c>
      <c r="OQ3" s="10" t="s">
        <v>67</v>
      </c>
      <c r="OR3" s="10" t="s">
        <v>70</v>
      </c>
      <c r="OS3" s="10" t="s">
        <v>67</v>
      </c>
      <c r="OT3" s="10" t="s">
        <v>70</v>
      </c>
      <c r="OU3" s="10" t="s">
        <v>67</v>
      </c>
      <c r="OV3" s="10" t="s">
        <v>70</v>
      </c>
      <c r="OW3" s="10" t="s">
        <v>67</v>
      </c>
      <c r="OX3" s="10" t="s">
        <v>70</v>
      </c>
      <c r="OY3" s="10" t="s">
        <v>67</v>
      </c>
      <c r="OZ3" s="10" t="s">
        <v>70</v>
      </c>
      <c r="PA3" s="10" t="s">
        <v>67</v>
      </c>
      <c r="PB3" s="10" t="s">
        <v>70</v>
      </c>
      <c r="PC3" s="10" t="s">
        <v>67</v>
      </c>
      <c r="PD3" s="10" t="s">
        <v>70</v>
      </c>
      <c r="PE3" s="10" t="s">
        <v>67</v>
      </c>
      <c r="PF3" s="10" t="s">
        <v>70</v>
      </c>
      <c r="PG3" s="10" t="s">
        <v>67</v>
      </c>
      <c r="PH3" s="10" t="s">
        <v>70</v>
      </c>
      <c r="PI3" s="10" t="s">
        <v>67</v>
      </c>
      <c r="PJ3" s="10" t="s">
        <v>70</v>
      </c>
      <c r="PK3" s="10" t="s">
        <v>67</v>
      </c>
      <c r="PL3" s="10" t="s">
        <v>70</v>
      </c>
      <c r="PM3" s="10" t="s">
        <v>67</v>
      </c>
      <c r="PN3" s="10" t="s">
        <v>70</v>
      </c>
      <c r="PO3" s="10" t="s">
        <v>67</v>
      </c>
      <c r="PP3" s="10" t="s">
        <v>70</v>
      </c>
      <c r="PQ3" s="10" t="s">
        <v>67</v>
      </c>
      <c r="PR3" s="10" t="s">
        <v>70</v>
      </c>
      <c r="PS3" s="10" t="s">
        <v>67</v>
      </c>
      <c r="PT3" s="10" t="s">
        <v>70</v>
      </c>
      <c r="PU3" s="10" t="s">
        <v>67</v>
      </c>
      <c r="PV3" s="10" t="s">
        <v>70</v>
      </c>
      <c r="PW3" s="10" t="s">
        <v>67</v>
      </c>
      <c r="PX3" s="10" t="s">
        <v>70</v>
      </c>
      <c r="PY3" s="10" t="s">
        <v>67</v>
      </c>
      <c r="PZ3" s="10" t="s">
        <v>70</v>
      </c>
      <c r="QA3" s="10" t="s">
        <v>67</v>
      </c>
      <c r="QB3" s="10" t="s">
        <v>70</v>
      </c>
      <c r="QC3" s="10" t="s">
        <v>67</v>
      </c>
      <c r="QD3" s="10" t="s">
        <v>70</v>
      </c>
      <c r="QE3" s="10" t="s">
        <v>67</v>
      </c>
      <c r="QF3" s="10" t="s">
        <v>70</v>
      </c>
      <c r="QG3" s="10" t="s">
        <v>67</v>
      </c>
      <c r="QH3" s="10" t="s">
        <v>70</v>
      </c>
      <c r="QI3" s="10" t="s">
        <v>67</v>
      </c>
      <c r="QJ3" s="10" t="s">
        <v>70</v>
      </c>
      <c r="QK3" s="10" t="s">
        <v>67</v>
      </c>
      <c r="QL3" s="10" t="s">
        <v>70</v>
      </c>
      <c r="QM3" s="10" t="s">
        <v>67</v>
      </c>
      <c r="QN3" s="10" t="s">
        <v>70</v>
      </c>
      <c r="QO3" s="10" t="s">
        <v>67</v>
      </c>
      <c r="QP3" s="10" t="s">
        <v>70</v>
      </c>
      <c r="QQ3" s="10" t="s">
        <v>67</v>
      </c>
      <c r="QR3" s="10" t="s">
        <v>70</v>
      </c>
      <c r="QS3" s="10" t="s">
        <v>67</v>
      </c>
      <c r="QT3" s="10" t="s">
        <v>70</v>
      </c>
      <c r="QU3" s="10" t="s">
        <v>67</v>
      </c>
      <c r="QV3" s="10" t="s">
        <v>70</v>
      </c>
      <c r="QW3" s="10" t="s">
        <v>67</v>
      </c>
      <c r="QX3" s="10" t="s">
        <v>70</v>
      </c>
      <c r="QY3" s="10" t="s">
        <v>67</v>
      </c>
      <c r="QZ3" s="10" t="s">
        <v>70</v>
      </c>
      <c r="RA3" s="10" t="s">
        <v>67</v>
      </c>
      <c r="RB3" s="10" t="s">
        <v>70</v>
      </c>
      <c r="RC3" s="10" t="s">
        <v>67</v>
      </c>
      <c r="RD3" s="10" t="s">
        <v>70</v>
      </c>
      <c r="RE3" s="10" t="s">
        <v>67</v>
      </c>
      <c r="RF3" s="10" t="s">
        <v>70</v>
      </c>
      <c r="RG3" s="10" t="s">
        <v>67</v>
      </c>
      <c r="RH3" s="10" t="s">
        <v>70</v>
      </c>
      <c r="RI3" s="10" t="s">
        <v>67</v>
      </c>
      <c r="RJ3" s="10" t="s">
        <v>70</v>
      </c>
      <c r="RK3" s="10" t="s">
        <v>67</v>
      </c>
      <c r="RL3" s="10" t="s">
        <v>70</v>
      </c>
      <c r="RM3" s="10" t="s">
        <v>67</v>
      </c>
      <c r="RN3" s="10" t="s">
        <v>70</v>
      </c>
      <c r="RO3" s="10" t="s">
        <v>67</v>
      </c>
      <c r="RP3" s="10" t="s">
        <v>70</v>
      </c>
      <c r="RQ3" s="10" t="s">
        <v>67</v>
      </c>
      <c r="RR3" s="10" t="s">
        <v>70</v>
      </c>
      <c r="RS3" s="10" t="s">
        <v>67</v>
      </c>
      <c r="RT3" s="10" t="s">
        <v>70</v>
      </c>
      <c r="RU3" s="10" t="s">
        <v>67</v>
      </c>
      <c r="RV3" s="10" t="s">
        <v>70</v>
      </c>
      <c r="RW3" s="10" t="s">
        <v>67</v>
      </c>
      <c r="RX3" s="10" t="s">
        <v>70</v>
      </c>
      <c r="RY3" s="10" t="s">
        <v>67</v>
      </c>
      <c r="RZ3" s="10" t="s">
        <v>70</v>
      </c>
      <c r="SA3" s="10" t="s">
        <v>67</v>
      </c>
      <c r="SB3" s="10" t="s">
        <v>70</v>
      </c>
      <c r="SC3" s="10" t="s">
        <v>67</v>
      </c>
      <c r="SD3" s="10" t="s">
        <v>70</v>
      </c>
      <c r="SE3" s="10" t="s">
        <v>67</v>
      </c>
      <c r="SF3" s="10" t="s">
        <v>70</v>
      </c>
      <c r="SG3" s="10" t="s">
        <v>67</v>
      </c>
      <c r="SH3" s="10" t="s">
        <v>70</v>
      </c>
      <c r="SI3" s="10" t="s">
        <v>67</v>
      </c>
      <c r="SJ3" s="10" t="s">
        <v>70</v>
      </c>
      <c r="SK3" s="10" t="s">
        <v>67</v>
      </c>
      <c r="SL3" s="10" t="s">
        <v>70</v>
      </c>
      <c r="SM3" s="10" t="s">
        <v>67</v>
      </c>
      <c r="SN3" s="10" t="s">
        <v>70</v>
      </c>
      <c r="SO3" s="10" t="s">
        <v>67</v>
      </c>
      <c r="SP3" s="10" t="s">
        <v>70</v>
      </c>
      <c r="SQ3" s="10" t="s">
        <v>67</v>
      </c>
      <c r="SR3" s="10" t="s">
        <v>70</v>
      </c>
      <c r="SS3" s="10" t="s">
        <v>67</v>
      </c>
      <c r="ST3" s="10" t="s">
        <v>70</v>
      </c>
      <c r="SU3" s="10" t="s">
        <v>67</v>
      </c>
      <c r="SV3" s="10" t="s">
        <v>70</v>
      </c>
      <c r="SW3" s="10" t="s">
        <v>67</v>
      </c>
      <c r="SX3" s="10" t="s">
        <v>70</v>
      </c>
      <c r="SY3" s="10" t="s">
        <v>67</v>
      </c>
      <c r="SZ3" s="10" t="s">
        <v>70</v>
      </c>
      <c r="TA3" s="10" t="s">
        <v>67</v>
      </c>
      <c r="TB3" s="10" t="s">
        <v>70</v>
      </c>
      <c r="TC3" s="10" t="s">
        <v>67</v>
      </c>
      <c r="TD3" s="10" t="s">
        <v>70</v>
      </c>
      <c r="TE3" s="10" t="s">
        <v>67</v>
      </c>
      <c r="TF3" s="10" t="s">
        <v>70</v>
      </c>
      <c r="TG3" s="10" t="s">
        <v>67</v>
      </c>
      <c r="TH3" s="10" t="s">
        <v>70</v>
      </c>
      <c r="TI3" s="10" t="s">
        <v>67</v>
      </c>
      <c r="TJ3" s="10" t="s">
        <v>70</v>
      </c>
      <c r="TK3" s="10" t="s">
        <v>67</v>
      </c>
      <c r="TL3" s="10" t="s">
        <v>70</v>
      </c>
      <c r="TM3" s="10" t="s">
        <v>67</v>
      </c>
      <c r="TN3" s="10" t="s">
        <v>70</v>
      </c>
      <c r="TO3" s="10" t="s">
        <v>67</v>
      </c>
      <c r="TP3" s="10" t="s">
        <v>70</v>
      </c>
      <c r="TQ3" s="10" t="s">
        <v>67</v>
      </c>
      <c r="TR3" s="10" t="s">
        <v>70</v>
      </c>
      <c r="TS3" s="10" t="s">
        <v>67</v>
      </c>
      <c r="TT3" s="10" t="s">
        <v>70</v>
      </c>
      <c r="TU3" s="10" t="s">
        <v>67</v>
      </c>
      <c r="TV3" s="10" t="s">
        <v>70</v>
      </c>
      <c r="TW3" s="10" t="s">
        <v>67</v>
      </c>
      <c r="TX3" s="10" t="s">
        <v>70</v>
      </c>
      <c r="TY3" s="10" t="s">
        <v>67</v>
      </c>
      <c r="TZ3" s="10" t="s">
        <v>70</v>
      </c>
      <c r="UA3" s="10" t="s">
        <v>67</v>
      </c>
      <c r="UB3" s="10" t="s">
        <v>70</v>
      </c>
      <c r="UC3" s="10" t="s">
        <v>67</v>
      </c>
      <c r="UD3" s="10" t="s">
        <v>70</v>
      </c>
      <c r="UE3" s="10" t="s">
        <v>67</v>
      </c>
      <c r="UF3" s="10" t="s">
        <v>70</v>
      </c>
      <c r="UG3" s="10" t="s">
        <v>67</v>
      </c>
      <c r="UH3" s="10" t="s">
        <v>70</v>
      </c>
      <c r="UI3" s="10" t="s">
        <v>67</v>
      </c>
      <c r="UJ3" s="10" t="s">
        <v>70</v>
      </c>
      <c r="UK3" s="10" t="s">
        <v>67</v>
      </c>
      <c r="UL3" s="10" t="s">
        <v>70</v>
      </c>
      <c r="UM3" s="10" t="s">
        <v>67</v>
      </c>
      <c r="UN3" s="10" t="s">
        <v>70</v>
      </c>
      <c r="UO3" s="10" t="s">
        <v>67</v>
      </c>
      <c r="UP3" s="10" t="s">
        <v>70</v>
      </c>
      <c r="UQ3" s="10" t="s">
        <v>67</v>
      </c>
      <c r="UR3" s="10" t="s">
        <v>70</v>
      </c>
      <c r="US3" s="10" t="s">
        <v>67</v>
      </c>
      <c r="UT3" s="10" t="s">
        <v>70</v>
      </c>
      <c r="UU3" s="10" t="s">
        <v>67</v>
      </c>
      <c r="UV3" s="10" t="s">
        <v>70</v>
      </c>
      <c r="UW3" s="10" t="s">
        <v>67</v>
      </c>
      <c r="UX3" s="10" t="s">
        <v>70</v>
      </c>
      <c r="UY3" s="10" t="s">
        <v>67</v>
      </c>
      <c r="UZ3" s="10" t="s">
        <v>70</v>
      </c>
      <c r="VA3" s="10" t="s">
        <v>67</v>
      </c>
      <c r="VB3" s="10" t="s">
        <v>70</v>
      </c>
      <c r="VC3" s="10" t="s">
        <v>67</v>
      </c>
      <c r="VD3" s="10" t="s">
        <v>70</v>
      </c>
      <c r="VE3" s="10" t="s">
        <v>67</v>
      </c>
      <c r="VF3" s="10" t="s">
        <v>70</v>
      </c>
      <c r="VG3" s="10" t="s">
        <v>67</v>
      </c>
      <c r="VH3" s="10" t="s">
        <v>70</v>
      </c>
      <c r="VI3" s="10" t="s">
        <v>67</v>
      </c>
      <c r="VJ3" s="10" t="s">
        <v>70</v>
      </c>
      <c r="VK3" s="10" t="s">
        <v>67</v>
      </c>
      <c r="VL3" s="10" t="s">
        <v>70</v>
      </c>
      <c r="VM3" s="10" t="s">
        <v>67</v>
      </c>
      <c r="VN3" s="10" t="s">
        <v>70</v>
      </c>
      <c r="VO3" s="10" t="s">
        <v>67</v>
      </c>
      <c r="VP3" s="10" t="s">
        <v>70</v>
      </c>
      <c r="VQ3" s="10" t="s">
        <v>67</v>
      </c>
      <c r="VR3" s="10" t="s">
        <v>70</v>
      </c>
      <c r="VS3" s="10" t="s">
        <v>67</v>
      </c>
      <c r="VT3" s="10" t="s">
        <v>70</v>
      </c>
      <c r="VU3" s="10" t="s">
        <v>67</v>
      </c>
      <c r="VV3" s="10" t="s">
        <v>70</v>
      </c>
      <c r="VW3" s="10" t="s">
        <v>67</v>
      </c>
      <c r="VX3" s="10" t="s">
        <v>70</v>
      </c>
      <c r="VY3" s="10" t="s">
        <v>67</v>
      </c>
      <c r="VZ3" s="10" t="s">
        <v>70</v>
      </c>
      <c r="WA3" s="10" t="s">
        <v>67</v>
      </c>
      <c r="WB3" s="10" t="s">
        <v>70</v>
      </c>
      <c r="WC3" s="10" t="s">
        <v>67</v>
      </c>
      <c r="WD3" s="10" t="s">
        <v>70</v>
      </c>
      <c r="WE3" s="10" t="s">
        <v>67</v>
      </c>
      <c r="WF3" s="10" t="s">
        <v>70</v>
      </c>
      <c r="WG3" s="10" t="s">
        <v>67</v>
      </c>
      <c r="WH3" s="10" t="s">
        <v>70</v>
      </c>
      <c r="WI3" s="10" t="s">
        <v>67</v>
      </c>
      <c r="WJ3" s="10" t="s">
        <v>70</v>
      </c>
      <c r="WK3" s="10" t="s">
        <v>67</v>
      </c>
      <c r="WL3" s="10" t="s">
        <v>70</v>
      </c>
      <c r="WM3" s="10" t="s">
        <v>67</v>
      </c>
      <c r="WN3" s="10" t="s">
        <v>70</v>
      </c>
      <c r="WO3" s="10" t="s">
        <v>67</v>
      </c>
      <c r="WP3" s="10" t="s">
        <v>70</v>
      </c>
      <c r="WQ3" s="10" t="s">
        <v>67</v>
      </c>
      <c r="WR3" s="10" t="s">
        <v>70</v>
      </c>
      <c r="WS3" s="10" t="s">
        <v>67</v>
      </c>
      <c r="WT3" s="10" t="s">
        <v>70</v>
      </c>
      <c r="WU3" s="10" t="s">
        <v>67</v>
      </c>
      <c r="WV3" s="10" t="s">
        <v>70</v>
      </c>
      <c r="WW3" s="10" t="s">
        <v>67</v>
      </c>
      <c r="WX3" s="10" t="s">
        <v>70</v>
      </c>
      <c r="WY3" s="10" t="s">
        <v>67</v>
      </c>
      <c r="WZ3" s="10" t="s">
        <v>70</v>
      </c>
      <c r="XA3" s="10" t="s">
        <v>67</v>
      </c>
      <c r="XB3" s="10" t="s">
        <v>70</v>
      </c>
      <c r="XC3" s="10" t="s">
        <v>67</v>
      </c>
      <c r="XD3" s="10" t="s">
        <v>70</v>
      </c>
      <c r="XE3" s="10" t="s">
        <v>67</v>
      </c>
      <c r="XF3" s="10" t="s">
        <v>70</v>
      </c>
      <c r="XG3" s="10" t="s">
        <v>67</v>
      </c>
      <c r="XH3" s="10" t="s">
        <v>70</v>
      </c>
      <c r="XI3" s="10" t="s">
        <v>67</v>
      </c>
      <c r="XJ3" s="10" t="s">
        <v>70</v>
      </c>
      <c r="XK3" s="10" t="s">
        <v>67</v>
      </c>
      <c r="XL3" s="10" t="s">
        <v>70</v>
      </c>
      <c r="XM3" s="10" t="s">
        <v>67</v>
      </c>
      <c r="XN3" s="10" t="s">
        <v>70</v>
      </c>
      <c r="XO3" s="10" t="s">
        <v>67</v>
      </c>
      <c r="XP3" s="10" t="s">
        <v>70</v>
      </c>
      <c r="XQ3" s="10" t="s">
        <v>67</v>
      </c>
      <c r="XR3" s="10" t="s">
        <v>70</v>
      </c>
      <c r="XS3" s="10" t="s">
        <v>67</v>
      </c>
      <c r="XT3" s="10" t="s">
        <v>70</v>
      </c>
      <c r="XU3" s="10" t="s">
        <v>67</v>
      </c>
      <c r="XV3" s="10" t="s">
        <v>70</v>
      </c>
      <c r="XW3" s="10" t="s">
        <v>67</v>
      </c>
      <c r="XX3" s="10" t="s">
        <v>70</v>
      </c>
      <c r="XY3" s="10" t="s">
        <v>67</v>
      </c>
      <c r="XZ3" s="10" t="s">
        <v>70</v>
      </c>
      <c r="YA3" s="10" t="s">
        <v>67</v>
      </c>
      <c r="YB3" s="10" t="s">
        <v>70</v>
      </c>
      <c r="YC3" s="10" t="s">
        <v>67</v>
      </c>
      <c r="YD3" s="10" t="s">
        <v>70</v>
      </c>
      <c r="YE3" s="10" t="s">
        <v>67</v>
      </c>
      <c r="YF3" s="10" t="s">
        <v>70</v>
      </c>
      <c r="YG3" s="10" t="s">
        <v>67</v>
      </c>
      <c r="YH3" s="10" t="s">
        <v>70</v>
      </c>
      <c r="YI3" s="10" t="s">
        <v>67</v>
      </c>
      <c r="YJ3" s="10" t="s">
        <v>70</v>
      </c>
      <c r="YK3" s="10" t="s">
        <v>67</v>
      </c>
      <c r="YL3" s="10" t="s">
        <v>70</v>
      </c>
      <c r="YM3" s="10" t="s">
        <v>67</v>
      </c>
      <c r="YN3" s="10" t="s">
        <v>70</v>
      </c>
      <c r="YO3" s="10" t="s">
        <v>67</v>
      </c>
      <c r="YP3" s="10" t="s">
        <v>70</v>
      </c>
      <c r="YQ3" s="10" t="s">
        <v>67</v>
      </c>
      <c r="YR3" s="10" t="s">
        <v>70</v>
      </c>
      <c r="YS3" s="10" t="s">
        <v>67</v>
      </c>
      <c r="YT3" s="10" t="s">
        <v>70</v>
      </c>
      <c r="YU3" s="10" t="s">
        <v>67</v>
      </c>
      <c r="YV3" s="10" t="s">
        <v>70</v>
      </c>
      <c r="YW3" s="10" t="s">
        <v>67</v>
      </c>
      <c r="YX3" s="10" t="s">
        <v>70</v>
      </c>
      <c r="YY3" s="10" t="s">
        <v>67</v>
      </c>
      <c r="YZ3" s="10" t="s">
        <v>70</v>
      </c>
      <c r="ZA3" s="10" t="s">
        <v>67</v>
      </c>
      <c r="ZB3" s="10" t="s">
        <v>70</v>
      </c>
      <c r="ZC3" s="10" t="s">
        <v>67</v>
      </c>
      <c r="ZD3" s="10" t="s">
        <v>70</v>
      </c>
      <c r="ZE3" s="10" t="s">
        <v>67</v>
      </c>
      <c r="ZF3" s="10" t="s">
        <v>70</v>
      </c>
      <c r="ZG3" s="10" t="s">
        <v>67</v>
      </c>
      <c r="ZH3" s="10" t="s">
        <v>70</v>
      </c>
      <c r="ZI3" s="10" t="s">
        <v>67</v>
      </c>
      <c r="ZJ3" s="10" t="s">
        <v>70</v>
      </c>
      <c r="ZK3" s="10" t="s">
        <v>67</v>
      </c>
      <c r="ZL3" s="10" t="s">
        <v>70</v>
      </c>
      <c r="ZM3" s="10" t="s">
        <v>67</v>
      </c>
      <c r="ZN3" s="10" t="s">
        <v>70</v>
      </c>
      <c r="ZO3" s="10" t="s">
        <v>67</v>
      </c>
      <c r="ZP3" s="10" t="s">
        <v>70</v>
      </c>
      <c r="ZQ3" s="10" t="s">
        <v>67</v>
      </c>
      <c r="ZR3" s="10" t="s">
        <v>70</v>
      </c>
      <c r="ZS3" s="10" t="s">
        <v>67</v>
      </c>
      <c r="ZT3" s="10" t="s">
        <v>70</v>
      </c>
      <c r="ZU3" s="10" t="s">
        <v>67</v>
      </c>
      <c r="ZV3" s="10" t="s">
        <v>70</v>
      </c>
      <c r="ZW3" s="10" t="s">
        <v>67</v>
      </c>
      <c r="ZX3" s="10" t="s">
        <v>70</v>
      </c>
      <c r="ZY3" s="10" t="s">
        <v>67</v>
      </c>
      <c r="ZZ3" s="10" t="s">
        <v>70</v>
      </c>
      <c r="AAA3" s="10" t="s">
        <v>67</v>
      </c>
      <c r="AAB3" s="10" t="s">
        <v>70</v>
      </c>
      <c r="AAC3" s="10" t="s">
        <v>67</v>
      </c>
      <c r="AAD3" s="10" t="s">
        <v>70</v>
      </c>
      <c r="AAE3" s="10" t="s">
        <v>67</v>
      </c>
      <c r="AAF3" s="10" t="s">
        <v>70</v>
      </c>
      <c r="AAG3" s="10" t="s">
        <v>67</v>
      </c>
      <c r="AAH3" s="10" t="s">
        <v>70</v>
      </c>
      <c r="AAI3" s="10" t="s">
        <v>67</v>
      </c>
      <c r="AAJ3" s="10" t="s">
        <v>70</v>
      </c>
      <c r="AAK3" s="10" t="s">
        <v>67</v>
      </c>
      <c r="AAL3" s="10" t="s">
        <v>70</v>
      </c>
      <c r="AAM3" s="10" t="s">
        <v>67</v>
      </c>
      <c r="AAN3" s="10" t="s">
        <v>70</v>
      </c>
      <c r="AAO3" s="10" t="s">
        <v>67</v>
      </c>
      <c r="AAP3" s="10" t="s">
        <v>70</v>
      </c>
      <c r="AAQ3" s="10" t="s">
        <v>67</v>
      </c>
      <c r="AAR3" s="10" t="s">
        <v>70</v>
      </c>
      <c r="AAS3" s="10" t="s">
        <v>67</v>
      </c>
      <c r="AAT3" s="10" t="s">
        <v>70</v>
      </c>
      <c r="AAU3" s="10" t="s">
        <v>67</v>
      </c>
      <c r="AAV3" s="10" t="s">
        <v>70</v>
      </c>
      <c r="AAW3" s="10" t="s">
        <v>67</v>
      </c>
      <c r="AAX3" s="10" t="s">
        <v>70</v>
      </c>
      <c r="AAY3" s="10" t="s">
        <v>67</v>
      </c>
      <c r="AAZ3" s="10" t="s">
        <v>70</v>
      </c>
      <c r="ABA3" s="10" t="s">
        <v>67</v>
      </c>
      <c r="ABB3" s="10" t="s">
        <v>70</v>
      </c>
      <c r="ABC3" s="10" t="s">
        <v>67</v>
      </c>
      <c r="ABD3" s="10" t="s">
        <v>70</v>
      </c>
      <c r="ABE3" s="10" t="s">
        <v>67</v>
      </c>
      <c r="ABF3" s="10" t="s">
        <v>70</v>
      </c>
      <c r="ABG3" s="10" t="s">
        <v>67</v>
      </c>
      <c r="ABH3" s="10" t="s">
        <v>70</v>
      </c>
      <c r="ABI3" s="10" t="s">
        <v>67</v>
      </c>
      <c r="ABJ3" s="10" t="s">
        <v>70</v>
      </c>
      <c r="ABK3" s="10" t="s">
        <v>67</v>
      </c>
      <c r="ABL3" s="10" t="s">
        <v>70</v>
      </c>
      <c r="ABM3" s="10" t="s">
        <v>67</v>
      </c>
      <c r="ABN3" s="10" t="s">
        <v>70</v>
      </c>
      <c r="ABO3" s="10" t="s">
        <v>67</v>
      </c>
      <c r="ABP3" s="10" t="s">
        <v>70</v>
      </c>
      <c r="ABQ3" s="10" t="s">
        <v>67</v>
      </c>
      <c r="ABR3" s="10" t="s">
        <v>70</v>
      </c>
      <c r="ABS3" s="10" t="s">
        <v>67</v>
      </c>
      <c r="ABT3" s="10" t="s">
        <v>70</v>
      </c>
      <c r="ABU3" s="10" t="s">
        <v>67</v>
      </c>
      <c r="ABV3" s="10" t="s">
        <v>70</v>
      </c>
      <c r="ABW3" s="10" t="s">
        <v>67</v>
      </c>
      <c r="ABX3" s="10" t="s">
        <v>70</v>
      </c>
      <c r="ABY3" s="10" t="s">
        <v>67</v>
      </c>
      <c r="ABZ3" s="10" t="s">
        <v>70</v>
      </c>
      <c r="ACA3" s="10" t="s">
        <v>67</v>
      </c>
      <c r="ACB3" s="10" t="s">
        <v>70</v>
      </c>
      <c r="ACC3" s="10" t="s">
        <v>67</v>
      </c>
      <c r="ACD3" s="10" t="s">
        <v>70</v>
      </c>
      <c r="ACE3" s="10" t="s">
        <v>67</v>
      </c>
      <c r="ACF3" s="10" t="s">
        <v>70</v>
      </c>
      <c r="ACG3" s="10" t="s">
        <v>67</v>
      </c>
      <c r="ACH3" s="10" t="s">
        <v>70</v>
      </c>
      <c r="ACI3" s="10" t="s">
        <v>67</v>
      </c>
      <c r="ACJ3" s="10" t="s">
        <v>70</v>
      </c>
      <c r="ACK3" s="10" t="s">
        <v>67</v>
      </c>
      <c r="ACL3" s="10" t="s">
        <v>70</v>
      </c>
      <c r="ACM3" s="10" t="s">
        <v>67</v>
      </c>
      <c r="ACN3" s="10" t="s">
        <v>70</v>
      </c>
      <c r="ACO3" s="10" t="s">
        <v>67</v>
      </c>
      <c r="ACP3" s="10" t="s">
        <v>70</v>
      </c>
      <c r="ACQ3" s="10" t="s">
        <v>67</v>
      </c>
      <c r="ACR3" s="10" t="s">
        <v>70</v>
      </c>
      <c r="ACS3" s="10" t="s">
        <v>67</v>
      </c>
      <c r="ACT3" s="10" t="s">
        <v>70</v>
      </c>
      <c r="ACU3" s="10" t="s">
        <v>67</v>
      </c>
      <c r="ACV3" s="10" t="s">
        <v>70</v>
      </c>
      <c r="ACW3" s="10" t="s">
        <v>67</v>
      </c>
      <c r="ACX3" s="10" t="s">
        <v>70</v>
      </c>
      <c r="ACY3" s="10" t="s">
        <v>67</v>
      </c>
      <c r="ACZ3" s="10" t="s">
        <v>70</v>
      </c>
      <c r="ADA3" s="10" t="s">
        <v>67</v>
      </c>
      <c r="ADB3" s="10" t="s">
        <v>70</v>
      </c>
      <c r="ADC3" s="10" t="s">
        <v>67</v>
      </c>
      <c r="ADD3" s="10" t="s">
        <v>70</v>
      </c>
      <c r="ADE3" s="10" t="s">
        <v>67</v>
      </c>
      <c r="ADF3" s="10" t="s">
        <v>70</v>
      </c>
      <c r="ADG3" s="10" t="s">
        <v>67</v>
      </c>
      <c r="ADH3" s="10" t="s">
        <v>70</v>
      </c>
      <c r="ADI3" s="10" t="s">
        <v>67</v>
      </c>
      <c r="ADJ3" s="10" t="s">
        <v>70</v>
      </c>
      <c r="ADK3" s="10" t="s">
        <v>67</v>
      </c>
      <c r="ADL3" s="10" t="s">
        <v>70</v>
      </c>
      <c r="ADM3" s="10" t="s">
        <v>67</v>
      </c>
      <c r="ADN3" s="10" t="s">
        <v>70</v>
      </c>
      <c r="ADO3" s="10" t="s">
        <v>67</v>
      </c>
      <c r="ADP3" s="10" t="s">
        <v>70</v>
      </c>
      <c r="ADQ3" s="10" t="s">
        <v>67</v>
      </c>
      <c r="ADR3" s="10" t="s">
        <v>70</v>
      </c>
      <c r="ADS3" s="10" t="s">
        <v>67</v>
      </c>
      <c r="ADT3" s="10" t="s">
        <v>70</v>
      </c>
      <c r="ADU3" s="10" t="s">
        <v>67</v>
      </c>
      <c r="ADV3" s="10" t="s">
        <v>70</v>
      </c>
      <c r="ADW3" s="10" t="s">
        <v>67</v>
      </c>
      <c r="ADX3" s="10" t="s">
        <v>70</v>
      </c>
      <c r="ADY3" s="10" t="s">
        <v>67</v>
      </c>
      <c r="ADZ3" s="10" t="s">
        <v>70</v>
      </c>
      <c r="AEA3" s="10" t="s">
        <v>67</v>
      </c>
      <c r="AEB3" s="10" t="s">
        <v>70</v>
      </c>
      <c r="AEC3" s="10" t="s">
        <v>67</v>
      </c>
      <c r="AED3" s="10" t="s">
        <v>70</v>
      </c>
      <c r="AEE3" s="10" t="s">
        <v>67</v>
      </c>
      <c r="AEF3" s="10" t="s">
        <v>70</v>
      </c>
      <c r="AEG3" s="10" t="s">
        <v>67</v>
      </c>
      <c r="AEH3" s="10" t="s">
        <v>70</v>
      </c>
      <c r="AEI3" s="10" t="s">
        <v>67</v>
      </c>
      <c r="AEJ3" s="10" t="s">
        <v>70</v>
      </c>
      <c r="AEK3" s="10" t="s">
        <v>67</v>
      </c>
      <c r="AEL3" s="10" t="s">
        <v>70</v>
      </c>
      <c r="AEM3" s="10" t="s">
        <v>67</v>
      </c>
      <c r="AEN3" s="10" t="s">
        <v>70</v>
      </c>
      <c r="AEO3" s="10" t="s">
        <v>67</v>
      </c>
      <c r="AEP3" s="10" t="s">
        <v>70</v>
      </c>
      <c r="AEQ3" s="10" t="s">
        <v>67</v>
      </c>
      <c r="AER3" s="10" t="s">
        <v>70</v>
      </c>
      <c r="AES3" s="10" t="s">
        <v>67</v>
      </c>
      <c r="AET3" s="10" t="s">
        <v>70</v>
      </c>
      <c r="AEU3" s="10" t="s">
        <v>67</v>
      </c>
      <c r="AEV3" s="10" t="s">
        <v>70</v>
      </c>
      <c r="AEW3" s="10" t="s">
        <v>67</v>
      </c>
      <c r="AEX3" s="10" t="s">
        <v>70</v>
      </c>
      <c r="AEY3" s="10" t="s">
        <v>67</v>
      </c>
      <c r="AEZ3" s="10" t="s">
        <v>70</v>
      </c>
      <c r="AFA3" s="10" t="s">
        <v>67</v>
      </c>
      <c r="AFB3" s="10" t="s">
        <v>70</v>
      </c>
      <c r="AFC3" s="10" t="s">
        <v>67</v>
      </c>
      <c r="AFD3" s="10" t="s">
        <v>70</v>
      </c>
      <c r="AFE3" s="10" t="s">
        <v>67</v>
      </c>
      <c r="AFF3" s="10" t="s">
        <v>70</v>
      </c>
      <c r="AFG3" s="10" t="s">
        <v>67</v>
      </c>
      <c r="AFH3" s="10" t="s">
        <v>70</v>
      </c>
      <c r="AFI3" s="10" t="s">
        <v>67</v>
      </c>
      <c r="AFJ3" s="10" t="s">
        <v>70</v>
      </c>
      <c r="AFK3" s="10" t="s">
        <v>67</v>
      </c>
      <c r="AFL3" s="10" t="s">
        <v>70</v>
      </c>
      <c r="AFM3" s="10" t="s">
        <v>67</v>
      </c>
      <c r="AFN3" s="10" t="s">
        <v>70</v>
      </c>
      <c r="AFO3" s="10" t="s">
        <v>67</v>
      </c>
      <c r="AFP3" s="10" t="s">
        <v>70</v>
      </c>
      <c r="AFQ3" s="10" t="s">
        <v>67</v>
      </c>
      <c r="AFR3" s="10" t="s">
        <v>70</v>
      </c>
      <c r="AFS3" s="10" t="s">
        <v>67</v>
      </c>
      <c r="AFT3" s="10" t="s">
        <v>70</v>
      </c>
      <c r="AFU3" s="10" t="s">
        <v>67</v>
      </c>
      <c r="AFV3" s="10" t="s">
        <v>70</v>
      </c>
      <c r="AFW3" s="10" t="s">
        <v>67</v>
      </c>
      <c r="AFX3" s="10" t="s">
        <v>70</v>
      </c>
      <c r="AFY3" s="10" t="s">
        <v>67</v>
      </c>
      <c r="AFZ3" s="10" t="s">
        <v>70</v>
      </c>
      <c r="AGA3" s="10" t="s">
        <v>67</v>
      </c>
      <c r="AGB3" s="10" t="s">
        <v>70</v>
      </c>
      <c r="AGC3" s="10" t="s">
        <v>67</v>
      </c>
      <c r="AGD3" s="10" t="s">
        <v>70</v>
      </c>
      <c r="AGE3" s="10" t="s">
        <v>67</v>
      </c>
      <c r="AGF3" s="10" t="s">
        <v>70</v>
      </c>
      <c r="AGG3" s="10" t="s">
        <v>67</v>
      </c>
      <c r="AGH3" s="10" t="s">
        <v>70</v>
      </c>
      <c r="AGI3" s="10" t="s">
        <v>67</v>
      </c>
      <c r="AGJ3" s="10" t="s">
        <v>70</v>
      </c>
      <c r="AGK3" s="10" t="s">
        <v>67</v>
      </c>
      <c r="AGL3" s="10" t="s">
        <v>70</v>
      </c>
      <c r="AGM3" s="10" t="s">
        <v>67</v>
      </c>
      <c r="AGN3" s="10" t="s">
        <v>70</v>
      </c>
      <c r="AGO3" s="10" t="s">
        <v>67</v>
      </c>
      <c r="AGP3" s="10" t="s">
        <v>70</v>
      </c>
      <c r="AGQ3" s="10" t="s">
        <v>67</v>
      </c>
      <c r="AGR3" s="10" t="s">
        <v>70</v>
      </c>
      <c r="AGS3" s="10" t="s">
        <v>67</v>
      </c>
      <c r="AGT3" s="10" t="s">
        <v>70</v>
      </c>
      <c r="AGU3" s="10" t="s">
        <v>67</v>
      </c>
      <c r="AGV3" s="10" t="s">
        <v>70</v>
      </c>
      <c r="AGW3" s="10" t="s">
        <v>67</v>
      </c>
      <c r="AGX3" s="10" t="s">
        <v>70</v>
      </c>
      <c r="AGY3" s="10" t="s">
        <v>67</v>
      </c>
      <c r="AGZ3" s="10" t="s">
        <v>70</v>
      </c>
      <c r="AHA3" s="10" t="s">
        <v>67</v>
      </c>
      <c r="AHB3" s="10" t="s">
        <v>70</v>
      </c>
      <c r="AHC3" s="10" t="s">
        <v>67</v>
      </c>
      <c r="AHD3" s="10" t="s">
        <v>70</v>
      </c>
      <c r="AHE3" s="10" t="s">
        <v>67</v>
      </c>
      <c r="AHF3" s="10" t="s">
        <v>70</v>
      </c>
      <c r="AHG3" s="10" t="s">
        <v>67</v>
      </c>
      <c r="AHH3" s="10" t="s">
        <v>70</v>
      </c>
      <c r="AHI3" s="10" t="s">
        <v>67</v>
      </c>
      <c r="AHJ3" s="10" t="s">
        <v>70</v>
      </c>
      <c r="AHK3" s="10" t="s">
        <v>67</v>
      </c>
      <c r="AHL3" s="10" t="s">
        <v>70</v>
      </c>
      <c r="AHM3" s="10" t="s">
        <v>67</v>
      </c>
      <c r="AHN3" s="10" t="s">
        <v>70</v>
      </c>
      <c r="AHO3" s="10" t="s">
        <v>67</v>
      </c>
      <c r="AHP3" s="10" t="s">
        <v>70</v>
      </c>
      <c r="AHQ3" s="10" t="s">
        <v>67</v>
      </c>
      <c r="AHR3" s="10" t="s">
        <v>70</v>
      </c>
      <c r="AHS3" s="10" t="s">
        <v>67</v>
      </c>
      <c r="AHT3" s="10" t="s">
        <v>70</v>
      </c>
      <c r="AHU3" s="10" t="s">
        <v>67</v>
      </c>
      <c r="AHV3" s="10" t="s">
        <v>70</v>
      </c>
      <c r="AHW3" s="10" t="s">
        <v>67</v>
      </c>
      <c r="AHX3" s="10" t="s">
        <v>70</v>
      </c>
      <c r="AHY3" s="10" t="s">
        <v>67</v>
      </c>
      <c r="AHZ3" s="10" t="s">
        <v>70</v>
      </c>
      <c r="AIA3" s="10" t="s">
        <v>67</v>
      </c>
      <c r="AIB3" s="10" t="s">
        <v>70</v>
      </c>
      <c r="AIC3" s="10" t="s">
        <v>67</v>
      </c>
      <c r="AID3" s="10" t="s">
        <v>70</v>
      </c>
      <c r="AIE3" s="10" t="s">
        <v>67</v>
      </c>
      <c r="AIF3" s="10" t="s">
        <v>70</v>
      </c>
      <c r="AIG3" s="10" t="s">
        <v>67</v>
      </c>
      <c r="AIH3" s="10" t="s">
        <v>70</v>
      </c>
      <c r="AII3" s="10" t="s">
        <v>67</v>
      </c>
      <c r="AIJ3" s="10" t="s">
        <v>70</v>
      </c>
      <c r="AIK3" s="10" t="s">
        <v>67</v>
      </c>
      <c r="AIL3" s="10" t="s">
        <v>70</v>
      </c>
      <c r="AIM3" s="10" t="s">
        <v>67</v>
      </c>
      <c r="AIN3" s="10" t="s">
        <v>70</v>
      </c>
      <c r="AIO3" s="10" t="s">
        <v>67</v>
      </c>
      <c r="AIP3" s="10" t="s">
        <v>70</v>
      </c>
      <c r="AIQ3" s="10" t="s">
        <v>67</v>
      </c>
      <c r="AIR3" s="10" t="s">
        <v>70</v>
      </c>
      <c r="AIS3" s="10" t="s">
        <v>67</v>
      </c>
      <c r="AIT3" s="10" t="s">
        <v>70</v>
      </c>
      <c r="AIU3" s="10" t="s">
        <v>67</v>
      </c>
      <c r="AIV3" s="10" t="s">
        <v>70</v>
      </c>
      <c r="AIW3" s="10" t="s">
        <v>67</v>
      </c>
      <c r="AIX3" s="10" t="s">
        <v>70</v>
      </c>
      <c r="AIY3" s="10" t="s">
        <v>67</v>
      </c>
      <c r="AIZ3" s="10" t="s">
        <v>70</v>
      </c>
      <c r="AJA3" s="10" t="s">
        <v>67</v>
      </c>
      <c r="AJB3" s="10" t="s">
        <v>70</v>
      </c>
      <c r="AJC3" s="10" t="s">
        <v>67</v>
      </c>
      <c r="AJD3" s="10" t="s">
        <v>70</v>
      </c>
      <c r="AJE3" s="10" t="s">
        <v>67</v>
      </c>
      <c r="AJF3" s="10" t="s">
        <v>70</v>
      </c>
      <c r="AJG3" s="10" t="s">
        <v>67</v>
      </c>
      <c r="AJH3" s="10" t="s">
        <v>70</v>
      </c>
      <c r="AJI3" s="10" t="s">
        <v>67</v>
      </c>
      <c r="AJJ3" s="10" t="s">
        <v>70</v>
      </c>
      <c r="AJK3" s="10" t="s">
        <v>67</v>
      </c>
      <c r="AJL3" s="10" t="s">
        <v>70</v>
      </c>
      <c r="AJM3" s="10" t="s">
        <v>67</v>
      </c>
      <c r="AJN3" s="10" t="s">
        <v>70</v>
      </c>
      <c r="AJO3" s="10" t="s">
        <v>67</v>
      </c>
      <c r="AJP3" s="10" t="s">
        <v>70</v>
      </c>
      <c r="AJQ3" s="10" t="s">
        <v>67</v>
      </c>
      <c r="AJR3" s="10" t="s">
        <v>70</v>
      </c>
      <c r="AJS3" s="10" t="s">
        <v>67</v>
      </c>
      <c r="AJT3" s="10" t="s">
        <v>70</v>
      </c>
      <c r="AJU3" s="10" t="s">
        <v>67</v>
      </c>
      <c r="AJV3" s="10" t="s">
        <v>70</v>
      </c>
      <c r="AJW3" s="10" t="s">
        <v>67</v>
      </c>
      <c r="AJX3" s="10" t="s">
        <v>70</v>
      </c>
      <c r="AJY3" s="10" t="s">
        <v>67</v>
      </c>
      <c r="AJZ3" s="10" t="s">
        <v>70</v>
      </c>
      <c r="AKA3" s="10" t="s">
        <v>67</v>
      </c>
      <c r="AKB3" s="10" t="s">
        <v>70</v>
      </c>
      <c r="AKC3" s="10" t="s">
        <v>67</v>
      </c>
      <c r="AKD3" s="10" t="s">
        <v>70</v>
      </c>
      <c r="AKE3" s="10" t="s">
        <v>67</v>
      </c>
      <c r="AKF3" s="10" t="s">
        <v>70</v>
      </c>
      <c r="AKG3" s="10" t="s">
        <v>67</v>
      </c>
      <c r="AKH3" s="10" t="s">
        <v>70</v>
      </c>
      <c r="AKI3" s="10" t="s">
        <v>67</v>
      </c>
      <c r="AKJ3" s="10" t="s">
        <v>70</v>
      </c>
      <c r="AKK3" s="10" t="s">
        <v>67</v>
      </c>
      <c r="AKL3" s="10" t="s">
        <v>70</v>
      </c>
      <c r="AKM3" s="10" t="s">
        <v>67</v>
      </c>
      <c r="AKN3" s="10" t="s">
        <v>70</v>
      </c>
      <c r="AKO3" s="10" t="s">
        <v>67</v>
      </c>
      <c r="AKP3" s="10" t="s">
        <v>70</v>
      </c>
      <c r="AKQ3" s="10" t="s">
        <v>67</v>
      </c>
      <c r="AKR3" s="10" t="s">
        <v>70</v>
      </c>
      <c r="AKS3" s="10" t="s">
        <v>67</v>
      </c>
      <c r="AKT3" s="10" t="s">
        <v>70</v>
      </c>
      <c r="AKU3" s="10" t="s">
        <v>67</v>
      </c>
      <c r="AKV3" s="10" t="s">
        <v>70</v>
      </c>
      <c r="AKW3" s="10" t="s">
        <v>67</v>
      </c>
      <c r="AKX3" s="10" t="s">
        <v>70</v>
      </c>
      <c r="AKY3" s="10" t="s">
        <v>67</v>
      </c>
      <c r="AKZ3" s="10" t="s">
        <v>70</v>
      </c>
      <c r="ALA3" s="10" t="s">
        <v>67</v>
      </c>
      <c r="ALB3" s="10" t="s">
        <v>70</v>
      </c>
      <c r="ALC3" s="10" t="s">
        <v>67</v>
      </c>
      <c r="ALD3" s="10" t="s">
        <v>70</v>
      </c>
      <c r="ALE3" s="10" t="s">
        <v>67</v>
      </c>
      <c r="ALF3" s="10" t="s">
        <v>70</v>
      </c>
      <c r="ALG3" s="10" t="s">
        <v>67</v>
      </c>
      <c r="ALH3" s="10" t="s">
        <v>70</v>
      </c>
      <c r="ALI3" s="10" t="s">
        <v>67</v>
      </c>
      <c r="ALJ3" s="10" t="s">
        <v>70</v>
      </c>
      <c r="ALK3" s="10" t="s">
        <v>67</v>
      </c>
      <c r="ALL3" s="10" t="s">
        <v>70</v>
      </c>
      <c r="ALM3" s="10" t="s">
        <v>67</v>
      </c>
      <c r="ALN3" s="10" t="s">
        <v>70</v>
      </c>
      <c r="ALO3" s="10" t="s">
        <v>67</v>
      </c>
      <c r="ALP3" s="10" t="s">
        <v>70</v>
      </c>
      <c r="ALQ3" s="10" t="s">
        <v>67</v>
      </c>
      <c r="ALR3" s="10" t="s">
        <v>70</v>
      </c>
      <c r="ALS3" s="10" t="s">
        <v>67</v>
      </c>
      <c r="ALT3" s="10" t="s">
        <v>70</v>
      </c>
      <c r="ALU3" s="10" t="s">
        <v>67</v>
      </c>
      <c r="ALV3" s="10" t="s">
        <v>70</v>
      </c>
      <c r="ALW3" s="10" t="s">
        <v>67</v>
      </c>
      <c r="ALX3" s="10" t="s">
        <v>70</v>
      </c>
      <c r="ALY3" s="10" t="s">
        <v>67</v>
      </c>
      <c r="ALZ3" s="10" t="s">
        <v>70</v>
      </c>
      <c r="AMA3" s="10" t="s">
        <v>67</v>
      </c>
      <c r="AMB3" s="10" t="s">
        <v>70</v>
      </c>
      <c r="AMC3" s="10" t="s">
        <v>67</v>
      </c>
      <c r="AMD3" s="10" t="s">
        <v>70</v>
      </c>
      <c r="AME3" s="10" t="s">
        <v>67</v>
      </c>
      <c r="AMF3" s="10" t="s">
        <v>70</v>
      </c>
      <c r="AMG3" s="10" t="s">
        <v>67</v>
      </c>
      <c r="AMH3" s="10" t="s">
        <v>70</v>
      </c>
      <c r="AMI3" s="10" t="s">
        <v>67</v>
      </c>
      <c r="AMJ3" s="10" t="s">
        <v>70</v>
      </c>
      <c r="AMK3" s="10" t="s">
        <v>67</v>
      </c>
      <c r="AML3" s="10" t="s">
        <v>70</v>
      </c>
      <c r="AMM3" s="10" t="s">
        <v>67</v>
      </c>
      <c r="AMN3" s="10" t="s">
        <v>70</v>
      </c>
      <c r="AMO3" s="10" t="s">
        <v>67</v>
      </c>
      <c r="AMP3" s="10" t="s">
        <v>70</v>
      </c>
      <c r="AMQ3" s="10" t="s">
        <v>67</v>
      </c>
      <c r="AMR3" s="10" t="s">
        <v>70</v>
      </c>
      <c r="AMS3" s="10" t="s">
        <v>67</v>
      </c>
      <c r="AMT3" s="10" t="s">
        <v>70</v>
      </c>
      <c r="AMU3" s="10" t="s">
        <v>67</v>
      </c>
      <c r="AMV3" s="10" t="s">
        <v>70</v>
      </c>
      <c r="AMW3" s="10" t="s">
        <v>67</v>
      </c>
      <c r="AMX3" s="10" t="s">
        <v>70</v>
      </c>
      <c r="AMY3" s="10" t="s">
        <v>67</v>
      </c>
      <c r="AMZ3" s="10" t="s">
        <v>70</v>
      </c>
      <c r="ANA3" s="10" t="s">
        <v>67</v>
      </c>
      <c r="ANB3" s="10" t="s">
        <v>70</v>
      </c>
      <c r="ANC3" s="10" t="s">
        <v>67</v>
      </c>
      <c r="AND3" s="10" t="s">
        <v>70</v>
      </c>
      <c r="ANE3" s="10" t="s">
        <v>67</v>
      </c>
      <c r="ANF3" s="10" t="s">
        <v>70</v>
      </c>
      <c r="ANG3" s="10" t="s">
        <v>67</v>
      </c>
      <c r="ANH3" s="10" t="s">
        <v>70</v>
      </c>
      <c r="ANI3" s="10" t="s">
        <v>67</v>
      </c>
      <c r="ANJ3" s="10" t="s">
        <v>70</v>
      </c>
      <c r="ANK3" s="10" t="s">
        <v>67</v>
      </c>
      <c r="ANL3" s="10" t="s">
        <v>70</v>
      </c>
      <c r="ANM3" s="10" t="s">
        <v>67</v>
      </c>
      <c r="ANN3" s="10" t="s">
        <v>70</v>
      </c>
      <c r="ANO3" s="10" t="s">
        <v>67</v>
      </c>
      <c r="ANP3" s="10" t="s">
        <v>70</v>
      </c>
      <c r="ANQ3" s="10" t="s">
        <v>67</v>
      </c>
      <c r="ANR3" s="10" t="s">
        <v>70</v>
      </c>
      <c r="ANS3" s="10" t="s">
        <v>67</v>
      </c>
      <c r="ANT3" s="10" t="s">
        <v>70</v>
      </c>
      <c r="ANU3" s="10" t="s">
        <v>67</v>
      </c>
      <c r="ANV3" s="10" t="s">
        <v>70</v>
      </c>
      <c r="ANW3" s="10" t="s">
        <v>67</v>
      </c>
      <c r="ANX3" s="10" t="s">
        <v>70</v>
      </c>
      <c r="ANY3" s="10" t="s">
        <v>67</v>
      </c>
      <c r="ANZ3" s="10" t="s">
        <v>70</v>
      </c>
      <c r="AOA3" s="10" t="s">
        <v>67</v>
      </c>
      <c r="AOB3" s="10" t="s">
        <v>70</v>
      </c>
      <c r="AOC3" s="10" t="s">
        <v>67</v>
      </c>
      <c r="AOD3" s="10" t="s">
        <v>70</v>
      </c>
      <c r="AOE3" s="10" t="s">
        <v>67</v>
      </c>
      <c r="AOF3" s="10" t="s">
        <v>70</v>
      </c>
      <c r="AOG3" s="10" t="s">
        <v>67</v>
      </c>
      <c r="AOH3" s="10" t="s">
        <v>70</v>
      </c>
      <c r="AOI3" s="10" t="s">
        <v>67</v>
      </c>
      <c r="AOJ3" s="10" t="s">
        <v>70</v>
      </c>
      <c r="AOK3" s="10" t="s">
        <v>67</v>
      </c>
      <c r="AOL3" s="10" t="s">
        <v>70</v>
      </c>
      <c r="AOM3" s="10" t="s">
        <v>67</v>
      </c>
      <c r="AON3" s="10" t="s">
        <v>70</v>
      </c>
      <c r="AOO3" s="10" t="s">
        <v>67</v>
      </c>
      <c r="AOP3" s="10" t="s">
        <v>70</v>
      </c>
      <c r="AOQ3" s="10" t="s">
        <v>67</v>
      </c>
      <c r="AOR3" s="10" t="s">
        <v>70</v>
      </c>
      <c r="AOS3" s="10" t="s">
        <v>67</v>
      </c>
      <c r="AOT3" s="10" t="s">
        <v>70</v>
      </c>
      <c r="AOU3" s="10" t="s">
        <v>67</v>
      </c>
      <c r="AOV3" s="10" t="s">
        <v>70</v>
      </c>
      <c r="AOW3" s="10" t="s">
        <v>67</v>
      </c>
      <c r="AOX3" s="10" t="s">
        <v>70</v>
      </c>
      <c r="AOY3" s="10" t="s">
        <v>67</v>
      </c>
      <c r="AOZ3" s="10" t="s">
        <v>70</v>
      </c>
      <c r="APA3" s="10" t="s">
        <v>67</v>
      </c>
      <c r="APB3" s="10" t="s">
        <v>70</v>
      </c>
      <c r="APC3" s="10" t="s">
        <v>67</v>
      </c>
      <c r="APD3" s="10" t="s">
        <v>70</v>
      </c>
      <c r="APE3" s="10" t="s">
        <v>67</v>
      </c>
      <c r="APF3" s="10" t="s">
        <v>70</v>
      </c>
      <c r="APG3" s="10" t="s">
        <v>67</v>
      </c>
      <c r="APH3" s="10" t="s">
        <v>70</v>
      </c>
      <c r="API3" s="10" t="s">
        <v>67</v>
      </c>
      <c r="APJ3" s="10" t="s">
        <v>70</v>
      </c>
      <c r="APK3" s="10" t="s">
        <v>67</v>
      </c>
      <c r="APL3" s="10" t="s">
        <v>70</v>
      </c>
      <c r="APM3" s="10" t="s">
        <v>67</v>
      </c>
      <c r="APN3" s="10" t="s">
        <v>70</v>
      </c>
      <c r="APO3" s="10" t="s">
        <v>67</v>
      </c>
      <c r="APP3" s="10" t="s">
        <v>70</v>
      </c>
      <c r="APQ3" s="10" t="s">
        <v>67</v>
      </c>
      <c r="APR3" s="10" t="s">
        <v>70</v>
      </c>
      <c r="APS3" s="10" t="s">
        <v>67</v>
      </c>
      <c r="APT3" s="10" t="s">
        <v>70</v>
      </c>
      <c r="APU3" s="10" t="s">
        <v>67</v>
      </c>
      <c r="APV3" s="10" t="s">
        <v>70</v>
      </c>
      <c r="APW3" s="10" t="s">
        <v>67</v>
      </c>
      <c r="APX3" s="10" t="s">
        <v>70</v>
      </c>
      <c r="APY3" s="10" t="s">
        <v>67</v>
      </c>
      <c r="APZ3" s="10" t="s">
        <v>70</v>
      </c>
      <c r="AQA3" s="10" t="s">
        <v>67</v>
      </c>
      <c r="AQB3" s="10" t="s">
        <v>70</v>
      </c>
      <c r="AQC3" s="10" t="s">
        <v>67</v>
      </c>
      <c r="AQD3" s="10" t="s">
        <v>70</v>
      </c>
      <c r="AQE3" s="10" t="s">
        <v>67</v>
      </c>
      <c r="AQF3" s="10" t="s">
        <v>70</v>
      </c>
      <c r="AQG3" s="10" t="s">
        <v>67</v>
      </c>
      <c r="AQH3" s="10" t="s">
        <v>70</v>
      </c>
      <c r="AQI3" s="10" t="s">
        <v>67</v>
      </c>
      <c r="AQJ3" s="10" t="s">
        <v>70</v>
      </c>
      <c r="AQK3" s="10" t="s">
        <v>67</v>
      </c>
      <c r="AQL3" s="10" t="s">
        <v>70</v>
      </c>
      <c r="AQM3" s="10" t="s">
        <v>67</v>
      </c>
      <c r="AQN3" s="10" t="s">
        <v>70</v>
      </c>
      <c r="AQO3" s="10" t="s">
        <v>67</v>
      </c>
      <c r="AQP3" s="10" t="s">
        <v>70</v>
      </c>
      <c r="AQQ3" s="10" t="s">
        <v>67</v>
      </c>
      <c r="AQR3" s="10" t="s">
        <v>70</v>
      </c>
      <c r="AQS3" s="10" t="s">
        <v>67</v>
      </c>
      <c r="AQT3" s="10" t="s">
        <v>70</v>
      </c>
      <c r="AQU3" s="10" t="s">
        <v>67</v>
      </c>
      <c r="AQV3" s="10" t="s">
        <v>70</v>
      </c>
      <c r="AQW3" s="10" t="s">
        <v>67</v>
      </c>
      <c r="AQX3" s="10" t="s">
        <v>70</v>
      </c>
      <c r="AQY3" s="10" t="s">
        <v>67</v>
      </c>
      <c r="AQZ3" s="10" t="s">
        <v>70</v>
      </c>
      <c r="ARA3" s="10" t="s">
        <v>67</v>
      </c>
      <c r="ARB3" s="10" t="s">
        <v>70</v>
      </c>
      <c r="ARC3" s="10" t="s">
        <v>67</v>
      </c>
      <c r="ARD3" s="10" t="s">
        <v>70</v>
      </c>
      <c r="ARE3" s="10" t="s">
        <v>67</v>
      </c>
      <c r="ARF3" s="10" t="s">
        <v>70</v>
      </c>
      <c r="ARG3" s="10" t="s">
        <v>67</v>
      </c>
      <c r="ARH3" s="10" t="s">
        <v>70</v>
      </c>
      <c r="ARI3" s="10" t="s">
        <v>67</v>
      </c>
      <c r="ARJ3" s="10" t="s">
        <v>70</v>
      </c>
      <c r="ARK3" s="10" t="s">
        <v>67</v>
      </c>
      <c r="ARL3" s="10" t="s">
        <v>70</v>
      </c>
      <c r="ARM3" s="10" t="s">
        <v>67</v>
      </c>
      <c r="ARN3" s="10" t="s">
        <v>70</v>
      </c>
      <c r="ARO3" s="10" t="s">
        <v>67</v>
      </c>
      <c r="ARP3" s="10" t="s">
        <v>70</v>
      </c>
      <c r="ARQ3" s="10" t="s">
        <v>67</v>
      </c>
      <c r="ARR3" s="10" t="s">
        <v>70</v>
      </c>
      <c r="ARS3" s="10" t="s">
        <v>67</v>
      </c>
      <c r="ART3" s="10" t="s">
        <v>70</v>
      </c>
      <c r="ARU3" s="10" t="s">
        <v>67</v>
      </c>
      <c r="ARV3" s="10" t="s">
        <v>70</v>
      </c>
      <c r="ARW3" s="10" t="s">
        <v>67</v>
      </c>
      <c r="ARX3" s="10" t="s">
        <v>70</v>
      </c>
      <c r="ARY3" s="10" t="s">
        <v>67</v>
      </c>
      <c r="ARZ3" s="10" t="s">
        <v>70</v>
      </c>
      <c r="ASA3" s="10" t="s">
        <v>67</v>
      </c>
      <c r="ASB3" s="10" t="s">
        <v>70</v>
      </c>
      <c r="ASC3" s="10" t="s">
        <v>67</v>
      </c>
      <c r="ASD3" s="10" t="s">
        <v>70</v>
      </c>
      <c r="ASE3" s="10" t="s">
        <v>67</v>
      </c>
      <c r="ASF3" s="10" t="s">
        <v>70</v>
      </c>
      <c r="ASG3" s="10" t="s">
        <v>67</v>
      </c>
      <c r="ASH3" s="10" t="s">
        <v>70</v>
      </c>
      <c r="ASI3" s="10" t="s">
        <v>67</v>
      </c>
      <c r="ASJ3" s="10" t="s">
        <v>70</v>
      </c>
      <c r="ASK3" s="10" t="s">
        <v>67</v>
      </c>
      <c r="ASL3" s="10" t="s">
        <v>70</v>
      </c>
      <c r="ASM3" s="10" t="s">
        <v>67</v>
      </c>
      <c r="ASN3" s="10" t="s">
        <v>70</v>
      </c>
      <c r="ASO3" s="10" t="s">
        <v>67</v>
      </c>
      <c r="ASP3" s="10" t="s">
        <v>70</v>
      </c>
      <c r="ASQ3" s="10" t="s">
        <v>67</v>
      </c>
      <c r="ASR3" s="10" t="s">
        <v>70</v>
      </c>
      <c r="ASS3" s="10" t="s">
        <v>67</v>
      </c>
      <c r="AST3" s="10" t="s">
        <v>70</v>
      </c>
      <c r="ASU3" s="10" t="s">
        <v>67</v>
      </c>
      <c r="ASV3" s="10" t="s">
        <v>70</v>
      </c>
      <c r="ASW3" s="10" t="s">
        <v>67</v>
      </c>
      <c r="ASX3" s="10" t="s">
        <v>70</v>
      </c>
      <c r="ASY3" s="10" t="s">
        <v>67</v>
      </c>
      <c r="ASZ3" s="10" t="s">
        <v>70</v>
      </c>
      <c r="ATA3" s="10" t="s">
        <v>67</v>
      </c>
      <c r="ATB3" s="10" t="s">
        <v>70</v>
      </c>
      <c r="ATC3" s="10" t="s">
        <v>67</v>
      </c>
      <c r="ATD3" s="10" t="s">
        <v>70</v>
      </c>
      <c r="ATE3" s="10" t="s">
        <v>67</v>
      </c>
      <c r="ATF3" s="10" t="s">
        <v>70</v>
      </c>
      <c r="ATG3" s="10" t="s">
        <v>67</v>
      </c>
      <c r="ATH3" s="10" t="s">
        <v>70</v>
      </c>
      <c r="ATI3" s="10" t="s">
        <v>67</v>
      </c>
      <c r="ATJ3" s="10" t="s">
        <v>70</v>
      </c>
      <c r="ATK3" s="10" t="s">
        <v>67</v>
      </c>
      <c r="ATL3" s="10" t="s">
        <v>70</v>
      </c>
      <c r="ATM3" s="10" t="s">
        <v>67</v>
      </c>
      <c r="ATN3" s="10" t="s">
        <v>70</v>
      </c>
      <c r="ATO3" s="10" t="s">
        <v>67</v>
      </c>
      <c r="ATP3" s="10" t="s">
        <v>70</v>
      </c>
      <c r="ATQ3" s="10" t="s">
        <v>67</v>
      </c>
      <c r="ATR3" s="10" t="s">
        <v>70</v>
      </c>
      <c r="ATS3" s="10" t="s">
        <v>67</v>
      </c>
      <c r="ATT3" s="10" t="s">
        <v>70</v>
      </c>
      <c r="ATU3" s="10" t="s">
        <v>67</v>
      </c>
      <c r="ATV3" s="10" t="s">
        <v>70</v>
      </c>
      <c r="ATW3" s="10" t="s">
        <v>67</v>
      </c>
      <c r="ATX3" s="10" t="s">
        <v>70</v>
      </c>
      <c r="ATY3" s="10" t="s">
        <v>67</v>
      </c>
      <c r="ATZ3" s="10" t="s">
        <v>70</v>
      </c>
      <c r="AUA3" s="10" t="s">
        <v>67</v>
      </c>
      <c r="AUB3" s="10" t="s">
        <v>70</v>
      </c>
      <c r="AUC3" s="10" t="s">
        <v>67</v>
      </c>
      <c r="AUD3" s="10" t="s">
        <v>70</v>
      </c>
      <c r="AUE3" s="10" t="s">
        <v>67</v>
      </c>
      <c r="AUF3" s="10" t="s">
        <v>70</v>
      </c>
      <c r="AUG3" s="10" t="s">
        <v>67</v>
      </c>
      <c r="AUH3" s="10" t="s">
        <v>70</v>
      </c>
      <c r="AUI3" s="10" t="s">
        <v>67</v>
      </c>
      <c r="AUJ3" s="10" t="s">
        <v>70</v>
      </c>
      <c r="AUK3" s="10" t="s">
        <v>67</v>
      </c>
      <c r="AUL3" s="10" t="s">
        <v>70</v>
      </c>
      <c r="AUM3" s="10" t="s">
        <v>67</v>
      </c>
      <c r="AUN3" s="10" t="s">
        <v>70</v>
      </c>
      <c r="AUO3" s="10" t="s">
        <v>67</v>
      </c>
      <c r="AUP3" s="10" t="s">
        <v>70</v>
      </c>
      <c r="AUQ3" s="10" t="s">
        <v>67</v>
      </c>
      <c r="AUR3" s="10" t="s">
        <v>70</v>
      </c>
      <c r="AUS3" s="10" t="s">
        <v>67</v>
      </c>
      <c r="AUT3" s="10" t="s">
        <v>70</v>
      </c>
      <c r="AUU3" s="10" t="s">
        <v>67</v>
      </c>
      <c r="AUV3" s="10" t="s">
        <v>70</v>
      </c>
      <c r="AUW3" s="10" t="s">
        <v>67</v>
      </c>
      <c r="AUX3" s="10" t="s">
        <v>70</v>
      </c>
      <c r="AUY3" s="10" t="s">
        <v>67</v>
      </c>
      <c r="AUZ3" s="10" t="s">
        <v>70</v>
      </c>
      <c r="AVA3" s="10" t="s">
        <v>67</v>
      </c>
      <c r="AVB3" s="10" t="s">
        <v>70</v>
      </c>
      <c r="AVC3" s="10" t="s">
        <v>67</v>
      </c>
      <c r="AVD3" s="10" t="s">
        <v>70</v>
      </c>
      <c r="AVE3" s="10" t="s">
        <v>67</v>
      </c>
      <c r="AVF3" s="10" t="s">
        <v>70</v>
      </c>
      <c r="AVG3" s="10" t="s">
        <v>67</v>
      </c>
      <c r="AVH3" s="10" t="s">
        <v>70</v>
      </c>
      <c r="AVI3" s="10" t="s">
        <v>67</v>
      </c>
      <c r="AVJ3" s="10" t="s">
        <v>70</v>
      </c>
      <c r="AVK3" s="10" t="s">
        <v>67</v>
      </c>
      <c r="AVL3" s="10" t="s">
        <v>70</v>
      </c>
      <c r="AVM3" s="10" t="s">
        <v>67</v>
      </c>
      <c r="AVN3" s="10" t="s">
        <v>70</v>
      </c>
      <c r="AVO3" s="10" t="s">
        <v>67</v>
      </c>
      <c r="AVP3" s="10" t="s">
        <v>70</v>
      </c>
      <c r="AVQ3" s="10" t="s">
        <v>67</v>
      </c>
      <c r="AVR3" s="10" t="s">
        <v>70</v>
      </c>
      <c r="AVS3" s="10" t="s">
        <v>67</v>
      </c>
      <c r="AVT3" s="10" t="s">
        <v>70</v>
      </c>
      <c r="AVU3" s="10" t="s">
        <v>67</v>
      </c>
      <c r="AVV3" s="10" t="s">
        <v>70</v>
      </c>
      <c r="AVW3" s="10" t="s">
        <v>67</v>
      </c>
      <c r="AVX3" s="10" t="s">
        <v>70</v>
      </c>
      <c r="AVY3" s="10" t="s">
        <v>67</v>
      </c>
      <c r="AVZ3" s="10" t="s">
        <v>70</v>
      </c>
      <c r="AWA3" s="10" t="s">
        <v>67</v>
      </c>
      <c r="AWB3" s="10" t="s">
        <v>70</v>
      </c>
      <c r="AWC3" s="10" t="s">
        <v>67</v>
      </c>
      <c r="AWD3" s="10" t="s">
        <v>70</v>
      </c>
      <c r="AWE3" s="10" t="s">
        <v>67</v>
      </c>
      <c r="AWF3" s="10" t="s">
        <v>70</v>
      </c>
      <c r="AWG3" s="10" t="s">
        <v>67</v>
      </c>
      <c r="AWH3" s="10" t="s">
        <v>70</v>
      </c>
      <c r="AWI3" s="10" t="s">
        <v>67</v>
      </c>
      <c r="AWJ3" s="10" t="s">
        <v>70</v>
      </c>
      <c r="AWK3" s="10" t="s">
        <v>67</v>
      </c>
      <c r="AWL3" s="10" t="s">
        <v>70</v>
      </c>
      <c r="AWM3" s="10" t="s">
        <v>67</v>
      </c>
      <c r="AWN3" s="10" t="s">
        <v>70</v>
      </c>
      <c r="AWO3" s="10" t="s">
        <v>67</v>
      </c>
      <c r="AWP3" s="10" t="s">
        <v>70</v>
      </c>
      <c r="AWQ3" s="10" t="s">
        <v>67</v>
      </c>
      <c r="AWR3" s="10" t="s">
        <v>70</v>
      </c>
      <c r="AWS3" s="10" t="s">
        <v>67</v>
      </c>
      <c r="AWT3" s="10" t="s">
        <v>70</v>
      </c>
      <c r="AWU3" s="10" t="s">
        <v>67</v>
      </c>
      <c r="AWV3" s="10" t="s">
        <v>70</v>
      </c>
      <c r="AWW3" s="10" t="s">
        <v>67</v>
      </c>
      <c r="AWX3" s="10" t="s">
        <v>70</v>
      </c>
      <c r="AWY3" s="10" t="s">
        <v>67</v>
      </c>
      <c r="AWZ3" s="10" t="s">
        <v>70</v>
      </c>
      <c r="AXA3" s="10" t="s">
        <v>67</v>
      </c>
      <c r="AXB3" s="10" t="s">
        <v>70</v>
      </c>
      <c r="AXC3" s="10" t="s">
        <v>67</v>
      </c>
      <c r="AXD3" s="10" t="s">
        <v>70</v>
      </c>
      <c r="AXE3" s="10" t="s">
        <v>67</v>
      </c>
      <c r="AXF3" s="10" t="s">
        <v>70</v>
      </c>
      <c r="AXG3" s="10" t="s">
        <v>67</v>
      </c>
      <c r="AXH3" s="10" t="s">
        <v>70</v>
      </c>
      <c r="AXI3" s="10" t="s">
        <v>67</v>
      </c>
      <c r="AXJ3" s="10" t="s">
        <v>70</v>
      </c>
      <c r="AXK3" s="10" t="s">
        <v>67</v>
      </c>
      <c r="AXL3" s="10" t="s">
        <v>70</v>
      </c>
      <c r="AXM3" s="10" t="s">
        <v>67</v>
      </c>
      <c r="AXN3" s="10" t="s">
        <v>70</v>
      </c>
      <c r="AXO3" s="10" t="s">
        <v>67</v>
      </c>
      <c r="AXP3" s="10" t="s">
        <v>70</v>
      </c>
      <c r="AXQ3" s="10" t="s">
        <v>67</v>
      </c>
      <c r="AXR3" s="10" t="s">
        <v>70</v>
      </c>
      <c r="AXS3" s="10" t="s">
        <v>67</v>
      </c>
      <c r="AXT3" s="10" t="s">
        <v>70</v>
      </c>
      <c r="AXU3" s="10" t="s">
        <v>67</v>
      </c>
      <c r="AXV3" s="10" t="s">
        <v>70</v>
      </c>
      <c r="AXW3" s="10" t="s">
        <v>67</v>
      </c>
      <c r="AXX3" s="10" t="s">
        <v>70</v>
      </c>
      <c r="AXY3" s="10" t="s">
        <v>67</v>
      </c>
      <c r="AXZ3" s="10" t="s">
        <v>70</v>
      </c>
      <c r="AYA3" s="10" t="s">
        <v>67</v>
      </c>
      <c r="AYB3" s="10" t="s">
        <v>70</v>
      </c>
      <c r="AYC3" s="10" t="s">
        <v>67</v>
      </c>
      <c r="AYD3" s="10" t="s">
        <v>70</v>
      </c>
      <c r="AYE3" s="10" t="s">
        <v>67</v>
      </c>
      <c r="AYF3" s="10" t="s">
        <v>70</v>
      </c>
      <c r="AYG3" s="10" t="s">
        <v>67</v>
      </c>
      <c r="AYH3" s="10" t="s">
        <v>70</v>
      </c>
      <c r="AYI3" s="10" t="s">
        <v>67</v>
      </c>
      <c r="AYJ3" s="10" t="s">
        <v>70</v>
      </c>
      <c r="AYK3" s="10" t="s">
        <v>67</v>
      </c>
      <c r="AYL3" s="10" t="s">
        <v>70</v>
      </c>
      <c r="AYM3" s="10" t="s">
        <v>67</v>
      </c>
      <c r="AYN3" s="10" t="s">
        <v>70</v>
      </c>
      <c r="AYO3" s="10" t="s">
        <v>67</v>
      </c>
      <c r="AYP3" s="10" t="s">
        <v>70</v>
      </c>
      <c r="AYQ3" s="10" t="s">
        <v>67</v>
      </c>
      <c r="AYR3" s="10" t="s">
        <v>70</v>
      </c>
      <c r="AYS3" s="10" t="s">
        <v>67</v>
      </c>
      <c r="AYT3" s="10" t="s">
        <v>70</v>
      </c>
      <c r="AYU3" s="10" t="s">
        <v>67</v>
      </c>
      <c r="AYV3" s="10" t="s">
        <v>70</v>
      </c>
      <c r="AYW3" s="10" t="s">
        <v>67</v>
      </c>
      <c r="AYX3" s="10" t="s">
        <v>70</v>
      </c>
      <c r="AYY3" s="10" t="s">
        <v>67</v>
      </c>
      <c r="AYZ3" s="10" t="s">
        <v>70</v>
      </c>
      <c r="AZA3" s="10" t="s">
        <v>67</v>
      </c>
      <c r="AZB3" s="10" t="s">
        <v>70</v>
      </c>
      <c r="AZC3" s="10" t="s">
        <v>67</v>
      </c>
      <c r="AZD3" s="10" t="s">
        <v>70</v>
      </c>
      <c r="AZE3" s="10" t="s">
        <v>67</v>
      </c>
      <c r="AZF3" s="10" t="s">
        <v>70</v>
      </c>
      <c r="AZG3" s="10" t="s">
        <v>67</v>
      </c>
      <c r="AZH3" s="10" t="s">
        <v>70</v>
      </c>
      <c r="AZI3" s="10" t="s">
        <v>67</v>
      </c>
      <c r="AZJ3" s="10" t="s">
        <v>70</v>
      </c>
      <c r="AZK3" s="10" t="s">
        <v>67</v>
      </c>
      <c r="AZL3" s="10" t="s">
        <v>70</v>
      </c>
      <c r="AZM3" s="10" t="s">
        <v>67</v>
      </c>
      <c r="AZN3" s="10" t="s">
        <v>70</v>
      </c>
      <c r="AZO3" s="10" t="s">
        <v>67</v>
      </c>
      <c r="AZP3" s="10" t="s">
        <v>70</v>
      </c>
      <c r="AZQ3" s="10" t="s">
        <v>67</v>
      </c>
      <c r="AZR3" s="10" t="s">
        <v>70</v>
      </c>
      <c r="AZS3" s="10" t="s">
        <v>67</v>
      </c>
      <c r="AZT3" s="10" t="s">
        <v>70</v>
      </c>
      <c r="AZU3" s="10" t="s">
        <v>67</v>
      </c>
      <c r="AZV3" s="10" t="s">
        <v>70</v>
      </c>
      <c r="AZW3" s="10" t="s">
        <v>67</v>
      </c>
      <c r="AZX3" s="10" t="s">
        <v>70</v>
      </c>
      <c r="AZY3" s="10" t="s">
        <v>67</v>
      </c>
      <c r="AZZ3" s="10" t="s">
        <v>70</v>
      </c>
      <c r="BAA3" s="10" t="s">
        <v>67</v>
      </c>
      <c r="BAB3" s="10" t="s">
        <v>70</v>
      </c>
      <c r="BAC3" s="10" t="s">
        <v>67</v>
      </c>
      <c r="BAD3" s="10" t="s">
        <v>70</v>
      </c>
      <c r="BAE3" s="10" t="s">
        <v>67</v>
      </c>
      <c r="BAF3" s="10" t="s">
        <v>70</v>
      </c>
      <c r="BAG3" s="10" t="s">
        <v>67</v>
      </c>
      <c r="BAH3" s="10" t="s">
        <v>70</v>
      </c>
      <c r="BAI3" s="10" t="s">
        <v>67</v>
      </c>
      <c r="BAJ3" s="10" t="s">
        <v>70</v>
      </c>
      <c r="BAK3" s="10" t="s">
        <v>67</v>
      </c>
      <c r="BAL3" s="10" t="s">
        <v>70</v>
      </c>
      <c r="BAM3" s="10" t="s">
        <v>67</v>
      </c>
      <c r="BAN3" s="10" t="s">
        <v>70</v>
      </c>
      <c r="BAO3" s="10" t="s">
        <v>67</v>
      </c>
      <c r="BAP3" s="10" t="s">
        <v>70</v>
      </c>
      <c r="BAQ3" s="10" t="s">
        <v>67</v>
      </c>
      <c r="BAR3" s="10" t="s">
        <v>70</v>
      </c>
      <c r="BAS3" s="10" t="s">
        <v>67</v>
      </c>
      <c r="BAT3" s="10" t="s">
        <v>70</v>
      </c>
      <c r="BAU3" s="10" t="s">
        <v>67</v>
      </c>
      <c r="BAV3" s="10" t="s">
        <v>70</v>
      </c>
      <c r="BAW3" s="10" t="s">
        <v>67</v>
      </c>
      <c r="BAX3" s="10" t="s">
        <v>70</v>
      </c>
      <c r="BAY3" s="10" t="s">
        <v>67</v>
      </c>
      <c r="BAZ3" s="10" t="s">
        <v>70</v>
      </c>
      <c r="BBA3" s="10" t="s">
        <v>67</v>
      </c>
      <c r="BBB3" s="10" t="s">
        <v>70</v>
      </c>
      <c r="BBC3" s="10" t="s">
        <v>67</v>
      </c>
      <c r="BBD3" s="10" t="s">
        <v>70</v>
      </c>
      <c r="BBE3" s="10" t="s">
        <v>67</v>
      </c>
      <c r="BBF3" s="10" t="s">
        <v>70</v>
      </c>
      <c r="BBG3" s="10" t="s">
        <v>67</v>
      </c>
      <c r="BBH3" s="10" t="s">
        <v>70</v>
      </c>
      <c r="BBI3" s="10" t="s">
        <v>67</v>
      </c>
      <c r="BBJ3" s="10" t="s">
        <v>70</v>
      </c>
      <c r="BBK3" s="10" t="s">
        <v>67</v>
      </c>
      <c r="BBL3" s="10" t="s">
        <v>70</v>
      </c>
      <c r="BBM3" s="10" t="s">
        <v>67</v>
      </c>
      <c r="BBN3" s="10" t="s">
        <v>70</v>
      </c>
      <c r="BBO3" s="10" t="s">
        <v>67</v>
      </c>
      <c r="BBP3" s="10" t="s">
        <v>70</v>
      </c>
      <c r="BBQ3" s="10" t="s">
        <v>67</v>
      </c>
      <c r="BBR3" s="10" t="s">
        <v>70</v>
      </c>
      <c r="BBS3" s="10" t="s">
        <v>67</v>
      </c>
      <c r="BBT3" s="10" t="s">
        <v>70</v>
      </c>
      <c r="BBU3" s="10" t="s">
        <v>67</v>
      </c>
      <c r="BBV3" s="10" t="s">
        <v>70</v>
      </c>
      <c r="BBW3" s="10" t="s">
        <v>67</v>
      </c>
      <c r="BBX3" s="10" t="s">
        <v>70</v>
      </c>
      <c r="BBY3" s="10" t="s">
        <v>67</v>
      </c>
      <c r="BBZ3" s="10" t="s">
        <v>70</v>
      </c>
      <c r="BCA3" s="10" t="s">
        <v>67</v>
      </c>
      <c r="BCB3" s="10" t="s">
        <v>70</v>
      </c>
      <c r="BCC3" s="10" t="s">
        <v>67</v>
      </c>
      <c r="BCD3" s="10" t="s">
        <v>70</v>
      </c>
      <c r="BCE3" s="10" t="s">
        <v>67</v>
      </c>
      <c r="BCF3" s="10" t="s">
        <v>70</v>
      </c>
      <c r="BCG3" s="10" t="s">
        <v>67</v>
      </c>
      <c r="BCH3" s="10" t="s">
        <v>70</v>
      </c>
      <c r="BCI3" s="10" t="s">
        <v>67</v>
      </c>
      <c r="BCJ3" s="10" t="s">
        <v>70</v>
      </c>
      <c r="BCK3" s="10" t="s">
        <v>67</v>
      </c>
      <c r="BCL3" s="10" t="s">
        <v>70</v>
      </c>
      <c r="BCM3" s="10" t="s">
        <v>67</v>
      </c>
      <c r="BCN3" s="10" t="s">
        <v>70</v>
      </c>
      <c r="BCO3" s="10" t="s">
        <v>67</v>
      </c>
      <c r="BCP3" s="10" t="s">
        <v>70</v>
      </c>
      <c r="BCQ3" s="10" t="s">
        <v>67</v>
      </c>
      <c r="BCR3" s="10" t="s">
        <v>70</v>
      </c>
      <c r="BCS3" s="10" t="s">
        <v>67</v>
      </c>
      <c r="BCT3" s="10" t="s">
        <v>70</v>
      </c>
      <c r="BCU3" s="10" t="s">
        <v>67</v>
      </c>
      <c r="BCV3" s="10" t="s">
        <v>70</v>
      </c>
      <c r="BCW3" s="10" t="s">
        <v>67</v>
      </c>
      <c r="BCX3" s="10" t="s">
        <v>70</v>
      </c>
      <c r="BCY3" s="10" t="s">
        <v>67</v>
      </c>
      <c r="BCZ3" s="10" t="s">
        <v>70</v>
      </c>
      <c r="BDA3" s="10" t="s">
        <v>67</v>
      </c>
      <c r="BDB3" s="10" t="s">
        <v>70</v>
      </c>
      <c r="BDC3" s="10" t="s">
        <v>67</v>
      </c>
      <c r="BDD3" s="10" t="s">
        <v>70</v>
      </c>
      <c r="BDE3" s="10" t="s">
        <v>67</v>
      </c>
      <c r="BDF3" s="10" t="s">
        <v>70</v>
      </c>
      <c r="BDG3" s="10" t="s">
        <v>67</v>
      </c>
      <c r="BDH3" s="10" t="s">
        <v>70</v>
      </c>
      <c r="BDI3" s="10" t="s">
        <v>67</v>
      </c>
      <c r="BDJ3" s="10" t="s">
        <v>70</v>
      </c>
      <c r="BDK3" s="10" t="s">
        <v>67</v>
      </c>
      <c r="BDL3" s="10" t="s">
        <v>70</v>
      </c>
      <c r="BDM3" s="10" t="s">
        <v>67</v>
      </c>
      <c r="BDN3" s="10" t="s">
        <v>70</v>
      </c>
      <c r="BDO3" s="10" t="s">
        <v>67</v>
      </c>
      <c r="BDP3" s="10" t="s">
        <v>70</v>
      </c>
      <c r="BDQ3" s="10" t="s">
        <v>67</v>
      </c>
      <c r="BDR3" s="10" t="s">
        <v>70</v>
      </c>
      <c r="BDS3" s="10" t="s">
        <v>67</v>
      </c>
      <c r="BDT3" s="10" t="s">
        <v>70</v>
      </c>
      <c r="BDU3" s="10" t="s">
        <v>67</v>
      </c>
      <c r="BDV3" s="10" t="s">
        <v>70</v>
      </c>
      <c r="BDW3" s="10" t="s">
        <v>67</v>
      </c>
      <c r="BDX3" s="10" t="s">
        <v>70</v>
      </c>
      <c r="BDY3" s="10" t="s">
        <v>67</v>
      </c>
      <c r="BDZ3" s="10" t="s">
        <v>70</v>
      </c>
      <c r="BEA3" s="10" t="s">
        <v>67</v>
      </c>
      <c r="BEB3" s="10" t="s">
        <v>70</v>
      </c>
      <c r="BEC3" s="10" t="s">
        <v>67</v>
      </c>
      <c r="BED3" s="10" t="s">
        <v>70</v>
      </c>
      <c r="BEE3" s="10" t="s">
        <v>67</v>
      </c>
      <c r="BEF3" s="10" t="s">
        <v>70</v>
      </c>
      <c r="BEG3" s="10" t="s">
        <v>67</v>
      </c>
      <c r="BEH3" s="10" t="s">
        <v>70</v>
      </c>
      <c r="BEI3" s="10" t="s">
        <v>67</v>
      </c>
      <c r="BEJ3" s="10" t="s">
        <v>70</v>
      </c>
      <c r="BEK3" s="10" t="s">
        <v>67</v>
      </c>
      <c r="BEL3" s="10" t="s">
        <v>70</v>
      </c>
      <c r="BEM3" s="10" t="s">
        <v>67</v>
      </c>
      <c r="BEN3" s="10" t="s">
        <v>70</v>
      </c>
      <c r="BEO3" s="10" t="s">
        <v>67</v>
      </c>
      <c r="BEP3" s="10" t="s">
        <v>70</v>
      </c>
      <c r="BEQ3" s="10" t="s">
        <v>67</v>
      </c>
      <c r="BER3" s="10" t="s">
        <v>70</v>
      </c>
      <c r="BES3" s="10" t="s">
        <v>67</v>
      </c>
      <c r="BET3" s="10" t="s">
        <v>70</v>
      </c>
      <c r="BEU3" s="10" t="s">
        <v>67</v>
      </c>
      <c r="BEV3" s="10" t="s">
        <v>70</v>
      </c>
      <c r="BEW3" s="10" t="s">
        <v>67</v>
      </c>
      <c r="BEX3" s="10" t="s">
        <v>70</v>
      </c>
      <c r="BEY3" s="10" t="s">
        <v>67</v>
      </c>
      <c r="BEZ3" s="10" t="s">
        <v>70</v>
      </c>
      <c r="BFA3" s="10" t="s">
        <v>67</v>
      </c>
      <c r="BFB3" s="10" t="s">
        <v>70</v>
      </c>
      <c r="BFC3" s="10" t="s">
        <v>67</v>
      </c>
      <c r="BFD3" s="10" t="s">
        <v>70</v>
      </c>
      <c r="BFE3" s="10" t="s">
        <v>67</v>
      </c>
      <c r="BFF3" s="10" t="s">
        <v>70</v>
      </c>
      <c r="BFG3" s="10" t="s">
        <v>67</v>
      </c>
      <c r="BFH3" s="10" t="s">
        <v>70</v>
      </c>
      <c r="BFI3" s="10" t="s">
        <v>67</v>
      </c>
      <c r="BFJ3" s="10" t="s">
        <v>70</v>
      </c>
      <c r="BFK3" s="10" t="s">
        <v>67</v>
      </c>
      <c r="BFL3" s="10" t="s">
        <v>70</v>
      </c>
      <c r="BFM3" s="10" t="s">
        <v>67</v>
      </c>
      <c r="BFN3" s="10" t="s">
        <v>70</v>
      </c>
      <c r="BFO3" s="10" t="s">
        <v>67</v>
      </c>
      <c r="BFP3" s="10" t="s">
        <v>70</v>
      </c>
      <c r="BFQ3" s="10" t="s">
        <v>67</v>
      </c>
      <c r="BFR3" s="10" t="s">
        <v>70</v>
      </c>
      <c r="BFS3" s="10" t="s">
        <v>67</v>
      </c>
      <c r="BFT3" s="10" t="s">
        <v>70</v>
      </c>
      <c r="BFU3" s="10" t="s">
        <v>67</v>
      </c>
      <c r="BFV3" s="10" t="s">
        <v>70</v>
      </c>
      <c r="BFW3" s="10" t="s">
        <v>67</v>
      </c>
      <c r="BFX3" s="10" t="s">
        <v>70</v>
      </c>
      <c r="BFY3" s="10" t="s">
        <v>67</v>
      </c>
      <c r="BFZ3" s="10" t="s">
        <v>70</v>
      </c>
      <c r="BGA3" s="10" t="s">
        <v>67</v>
      </c>
      <c r="BGB3" s="10" t="s">
        <v>70</v>
      </c>
      <c r="BGC3" s="10" t="s">
        <v>67</v>
      </c>
      <c r="BGD3" s="10" t="s">
        <v>70</v>
      </c>
      <c r="BGE3" s="10" t="s">
        <v>67</v>
      </c>
      <c r="BGF3" s="10" t="s">
        <v>70</v>
      </c>
      <c r="BGG3" s="10" t="s">
        <v>67</v>
      </c>
      <c r="BGH3" s="10" t="s">
        <v>70</v>
      </c>
      <c r="BGI3" s="10" t="s">
        <v>67</v>
      </c>
      <c r="BGJ3" s="10" t="s">
        <v>70</v>
      </c>
      <c r="BGK3" s="10" t="s">
        <v>67</v>
      </c>
      <c r="BGL3" s="10" t="s">
        <v>70</v>
      </c>
      <c r="BGM3" s="10" t="s">
        <v>67</v>
      </c>
      <c r="BGN3" s="10" t="s">
        <v>70</v>
      </c>
      <c r="BGO3" s="10" t="s">
        <v>67</v>
      </c>
      <c r="BGP3" s="10" t="s">
        <v>70</v>
      </c>
      <c r="BGQ3" s="10" t="s">
        <v>67</v>
      </c>
      <c r="BGR3" s="10" t="s">
        <v>70</v>
      </c>
      <c r="BGS3" s="10" t="s">
        <v>67</v>
      </c>
      <c r="BGT3" s="10" t="s">
        <v>70</v>
      </c>
      <c r="BGU3" s="10" t="s">
        <v>67</v>
      </c>
      <c r="BGV3" s="10" t="s">
        <v>70</v>
      </c>
      <c r="BGW3" s="10" t="s">
        <v>67</v>
      </c>
      <c r="BGX3" s="10" t="s">
        <v>70</v>
      </c>
      <c r="BGY3" s="10" t="s">
        <v>67</v>
      </c>
      <c r="BGZ3" s="10" t="s">
        <v>70</v>
      </c>
      <c r="BHA3" s="10" t="s">
        <v>67</v>
      </c>
      <c r="BHB3" s="10" t="s">
        <v>70</v>
      </c>
      <c r="BHC3" s="10" t="s">
        <v>67</v>
      </c>
      <c r="BHD3" s="10" t="s">
        <v>70</v>
      </c>
      <c r="BHE3" s="10" t="s">
        <v>67</v>
      </c>
      <c r="BHF3" s="10" t="s">
        <v>70</v>
      </c>
      <c r="BHG3" s="10" t="s">
        <v>67</v>
      </c>
      <c r="BHH3" s="10" t="s">
        <v>70</v>
      </c>
      <c r="BHI3" s="10" t="s">
        <v>67</v>
      </c>
      <c r="BHJ3" s="10" t="s">
        <v>70</v>
      </c>
      <c r="BHK3" s="10" t="s">
        <v>67</v>
      </c>
      <c r="BHL3" s="10" t="s">
        <v>70</v>
      </c>
      <c r="BHM3" s="10" t="s">
        <v>67</v>
      </c>
      <c r="BHN3" s="10" t="s">
        <v>70</v>
      </c>
      <c r="BHO3" s="10" t="s">
        <v>67</v>
      </c>
      <c r="BHP3" s="10" t="s">
        <v>70</v>
      </c>
      <c r="BHQ3" s="10" t="s">
        <v>67</v>
      </c>
      <c r="BHR3" s="10" t="s">
        <v>70</v>
      </c>
      <c r="BHS3" s="10" t="s">
        <v>67</v>
      </c>
      <c r="BHT3" s="10" t="s">
        <v>70</v>
      </c>
      <c r="BHU3" s="10" t="s">
        <v>67</v>
      </c>
      <c r="BHV3" s="10" t="s">
        <v>70</v>
      </c>
      <c r="BHW3" s="10" t="s">
        <v>67</v>
      </c>
      <c r="BHX3" s="10" t="s">
        <v>70</v>
      </c>
      <c r="BHY3" s="10" t="s">
        <v>67</v>
      </c>
      <c r="BHZ3" s="10" t="s">
        <v>70</v>
      </c>
      <c r="BIA3" s="10" t="s">
        <v>67</v>
      </c>
      <c r="BIB3" s="10" t="s">
        <v>70</v>
      </c>
      <c r="BIC3" s="10" t="s">
        <v>67</v>
      </c>
      <c r="BID3" s="10" t="s">
        <v>70</v>
      </c>
      <c r="BIE3" s="10" t="s">
        <v>67</v>
      </c>
      <c r="BIF3" s="10" t="s">
        <v>70</v>
      </c>
      <c r="BIG3" s="10" t="s">
        <v>67</v>
      </c>
      <c r="BIH3" s="10" t="s">
        <v>70</v>
      </c>
      <c r="BII3" s="10" t="s">
        <v>67</v>
      </c>
      <c r="BIJ3" s="10" t="s">
        <v>70</v>
      </c>
      <c r="BIK3" s="10" t="s">
        <v>67</v>
      </c>
      <c r="BIL3" s="10" t="s">
        <v>70</v>
      </c>
      <c r="BIM3" s="10" t="s">
        <v>67</v>
      </c>
      <c r="BIN3" s="10" t="s">
        <v>70</v>
      </c>
      <c r="BIO3" s="10" t="s">
        <v>67</v>
      </c>
      <c r="BIP3" s="10" t="s">
        <v>70</v>
      </c>
      <c r="BIQ3" s="10" t="s">
        <v>67</v>
      </c>
      <c r="BIR3" s="10" t="s">
        <v>70</v>
      </c>
      <c r="BIS3" s="10" t="s">
        <v>67</v>
      </c>
      <c r="BIT3" s="10" t="s">
        <v>70</v>
      </c>
      <c r="BIU3" s="10" t="s">
        <v>67</v>
      </c>
      <c r="BIV3" s="10" t="s">
        <v>70</v>
      </c>
      <c r="BIW3" s="10" t="s">
        <v>67</v>
      </c>
      <c r="BIX3" s="10" t="s">
        <v>70</v>
      </c>
      <c r="BIY3" s="10" t="s">
        <v>67</v>
      </c>
      <c r="BIZ3" s="10" t="s">
        <v>70</v>
      </c>
      <c r="BJA3" s="10" t="s">
        <v>67</v>
      </c>
      <c r="BJB3" s="10" t="s">
        <v>70</v>
      </c>
      <c r="BJC3" s="10" t="s">
        <v>67</v>
      </c>
      <c r="BJD3" s="10" t="s">
        <v>70</v>
      </c>
      <c r="BJE3" s="10" t="s">
        <v>67</v>
      </c>
      <c r="BJF3" s="10" t="s">
        <v>70</v>
      </c>
      <c r="BJG3" s="10" t="s">
        <v>67</v>
      </c>
      <c r="BJH3" s="10" t="s">
        <v>70</v>
      </c>
      <c r="BJI3" s="10" t="s">
        <v>67</v>
      </c>
      <c r="BJJ3" s="10" t="s">
        <v>70</v>
      </c>
      <c r="BJK3" s="10" t="s">
        <v>67</v>
      </c>
      <c r="BJL3" s="10" t="s">
        <v>70</v>
      </c>
      <c r="BJM3" s="10" t="s">
        <v>67</v>
      </c>
      <c r="BJN3" s="10" t="s">
        <v>70</v>
      </c>
      <c r="BJO3" s="10" t="s">
        <v>67</v>
      </c>
      <c r="BJP3" s="10" t="s">
        <v>70</v>
      </c>
      <c r="BJQ3" s="10" t="s">
        <v>67</v>
      </c>
      <c r="BJR3" s="10" t="s">
        <v>70</v>
      </c>
      <c r="BJS3" s="10" t="s">
        <v>67</v>
      </c>
      <c r="BJT3" s="10" t="s">
        <v>70</v>
      </c>
      <c r="BJU3" s="10" t="s">
        <v>67</v>
      </c>
      <c r="BJV3" s="10" t="s">
        <v>70</v>
      </c>
      <c r="BJW3" s="10" t="s">
        <v>67</v>
      </c>
      <c r="BJX3" s="10" t="s">
        <v>70</v>
      </c>
      <c r="BJY3" s="10" t="s">
        <v>67</v>
      </c>
      <c r="BJZ3" s="10" t="s">
        <v>70</v>
      </c>
      <c r="BKA3" s="10" t="s">
        <v>67</v>
      </c>
      <c r="BKB3" s="10" t="s">
        <v>70</v>
      </c>
      <c r="BKC3" s="10" t="s">
        <v>67</v>
      </c>
      <c r="BKD3" s="10" t="s">
        <v>70</v>
      </c>
      <c r="BKE3" s="10" t="s">
        <v>67</v>
      </c>
      <c r="BKF3" s="10" t="s">
        <v>70</v>
      </c>
      <c r="BKG3" s="10" t="s">
        <v>67</v>
      </c>
      <c r="BKH3" s="10" t="s">
        <v>70</v>
      </c>
      <c r="BKI3" s="10" t="s">
        <v>67</v>
      </c>
      <c r="BKJ3" s="10" t="s">
        <v>70</v>
      </c>
      <c r="BKK3" s="10" t="s">
        <v>67</v>
      </c>
      <c r="BKL3" s="10" t="s">
        <v>70</v>
      </c>
      <c r="BKM3" s="10" t="s">
        <v>67</v>
      </c>
      <c r="BKN3" s="10" t="s">
        <v>70</v>
      </c>
      <c r="BKO3" s="10" t="s">
        <v>67</v>
      </c>
      <c r="BKP3" s="10" t="s">
        <v>70</v>
      </c>
      <c r="BKQ3" s="10" t="s">
        <v>67</v>
      </c>
      <c r="BKR3" s="10" t="s">
        <v>70</v>
      </c>
      <c r="BKS3" s="10" t="s">
        <v>67</v>
      </c>
      <c r="BKT3" s="10" t="s">
        <v>70</v>
      </c>
      <c r="BKU3" s="10" t="s">
        <v>67</v>
      </c>
      <c r="BKV3" s="10" t="s">
        <v>70</v>
      </c>
      <c r="BKW3" s="10" t="s">
        <v>67</v>
      </c>
      <c r="BKX3" s="10" t="s">
        <v>70</v>
      </c>
      <c r="BKY3" s="10" t="s">
        <v>67</v>
      </c>
      <c r="BKZ3" s="10" t="s">
        <v>70</v>
      </c>
      <c r="BLA3" s="10" t="s">
        <v>67</v>
      </c>
      <c r="BLB3" s="10" t="s">
        <v>70</v>
      </c>
      <c r="BLC3" s="10" t="s">
        <v>67</v>
      </c>
      <c r="BLD3" s="10" t="s">
        <v>70</v>
      </c>
      <c r="BLE3" s="10" t="s">
        <v>67</v>
      </c>
      <c r="BLF3" s="10" t="s">
        <v>70</v>
      </c>
      <c r="BLG3" s="10" t="s">
        <v>67</v>
      </c>
      <c r="BLH3" s="10" t="s">
        <v>70</v>
      </c>
      <c r="BLI3" s="10" t="s">
        <v>67</v>
      </c>
      <c r="BLJ3" s="10" t="s">
        <v>70</v>
      </c>
      <c r="BLK3" s="10" t="s">
        <v>67</v>
      </c>
      <c r="BLL3" s="10" t="s">
        <v>70</v>
      </c>
      <c r="BLM3" s="10" t="s">
        <v>67</v>
      </c>
      <c r="BLN3" s="10" t="s">
        <v>70</v>
      </c>
      <c r="BLO3" s="10" t="s">
        <v>67</v>
      </c>
      <c r="BLP3" s="10" t="s">
        <v>70</v>
      </c>
      <c r="BLQ3" s="10" t="s">
        <v>67</v>
      </c>
      <c r="BLR3" s="10" t="s">
        <v>70</v>
      </c>
      <c r="BLS3" s="10" t="s">
        <v>67</v>
      </c>
      <c r="BLT3" s="10" t="s">
        <v>70</v>
      </c>
      <c r="BLU3" s="10" t="s">
        <v>67</v>
      </c>
      <c r="BLV3" s="10" t="s">
        <v>70</v>
      </c>
      <c r="BLW3" s="10" t="s">
        <v>67</v>
      </c>
      <c r="BLX3" s="10" t="s">
        <v>70</v>
      </c>
      <c r="BLY3" s="10" t="s">
        <v>67</v>
      </c>
      <c r="BLZ3" s="10" t="s">
        <v>70</v>
      </c>
      <c r="BMA3" s="10" t="s">
        <v>67</v>
      </c>
      <c r="BMB3" s="10" t="s">
        <v>70</v>
      </c>
      <c r="BMC3" s="10" t="s">
        <v>67</v>
      </c>
      <c r="BMD3" s="10" t="s">
        <v>70</v>
      </c>
      <c r="BME3" s="10" t="s">
        <v>67</v>
      </c>
      <c r="BMF3" s="10" t="s">
        <v>70</v>
      </c>
      <c r="BMG3" s="10" t="s">
        <v>67</v>
      </c>
      <c r="BMH3" s="10" t="s">
        <v>70</v>
      </c>
      <c r="BMI3" s="10" t="s">
        <v>67</v>
      </c>
      <c r="BMJ3" s="10" t="s">
        <v>70</v>
      </c>
      <c r="BMK3" s="10" t="s">
        <v>67</v>
      </c>
      <c r="BML3" s="10" t="s">
        <v>70</v>
      </c>
      <c r="BMM3" s="10" t="s">
        <v>67</v>
      </c>
      <c r="BMN3" s="10" t="s">
        <v>70</v>
      </c>
      <c r="BMO3" s="10" t="s">
        <v>67</v>
      </c>
      <c r="BMP3" s="10" t="s">
        <v>70</v>
      </c>
      <c r="BMQ3" s="10" t="s">
        <v>67</v>
      </c>
      <c r="BMR3" s="10" t="s">
        <v>70</v>
      </c>
      <c r="BMS3" s="10" t="s">
        <v>67</v>
      </c>
      <c r="BMT3" s="10" t="s">
        <v>70</v>
      </c>
      <c r="BMU3" s="10" t="s">
        <v>67</v>
      </c>
      <c r="BMV3" s="10" t="s">
        <v>70</v>
      </c>
      <c r="BMW3" s="10" t="s">
        <v>67</v>
      </c>
      <c r="BMX3" s="10" t="s">
        <v>70</v>
      </c>
      <c r="BMY3" s="10" t="s">
        <v>67</v>
      </c>
      <c r="BMZ3" s="10" t="s">
        <v>70</v>
      </c>
      <c r="BNA3" s="10" t="s">
        <v>67</v>
      </c>
      <c r="BNB3" s="10" t="s">
        <v>70</v>
      </c>
      <c r="BNC3" s="10" t="s">
        <v>67</v>
      </c>
      <c r="BND3" s="10" t="s">
        <v>70</v>
      </c>
      <c r="BNE3" s="10" t="s">
        <v>67</v>
      </c>
      <c r="BNF3" s="10" t="s">
        <v>70</v>
      </c>
      <c r="BNG3" s="10" t="s">
        <v>67</v>
      </c>
      <c r="BNH3" s="10" t="s">
        <v>70</v>
      </c>
      <c r="BNI3" s="10" t="s">
        <v>67</v>
      </c>
      <c r="BNJ3" s="10" t="s">
        <v>70</v>
      </c>
      <c r="BNK3" s="10" t="s">
        <v>67</v>
      </c>
      <c r="BNL3" s="10" t="s">
        <v>70</v>
      </c>
      <c r="BNM3" s="10" t="s">
        <v>67</v>
      </c>
      <c r="BNN3" s="10" t="s">
        <v>70</v>
      </c>
      <c r="BNO3" s="10" t="s">
        <v>67</v>
      </c>
      <c r="BNP3" s="10" t="s">
        <v>70</v>
      </c>
      <c r="BNQ3" s="10" t="s">
        <v>67</v>
      </c>
      <c r="BNR3" s="10" t="s">
        <v>70</v>
      </c>
      <c r="BNS3" s="10" t="s">
        <v>67</v>
      </c>
      <c r="BNT3" s="10" t="s">
        <v>70</v>
      </c>
      <c r="BNU3" s="10" t="s">
        <v>67</v>
      </c>
      <c r="BNV3" s="10" t="s">
        <v>70</v>
      </c>
      <c r="BNW3" s="10" t="s">
        <v>67</v>
      </c>
      <c r="BNX3" s="10" t="s">
        <v>70</v>
      </c>
      <c r="BNY3" s="10" t="s">
        <v>67</v>
      </c>
      <c r="BNZ3" s="10" t="s">
        <v>70</v>
      </c>
      <c r="BOA3" s="10" t="s">
        <v>67</v>
      </c>
      <c r="BOB3" s="10" t="s">
        <v>70</v>
      </c>
      <c r="BOC3" s="10" t="s">
        <v>67</v>
      </c>
      <c r="BOD3" s="10" t="s">
        <v>70</v>
      </c>
      <c r="BOE3" s="10" t="s">
        <v>67</v>
      </c>
      <c r="BOF3" s="10" t="s">
        <v>70</v>
      </c>
      <c r="BOG3" s="10" t="s">
        <v>67</v>
      </c>
      <c r="BOH3" s="10" t="s">
        <v>70</v>
      </c>
      <c r="BOI3" s="10" t="s">
        <v>67</v>
      </c>
      <c r="BOJ3" s="10" t="s">
        <v>70</v>
      </c>
      <c r="BOK3" s="10" t="s">
        <v>67</v>
      </c>
      <c r="BOL3" s="10" t="s">
        <v>70</v>
      </c>
      <c r="BOM3" s="10" t="s">
        <v>67</v>
      </c>
      <c r="BON3" s="10" t="s">
        <v>70</v>
      </c>
      <c r="BOO3" s="10" t="s">
        <v>67</v>
      </c>
      <c r="BOP3" s="10" t="s">
        <v>70</v>
      </c>
      <c r="BOQ3" s="10" t="s">
        <v>67</v>
      </c>
      <c r="BOR3" s="10" t="s">
        <v>70</v>
      </c>
      <c r="BOS3" s="10" t="s">
        <v>67</v>
      </c>
      <c r="BOT3" s="10" t="s">
        <v>70</v>
      </c>
      <c r="BOU3" s="10" t="s">
        <v>67</v>
      </c>
      <c r="BOV3" s="10" t="s">
        <v>70</v>
      </c>
      <c r="BOW3" s="10" t="s">
        <v>67</v>
      </c>
      <c r="BOX3" s="10" t="s">
        <v>70</v>
      </c>
      <c r="BOY3" s="10" t="s">
        <v>67</v>
      </c>
      <c r="BOZ3" s="10" t="s">
        <v>70</v>
      </c>
      <c r="BPA3" s="10" t="s">
        <v>67</v>
      </c>
      <c r="BPB3" s="10" t="s">
        <v>70</v>
      </c>
      <c r="BPC3" s="10" t="s">
        <v>67</v>
      </c>
      <c r="BPD3" s="10" t="s">
        <v>70</v>
      </c>
      <c r="BPE3" s="10" t="s">
        <v>67</v>
      </c>
      <c r="BPF3" s="10" t="s">
        <v>70</v>
      </c>
      <c r="BPG3" s="10" t="s">
        <v>67</v>
      </c>
      <c r="BPH3" s="10" t="s">
        <v>70</v>
      </c>
      <c r="BPI3" s="10" t="s">
        <v>67</v>
      </c>
      <c r="BPJ3" s="10" t="s">
        <v>70</v>
      </c>
      <c r="BPK3" s="10" t="s">
        <v>67</v>
      </c>
      <c r="BPL3" s="10" t="s">
        <v>70</v>
      </c>
      <c r="BPM3" s="10" t="s">
        <v>67</v>
      </c>
      <c r="BPN3" s="10" t="s">
        <v>70</v>
      </c>
      <c r="BPO3" s="10" t="s">
        <v>67</v>
      </c>
      <c r="BPP3" s="10" t="s">
        <v>70</v>
      </c>
      <c r="BPQ3" s="10" t="s">
        <v>67</v>
      </c>
      <c r="BPR3" s="10" t="s">
        <v>70</v>
      </c>
      <c r="BPS3" s="10" t="s">
        <v>67</v>
      </c>
      <c r="BPT3" s="10" t="s">
        <v>70</v>
      </c>
      <c r="BPU3" s="10" t="s">
        <v>67</v>
      </c>
      <c r="BPV3" s="10" t="s">
        <v>70</v>
      </c>
      <c r="BPW3" s="10" t="s">
        <v>67</v>
      </c>
      <c r="BPX3" s="10" t="s">
        <v>70</v>
      </c>
      <c r="BPY3" s="10" t="s">
        <v>67</v>
      </c>
      <c r="BPZ3" s="10" t="s">
        <v>70</v>
      </c>
      <c r="BQA3" s="10" t="s">
        <v>67</v>
      </c>
      <c r="BQB3" s="10" t="s">
        <v>70</v>
      </c>
      <c r="BQC3" s="10" t="s">
        <v>67</v>
      </c>
      <c r="BQD3" s="10" t="s">
        <v>70</v>
      </c>
      <c r="BQE3" s="10" t="s">
        <v>67</v>
      </c>
      <c r="BQF3" s="10" t="s">
        <v>70</v>
      </c>
      <c r="BQG3" s="10" t="s">
        <v>67</v>
      </c>
      <c r="BQH3" s="10" t="s">
        <v>70</v>
      </c>
      <c r="BQI3" s="10" t="s">
        <v>67</v>
      </c>
      <c r="BQJ3" s="10" t="s">
        <v>70</v>
      </c>
      <c r="BQK3" s="10" t="s">
        <v>67</v>
      </c>
      <c r="BQL3" s="10" t="s">
        <v>70</v>
      </c>
      <c r="BQM3" s="10" t="s">
        <v>67</v>
      </c>
      <c r="BQN3" s="10" t="s">
        <v>70</v>
      </c>
      <c r="BQO3" s="10" t="s">
        <v>67</v>
      </c>
      <c r="BQP3" s="10" t="s">
        <v>70</v>
      </c>
      <c r="BQQ3" s="10" t="s">
        <v>67</v>
      </c>
      <c r="BQR3" s="10" t="s">
        <v>70</v>
      </c>
      <c r="BQS3" s="10" t="s">
        <v>67</v>
      </c>
      <c r="BQT3" s="10" t="s">
        <v>70</v>
      </c>
      <c r="BQU3" s="10" t="s">
        <v>67</v>
      </c>
      <c r="BQV3" s="10" t="s">
        <v>70</v>
      </c>
      <c r="BQW3" s="10" t="s">
        <v>67</v>
      </c>
      <c r="BQX3" s="10" t="s">
        <v>70</v>
      </c>
      <c r="BQY3" s="10" t="s">
        <v>67</v>
      </c>
      <c r="BQZ3" s="10" t="s">
        <v>70</v>
      </c>
      <c r="BRA3" s="10" t="s">
        <v>67</v>
      </c>
      <c r="BRB3" s="10" t="s">
        <v>70</v>
      </c>
      <c r="BRC3" s="10" t="s">
        <v>67</v>
      </c>
      <c r="BRD3" s="10" t="s">
        <v>70</v>
      </c>
      <c r="BRE3" s="10" t="s">
        <v>67</v>
      </c>
      <c r="BRF3" s="10" t="s">
        <v>70</v>
      </c>
      <c r="BRG3" s="10" t="s">
        <v>67</v>
      </c>
      <c r="BRH3" s="10" t="s">
        <v>70</v>
      </c>
      <c r="BRI3" s="10" t="s">
        <v>67</v>
      </c>
      <c r="BRJ3" s="10" t="s">
        <v>70</v>
      </c>
      <c r="BRK3" s="10" t="s">
        <v>67</v>
      </c>
      <c r="BRL3" s="10" t="s">
        <v>70</v>
      </c>
      <c r="BRM3" s="10" t="s">
        <v>67</v>
      </c>
      <c r="BRN3" s="10" t="s">
        <v>70</v>
      </c>
      <c r="BRO3" s="10" t="s">
        <v>67</v>
      </c>
      <c r="BRP3" s="10" t="s">
        <v>70</v>
      </c>
      <c r="BRQ3" s="10" t="s">
        <v>67</v>
      </c>
      <c r="BRR3" s="10" t="s">
        <v>70</v>
      </c>
      <c r="BRS3" s="10" t="s">
        <v>67</v>
      </c>
      <c r="BRT3" s="10" t="s">
        <v>70</v>
      </c>
      <c r="BRU3" s="10" t="s">
        <v>67</v>
      </c>
      <c r="BRV3" s="10" t="s">
        <v>70</v>
      </c>
      <c r="BRW3" s="10" t="s">
        <v>67</v>
      </c>
      <c r="BRX3" s="10" t="s">
        <v>70</v>
      </c>
      <c r="BRY3" s="10" t="s">
        <v>67</v>
      </c>
      <c r="BRZ3" s="10" t="s">
        <v>70</v>
      </c>
      <c r="BSA3" s="10" t="s">
        <v>67</v>
      </c>
      <c r="BSB3" s="10" t="s">
        <v>70</v>
      </c>
      <c r="BSC3" s="10" t="s">
        <v>67</v>
      </c>
      <c r="BSD3" s="10" t="s">
        <v>70</v>
      </c>
      <c r="BSE3" s="10" t="s">
        <v>67</v>
      </c>
      <c r="BSF3" s="10" t="s">
        <v>70</v>
      </c>
      <c r="BSG3" s="10" t="s">
        <v>67</v>
      </c>
      <c r="BSH3" s="10" t="s">
        <v>70</v>
      </c>
      <c r="BSI3" s="10" t="s">
        <v>67</v>
      </c>
      <c r="BSJ3" s="10" t="s">
        <v>70</v>
      </c>
      <c r="BSK3" s="10" t="s">
        <v>67</v>
      </c>
      <c r="BSL3" s="10" t="s">
        <v>70</v>
      </c>
      <c r="BSM3" s="10" t="s">
        <v>67</v>
      </c>
      <c r="BSN3" s="10" t="s">
        <v>70</v>
      </c>
      <c r="BSO3" s="10" t="s">
        <v>67</v>
      </c>
      <c r="BSP3" s="10" t="s">
        <v>70</v>
      </c>
      <c r="BSQ3" s="10" t="s">
        <v>67</v>
      </c>
      <c r="BSR3" s="10" t="s">
        <v>70</v>
      </c>
      <c r="BSS3" s="10" t="s">
        <v>67</v>
      </c>
      <c r="BST3" s="10" t="s">
        <v>70</v>
      </c>
      <c r="BSU3" s="10" t="s">
        <v>67</v>
      </c>
      <c r="BSV3" s="10" t="s">
        <v>70</v>
      </c>
      <c r="BSW3" s="10" t="s">
        <v>67</v>
      </c>
      <c r="BSX3" s="10" t="s">
        <v>70</v>
      </c>
      <c r="BSY3" s="10" t="s">
        <v>67</v>
      </c>
      <c r="BSZ3" s="10" t="s">
        <v>70</v>
      </c>
      <c r="BTA3" s="10" t="s">
        <v>67</v>
      </c>
      <c r="BTB3" s="10" t="s">
        <v>70</v>
      </c>
      <c r="BTC3" s="10" t="s">
        <v>67</v>
      </c>
      <c r="BTD3" s="10" t="s">
        <v>70</v>
      </c>
      <c r="BTE3" s="10" t="s">
        <v>67</v>
      </c>
      <c r="BTF3" s="10" t="s">
        <v>70</v>
      </c>
      <c r="BTG3" s="10" t="s">
        <v>67</v>
      </c>
      <c r="BTH3" s="10" t="s">
        <v>70</v>
      </c>
      <c r="BTI3" s="10" t="s">
        <v>67</v>
      </c>
      <c r="BTJ3" s="10" t="s">
        <v>70</v>
      </c>
      <c r="BTK3" s="10" t="s">
        <v>67</v>
      </c>
      <c r="BTL3" s="10" t="s">
        <v>70</v>
      </c>
      <c r="BTM3" s="10" t="s">
        <v>67</v>
      </c>
      <c r="BTN3" s="10" t="s">
        <v>70</v>
      </c>
      <c r="BTO3" s="10" t="s">
        <v>67</v>
      </c>
      <c r="BTP3" s="10" t="s">
        <v>70</v>
      </c>
      <c r="BTQ3" s="10" t="s">
        <v>67</v>
      </c>
      <c r="BTR3" s="10" t="s">
        <v>70</v>
      </c>
      <c r="BTS3" s="10" t="s">
        <v>67</v>
      </c>
      <c r="BTT3" s="10" t="s">
        <v>70</v>
      </c>
      <c r="BTU3" s="10" t="s">
        <v>67</v>
      </c>
      <c r="BTV3" s="10" t="s">
        <v>70</v>
      </c>
      <c r="BTW3" s="10" t="s">
        <v>67</v>
      </c>
      <c r="BTX3" s="10" t="s">
        <v>70</v>
      </c>
      <c r="BTY3" s="10" t="s">
        <v>67</v>
      </c>
      <c r="BTZ3" s="10" t="s">
        <v>70</v>
      </c>
      <c r="BUA3" s="10" t="s">
        <v>67</v>
      </c>
      <c r="BUB3" s="10" t="s">
        <v>70</v>
      </c>
      <c r="BUC3" s="10" t="s">
        <v>67</v>
      </c>
      <c r="BUD3" s="10" t="s">
        <v>70</v>
      </c>
      <c r="BUE3" s="10" t="s">
        <v>67</v>
      </c>
      <c r="BUF3" s="10" t="s">
        <v>70</v>
      </c>
      <c r="BUG3" s="10" t="s">
        <v>67</v>
      </c>
      <c r="BUH3" s="10" t="s">
        <v>70</v>
      </c>
      <c r="BUI3" s="10" t="s">
        <v>67</v>
      </c>
      <c r="BUJ3" s="10" t="s">
        <v>70</v>
      </c>
      <c r="BUK3" s="10" t="s">
        <v>67</v>
      </c>
      <c r="BUL3" s="10" t="s">
        <v>70</v>
      </c>
      <c r="BUM3" s="10" t="s">
        <v>67</v>
      </c>
      <c r="BUN3" s="10" t="s">
        <v>70</v>
      </c>
      <c r="BUO3" s="10" t="s">
        <v>67</v>
      </c>
      <c r="BUP3" s="10" t="s">
        <v>70</v>
      </c>
      <c r="BUQ3" s="10" t="s">
        <v>67</v>
      </c>
      <c r="BUR3" s="10" t="s">
        <v>70</v>
      </c>
      <c r="BUS3" s="10" t="s">
        <v>67</v>
      </c>
      <c r="BUT3" s="10" t="s">
        <v>70</v>
      </c>
      <c r="BUU3" s="10" t="s">
        <v>67</v>
      </c>
      <c r="BUV3" s="10" t="s">
        <v>70</v>
      </c>
      <c r="BUW3" s="10" t="s">
        <v>67</v>
      </c>
      <c r="BUX3" s="10" t="s">
        <v>70</v>
      </c>
      <c r="BUY3" s="10" t="s">
        <v>67</v>
      </c>
      <c r="BUZ3" s="10" t="s">
        <v>70</v>
      </c>
      <c r="BVA3" s="10" t="s">
        <v>67</v>
      </c>
      <c r="BVB3" s="10" t="s">
        <v>70</v>
      </c>
      <c r="BVC3" s="10" t="s">
        <v>67</v>
      </c>
      <c r="BVD3" s="10" t="s">
        <v>70</v>
      </c>
      <c r="BVE3" s="10" t="s">
        <v>67</v>
      </c>
      <c r="BVF3" s="10" t="s">
        <v>70</v>
      </c>
      <c r="BVG3" s="10" t="s">
        <v>67</v>
      </c>
      <c r="BVH3" s="10" t="s">
        <v>70</v>
      </c>
      <c r="BVI3" s="10" t="s">
        <v>67</v>
      </c>
      <c r="BVJ3" s="10" t="s">
        <v>70</v>
      </c>
      <c r="BVK3" s="10" t="s">
        <v>67</v>
      </c>
      <c r="BVL3" s="10" t="s">
        <v>70</v>
      </c>
      <c r="BVM3" s="10" t="s">
        <v>67</v>
      </c>
      <c r="BVN3" s="10" t="s">
        <v>70</v>
      </c>
      <c r="BVO3" s="10" t="s">
        <v>67</v>
      </c>
      <c r="BVP3" s="10" t="s">
        <v>70</v>
      </c>
      <c r="BVQ3" s="10" t="s">
        <v>67</v>
      </c>
      <c r="BVR3" s="10" t="s">
        <v>70</v>
      </c>
      <c r="BVS3" s="10" t="s">
        <v>67</v>
      </c>
      <c r="BVT3" s="10" t="s">
        <v>70</v>
      </c>
      <c r="BVU3" s="10" t="s">
        <v>67</v>
      </c>
      <c r="BVV3" s="10" t="s">
        <v>70</v>
      </c>
      <c r="BVW3" s="10" t="s">
        <v>67</v>
      </c>
      <c r="BVX3" s="10" t="s">
        <v>70</v>
      </c>
      <c r="BVY3" s="10" t="s">
        <v>67</v>
      </c>
      <c r="BVZ3" s="10" t="s">
        <v>70</v>
      </c>
      <c r="BWA3" s="10" t="s">
        <v>67</v>
      </c>
      <c r="BWB3" s="10" t="s">
        <v>70</v>
      </c>
      <c r="BWC3" s="10" t="s">
        <v>67</v>
      </c>
      <c r="BWD3" s="10" t="s">
        <v>70</v>
      </c>
      <c r="BWE3" s="10" t="s">
        <v>67</v>
      </c>
      <c r="BWF3" s="10" t="s">
        <v>70</v>
      </c>
      <c r="BWG3" s="10" t="s">
        <v>67</v>
      </c>
      <c r="BWH3" s="10" t="s">
        <v>70</v>
      </c>
      <c r="BWI3" s="10" t="s">
        <v>67</v>
      </c>
      <c r="BWJ3" s="10" t="s">
        <v>70</v>
      </c>
      <c r="BWK3" s="10" t="s">
        <v>67</v>
      </c>
      <c r="BWL3" s="10" t="s">
        <v>70</v>
      </c>
      <c r="BWM3" s="10" t="s">
        <v>67</v>
      </c>
      <c r="BWN3" s="10" t="s">
        <v>70</v>
      </c>
      <c r="BWO3" s="10" t="s">
        <v>67</v>
      </c>
      <c r="BWP3" s="10" t="s">
        <v>70</v>
      </c>
      <c r="BWQ3" s="10" t="s">
        <v>67</v>
      </c>
      <c r="BWR3" s="10" t="s">
        <v>70</v>
      </c>
      <c r="BWS3" s="10" t="s">
        <v>67</v>
      </c>
      <c r="BWT3" s="10" t="s">
        <v>70</v>
      </c>
      <c r="BWU3" s="10" t="s">
        <v>67</v>
      </c>
      <c r="BWV3" s="10" t="s">
        <v>70</v>
      </c>
      <c r="BWW3" s="10" t="s">
        <v>67</v>
      </c>
      <c r="BWX3" s="10" t="s">
        <v>70</v>
      </c>
      <c r="BWY3" s="10" t="s">
        <v>67</v>
      </c>
      <c r="BWZ3" s="10" t="s">
        <v>70</v>
      </c>
      <c r="BXA3" s="10" t="s">
        <v>67</v>
      </c>
      <c r="BXB3" s="10" t="s">
        <v>70</v>
      </c>
      <c r="BXC3" s="10" t="s">
        <v>67</v>
      </c>
      <c r="BXD3" s="10" t="s">
        <v>70</v>
      </c>
      <c r="BXE3" s="10" t="s">
        <v>67</v>
      </c>
      <c r="BXF3" s="10" t="s">
        <v>70</v>
      </c>
      <c r="BXG3" s="10" t="s">
        <v>67</v>
      </c>
      <c r="BXH3" s="10" t="s">
        <v>70</v>
      </c>
      <c r="BXI3" s="10" t="s">
        <v>67</v>
      </c>
      <c r="BXJ3" s="10" t="s">
        <v>70</v>
      </c>
      <c r="BXK3" s="10" t="s">
        <v>67</v>
      </c>
      <c r="BXL3" s="10" t="s">
        <v>70</v>
      </c>
      <c r="BXM3" s="10" t="s">
        <v>67</v>
      </c>
      <c r="BXN3" s="10" t="s">
        <v>70</v>
      </c>
      <c r="BXO3" s="10" t="s">
        <v>67</v>
      </c>
      <c r="BXP3" s="10" t="s">
        <v>70</v>
      </c>
      <c r="BXQ3" s="10" t="s">
        <v>67</v>
      </c>
      <c r="BXR3" s="10" t="s">
        <v>70</v>
      </c>
      <c r="BXS3" s="10" t="s">
        <v>67</v>
      </c>
      <c r="BXT3" s="10" t="s">
        <v>70</v>
      </c>
      <c r="BXU3" s="10" t="s">
        <v>67</v>
      </c>
      <c r="BXV3" s="10" t="s">
        <v>70</v>
      </c>
      <c r="BXW3" s="10" t="s">
        <v>67</v>
      </c>
      <c r="BXX3" s="10" t="s">
        <v>70</v>
      </c>
      <c r="BXY3" s="10" t="s">
        <v>67</v>
      </c>
      <c r="BXZ3" s="10" t="s">
        <v>70</v>
      </c>
      <c r="BYA3" s="10" t="s">
        <v>67</v>
      </c>
      <c r="BYB3" s="10" t="s">
        <v>70</v>
      </c>
      <c r="BYC3" s="10" t="s">
        <v>67</v>
      </c>
      <c r="BYD3" s="10" t="s">
        <v>70</v>
      </c>
      <c r="BYE3" s="10" t="s">
        <v>67</v>
      </c>
      <c r="BYF3" s="10" t="s">
        <v>70</v>
      </c>
      <c r="BYG3" s="10" t="s">
        <v>67</v>
      </c>
      <c r="BYH3" s="10" t="s">
        <v>70</v>
      </c>
      <c r="BYI3" s="10" t="s">
        <v>67</v>
      </c>
      <c r="BYJ3" s="10" t="s">
        <v>70</v>
      </c>
      <c r="BYK3" s="10" t="s">
        <v>67</v>
      </c>
      <c r="BYL3" s="10" t="s">
        <v>70</v>
      </c>
      <c r="BYM3" s="10" t="s">
        <v>67</v>
      </c>
      <c r="BYN3" s="10" t="s">
        <v>70</v>
      </c>
      <c r="BYO3" s="10" t="s">
        <v>67</v>
      </c>
      <c r="BYP3" s="10" t="s">
        <v>70</v>
      </c>
      <c r="BYQ3" s="10" t="s">
        <v>67</v>
      </c>
      <c r="BYR3" s="10" t="s">
        <v>70</v>
      </c>
      <c r="BYS3" s="10" t="s">
        <v>67</v>
      </c>
      <c r="BYT3" s="10" t="s">
        <v>70</v>
      </c>
      <c r="BYU3" s="10" t="s">
        <v>67</v>
      </c>
      <c r="BYV3" s="10" t="s">
        <v>70</v>
      </c>
      <c r="BYW3" s="10" t="s">
        <v>67</v>
      </c>
      <c r="BYX3" s="10" t="s">
        <v>70</v>
      </c>
      <c r="BYY3" s="10" t="s">
        <v>67</v>
      </c>
      <c r="BYZ3" s="10" t="s">
        <v>70</v>
      </c>
      <c r="BZA3" s="10" t="s">
        <v>67</v>
      </c>
      <c r="BZB3" s="10" t="s">
        <v>70</v>
      </c>
      <c r="BZC3" s="10" t="s">
        <v>67</v>
      </c>
      <c r="BZD3" s="10" t="s">
        <v>70</v>
      </c>
      <c r="BZE3" s="10" t="s">
        <v>67</v>
      </c>
      <c r="BZF3" s="10" t="s">
        <v>70</v>
      </c>
      <c r="BZG3" s="10" t="s">
        <v>67</v>
      </c>
      <c r="BZH3" s="10" t="s">
        <v>70</v>
      </c>
      <c r="BZI3" s="10" t="s">
        <v>67</v>
      </c>
      <c r="BZJ3" s="10" t="s">
        <v>70</v>
      </c>
      <c r="BZK3" s="10" t="s">
        <v>67</v>
      </c>
      <c r="BZL3" s="10" t="s">
        <v>70</v>
      </c>
      <c r="BZM3" s="10" t="s">
        <v>67</v>
      </c>
      <c r="BZN3" s="10" t="s">
        <v>70</v>
      </c>
      <c r="BZO3" s="10" t="s">
        <v>67</v>
      </c>
      <c r="BZP3" s="10" t="s">
        <v>70</v>
      </c>
      <c r="BZQ3" s="10" t="s">
        <v>67</v>
      </c>
      <c r="BZR3" s="10" t="s">
        <v>70</v>
      </c>
      <c r="BZS3" s="10" t="s">
        <v>67</v>
      </c>
      <c r="BZT3" s="10" t="s">
        <v>70</v>
      </c>
      <c r="BZU3" s="10" t="s">
        <v>67</v>
      </c>
      <c r="BZV3" s="10" t="s">
        <v>70</v>
      </c>
      <c r="BZW3" s="10" t="s">
        <v>67</v>
      </c>
      <c r="BZX3" s="10" t="s">
        <v>70</v>
      </c>
      <c r="BZY3" s="10" t="s">
        <v>67</v>
      </c>
      <c r="BZZ3" s="10" t="s">
        <v>70</v>
      </c>
      <c r="CAA3" s="10" t="s">
        <v>67</v>
      </c>
      <c r="CAB3" s="10" t="s">
        <v>70</v>
      </c>
      <c r="CAC3" s="10" t="s">
        <v>67</v>
      </c>
      <c r="CAD3" s="10" t="s">
        <v>70</v>
      </c>
      <c r="CAE3" s="10" t="s">
        <v>67</v>
      </c>
      <c r="CAF3" s="10" t="s">
        <v>70</v>
      </c>
      <c r="CAG3" s="10" t="s">
        <v>67</v>
      </c>
      <c r="CAH3" s="10" t="s">
        <v>70</v>
      </c>
      <c r="CAI3" s="10" t="s">
        <v>67</v>
      </c>
      <c r="CAJ3" s="10" t="s">
        <v>70</v>
      </c>
      <c r="CAK3" s="10" t="s">
        <v>67</v>
      </c>
      <c r="CAL3" s="10" t="s">
        <v>70</v>
      </c>
      <c r="CAM3" s="10" t="s">
        <v>67</v>
      </c>
      <c r="CAN3" s="10" t="s">
        <v>70</v>
      </c>
      <c r="CAO3" s="10" t="s">
        <v>67</v>
      </c>
      <c r="CAP3" s="10" t="s">
        <v>70</v>
      </c>
      <c r="CAQ3" s="10" t="s">
        <v>67</v>
      </c>
      <c r="CAR3" s="10" t="s">
        <v>70</v>
      </c>
      <c r="CAS3" s="10" t="s">
        <v>67</v>
      </c>
      <c r="CAT3" s="10" t="s">
        <v>70</v>
      </c>
      <c r="CAU3" s="10" t="s">
        <v>67</v>
      </c>
      <c r="CAV3" s="10" t="s">
        <v>70</v>
      </c>
      <c r="CAW3" s="10" t="s">
        <v>67</v>
      </c>
      <c r="CAX3" s="10" t="s">
        <v>70</v>
      </c>
      <c r="CAY3" s="10" t="s">
        <v>67</v>
      </c>
      <c r="CAZ3" s="10" t="s">
        <v>70</v>
      </c>
      <c r="CBA3" s="10" t="s">
        <v>67</v>
      </c>
      <c r="CBB3" s="10" t="s">
        <v>70</v>
      </c>
      <c r="CBC3" s="10" t="s">
        <v>67</v>
      </c>
      <c r="CBD3" s="10" t="s">
        <v>70</v>
      </c>
      <c r="CBE3" s="10" t="s">
        <v>67</v>
      </c>
      <c r="CBF3" s="10" t="s">
        <v>70</v>
      </c>
      <c r="CBG3" s="10" t="s">
        <v>67</v>
      </c>
      <c r="CBH3" s="10" t="s">
        <v>70</v>
      </c>
      <c r="CBI3" s="10" t="s">
        <v>67</v>
      </c>
      <c r="CBJ3" s="10" t="s">
        <v>70</v>
      </c>
      <c r="CBK3" s="10" t="s">
        <v>67</v>
      </c>
      <c r="CBL3" s="10" t="s">
        <v>70</v>
      </c>
      <c r="CBM3" s="10" t="s">
        <v>67</v>
      </c>
      <c r="CBN3" s="10" t="s">
        <v>70</v>
      </c>
      <c r="CBO3" s="10" t="s">
        <v>67</v>
      </c>
      <c r="CBP3" s="10" t="s">
        <v>70</v>
      </c>
      <c r="CBQ3" s="10" t="s">
        <v>67</v>
      </c>
      <c r="CBR3" s="10" t="s">
        <v>70</v>
      </c>
      <c r="CBS3" s="10" t="s">
        <v>67</v>
      </c>
      <c r="CBT3" s="10" t="s">
        <v>70</v>
      </c>
      <c r="CBU3" s="10" t="s">
        <v>67</v>
      </c>
      <c r="CBV3" s="10" t="s">
        <v>70</v>
      </c>
      <c r="CBW3" s="10" t="s">
        <v>67</v>
      </c>
      <c r="CBX3" s="10" t="s">
        <v>70</v>
      </c>
      <c r="CBY3" s="10" t="s">
        <v>67</v>
      </c>
      <c r="CBZ3" s="10" t="s">
        <v>70</v>
      </c>
      <c r="CCA3" s="10" t="s">
        <v>67</v>
      </c>
      <c r="CCB3" s="10" t="s">
        <v>70</v>
      </c>
      <c r="CCC3" s="10" t="s">
        <v>67</v>
      </c>
      <c r="CCD3" s="10" t="s">
        <v>70</v>
      </c>
      <c r="CCE3" s="10" t="s">
        <v>67</v>
      </c>
      <c r="CCF3" s="10" t="s">
        <v>70</v>
      </c>
      <c r="CCG3" s="10" t="s">
        <v>67</v>
      </c>
      <c r="CCH3" s="10" t="s">
        <v>70</v>
      </c>
      <c r="CCI3" s="10" t="s">
        <v>67</v>
      </c>
      <c r="CCJ3" s="10" t="s">
        <v>70</v>
      </c>
      <c r="CCK3" s="10" t="s">
        <v>67</v>
      </c>
      <c r="CCL3" s="10" t="s">
        <v>70</v>
      </c>
      <c r="CCM3" s="10" t="s">
        <v>67</v>
      </c>
      <c r="CCN3" s="10" t="s">
        <v>70</v>
      </c>
      <c r="CCO3" s="10" t="s">
        <v>67</v>
      </c>
      <c r="CCP3" s="10" t="s">
        <v>70</v>
      </c>
      <c r="CCQ3" s="10" t="s">
        <v>67</v>
      </c>
      <c r="CCR3" s="10" t="s">
        <v>70</v>
      </c>
      <c r="CCS3" s="10" t="s">
        <v>67</v>
      </c>
      <c r="CCT3" s="10" t="s">
        <v>70</v>
      </c>
      <c r="CCU3" s="10" t="s">
        <v>67</v>
      </c>
      <c r="CCV3" s="10" t="s">
        <v>70</v>
      </c>
      <c r="CCW3" s="10" t="s">
        <v>67</v>
      </c>
      <c r="CCX3" s="10" t="s">
        <v>70</v>
      </c>
      <c r="CCY3" s="10" t="s">
        <v>67</v>
      </c>
      <c r="CCZ3" s="10" t="s">
        <v>70</v>
      </c>
      <c r="CDA3" s="10" t="s">
        <v>67</v>
      </c>
      <c r="CDB3" s="10" t="s">
        <v>70</v>
      </c>
      <c r="CDC3" s="10" t="s">
        <v>67</v>
      </c>
      <c r="CDD3" s="10" t="s">
        <v>70</v>
      </c>
      <c r="CDE3" s="10" t="s">
        <v>67</v>
      </c>
      <c r="CDF3" s="10" t="s">
        <v>70</v>
      </c>
      <c r="CDG3" s="10" t="s">
        <v>67</v>
      </c>
      <c r="CDH3" s="10" t="s">
        <v>70</v>
      </c>
      <c r="CDI3" s="10" t="s">
        <v>67</v>
      </c>
      <c r="CDJ3" s="10" t="s">
        <v>70</v>
      </c>
      <c r="CDK3" s="10" t="s">
        <v>67</v>
      </c>
      <c r="CDL3" s="10" t="s">
        <v>70</v>
      </c>
      <c r="CDM3" s="10" t="s">
        <v>67</v>
      </c>
      <c r="CDN3" s="10" t="s">
        <v>70</v>
      </c>
      <c r="CDO3" s="10" t="s">
        <v>67</v>
      </c>
      <c r="CDP3" s="10" t="s">
        <v>70</v>
      </c>
      <c r="CDQ3" s="10" t="s">
        <v>67</v>
      </c>
      <c r="CDR3" s="10" t="s">
        <v>70</v>
      </c>
      <c r="CDS3" s="10" t="s">
        <v>67</v>
      </c>
      <c r="CDT3" s="10" t="s">
        <v>70</v>
      </c>
      <c r="CDU3" s="10" t="s">
        <v>67</v>
      </c>
      <c r="CDV3" s="10" t="s">
        <v>70</v>
      </c>
      <c r="CDW3" s="10" t="s">
        <v>67</v>
      </c>
      <c r="CDX3" s="10" t="s">
        <v>70</v>
      </c>
      <c r="CDY3" s="10" t="s">
        <v>67</v>
      </c>
      <c r="CDZ3" s="10" t="s">
        <v>70</v>
      </c>
      <c r="CEA3" s="10" t="s">
        <v>67</v>
      </c>
      <c r="CEB3" s="10" t="s">
        <v>70</v>
      </c>
      <c r="CEC3" s="10" t="s">
        <v>67</v>
      </c>
      <c r="CED3" s="10" t="s">
        <v>70</v>
      </c>
      <c r="CEE3" s="10" t="s">
        <v>67</v>
      </c>
      <c r="CEF3" s="10" t="s">
        <v>70</v>
      </c>
      <c r="CEG3" s="10" t="s">
        <v>67</v>
      </c>
      <c r="CEH3" s="10" t="s">
        <v>70</v>
      </c>
      <c r="CEI3" s="10" t="s">
        <v>67</v>
      </c>
      <c r="CEJ3" s="10" t="s">
        <v>70</v>
      </c>
      <c r="CEK3" s="10" t="s">
        <v>67</v>
      </c>
      <c r="CEL3" s="10" t="s">
        <v>70</v>
      </c>
      <c r="CEM3" s="10" t="s">
        <v>67</v>
      </c>
      <c r="CEN3" s="10" t="s">
        <v>70</v>
      </c>
      <c r="CEO3" s="10" t="s">
        <v>67</v>
      </c>
      <c r="CEP3" s="10" t="s">
        <v>70</v>
      </c>
      <c r="CEQ3" s="10" t="s">
        <v>67</v>
      </c>
      <c r="CER3" s="10" t="s">
        <v>70</v>
      </c>
      <c r="CES3" s="10" t="s">
        <v>67</v>
      </c>
      <c r="CET3" s="10" t="s">
        <v>70</v>
      </c>
      <c r="CEU3" s="10" t="s">
        <v>67</v>
      </c>
      <c r="CEV3" s="10" t="s">
        <v>70</v>
      </c>
      <c r="CEW3" s="10" t="s">
        <v>67</v>
      </c>
      <c r="CEX3" s="10" t="s">
        <v>70</v>
      </c>
      <c r="CEY3" s="10" t="s">
        <v>67</v>
      </c>
      <c r="CEZ3" s="10" t="s">
        <v>70</v>
      </c>
      <c r="CFA3" s="10" t="s">
        <v>67</v>
      </c>
      <c r="CFB3" s="10" t="s">
        <v>70</v>
      </c>
      <c r="CFC3" s="10" t="s">
        <v>67</v>
      </c>
      <c r="CFD3" s="10" t="s">
        <v>70</v>
      </c>
      <c r="CFE3" s="10" t="s">
        <v>67</v>
      </c>
      <c r="CFF3" s="10" t="s">
        <v>70</v>
      </c>
      <c r="CFG3" s="10" t="s">
        <v>67</v>
      </c>
      <c r="CFH3" s="10" t="s">
        <v>70</v>
      </c>
      <c r="CFI3" s="10" t="s">
        <v>67</v>
      </c>
      <c r="CFJ3" s="10" t="s">
        <v>70</v>
      </c>
      <c r="CFK3" s="10" t="s">
        <v>67</v>
      </c>
      <c r="CFL3" s="10" t="s">
        <v>70</v>
      </c>
      <c r="CFM3" s="10" t="s">
        <v>67</v>
      </c>
      <c r="CFN3" s="10" t="s">
        <v>70</v>
      </c>
      <c r="CFO3" s="10" t="s">
        <v>67</v>
      </c>
      <c r="CFP3" s="10" t="s">
        <v>70</v>
      </c>
      <c r="CFQ3" s="10" t="s">
        <v>67</v>
      </c>
      <c r="CFR3" s="10" t="s">
        <v>70</v>
      </c>
      <c r="CFS3" s="10" t="s">
        <v>67</v>
      </c>
      <c r="CFT3" s="10" t="s">
        <v>70</v>
      </c>
      <c r="CFU3" s="10" t="s">
        <v>67</v>
      </c>
      <c r="CFV3" s="10" t="s">
        <v>70</v>
      </c>
      <c r="CFW3" s="10" t="s">
        <v>67</v>
      </c>
      <c r="CFX3" s="10" t="s">
        <v>70</v>
      </c>
      <c r="CFY3" s="10" t="s">
        <v>67</v>
      </c>
      <c r="CFZ3" s="10" t="s">
        <v>70</v>
      </c>
      <c r="CGA3" s="10" t="s">
        <v>67</v>
      </c>
      <c r="CGB3" s="10" t="s">
        <v>70</v>
      </c>
      <c r="CGC3" s="10" t="s">
        <v>67</v>
      </c>
      <c r="CGD3" s="10" t="s">
        <v>70</v>
      </c>
      <c r="CGE3" s="10" t="s">
        <v>67</v>
      </c>
      <c r="CGF3" s="10" t="s">
        <v>70</v>
      </c>
      <c r="CGG3" s="10" t="s">
        <v>67</v>
      </c>
      <c r="CGH3" s="10" t="s">
        <v>70</v>
      </c>
      <c r="CGI3" s="10" t="s">
        <v>67</v>
      </c>
      <c r="CGJ3" s="10" t="s">
        <v>70</v>
      </c>
      <c r="CGK3" s="10" t="s">
        <v>67</v>
      </c>
      <c r="CGL3" s="10" t="s">
        <v>70</v>
      </c>
      <c r="CGM3" s="10" t="s">
        <v>67</v>
      </c>
      <c r="CGN3" s="10" t="s">
        <v>70</v>
      </c>
      <c r="CGO3" s="10" t="s">
        <v>67</v>
      </c>
      <c r="CGP3" s="10" t="s">
        <v>70</v>
      </c>
      <c r="CGQ3" s="10" t="s">
        <v>67</v>
      </c>
      <c r="CGR3" s="10" t="s">
        <v>70</v>
      </c>
      <c r="CGS3" s="10" t="s">
        <v>67</v>
      </c>
      <c r="CGT3" s="10" t="s">
        <v>70</v>
      </c>
      <c r="CGU3" s="10" t="s">
        <v>67</v>
      </c>
      <c r="CGV3" s="10" t="s">
        <v>70</v>
      </c>
      <c r="CGW3" s="10" t="s">
        <v>67</v>
      </c>
      <c r="CGX3" s="10" t="s">
        <v>70</v>
      </c>
      <c r="CGY3" s="10" t="s">
        <v>67</v>
      </c>
      <c r="CGZ3" s="10" t="s">
        <v>70</v>
      </c>
      <c r="CHA3" s="10" t="s">
        <v>67</v>
      </c>
      <c r="CHB3" s="10" t="s">
        <v>70</v>
      </c>
      <c r="CHC3" s="10" t="s">
        <v>67</v>
      </c>
      <c r="CHD3" s="10" t="s">
        <v>70</v>
      </c>
      <c r="CHE3" s="10" t="s">
        <v>67</v>
      </c>
      <c r="CHF3" s="10" t="s">
        <v>70</v>
      </c>
      <c r="CHG3" s="10" t="s">
        <v>67</v>
      </c>
      <c r="CHH3" s="10" t="s">
        <v>70</v>
      </c>
      <c r="CHI3" s="10" t="s">
        <v>67</v>
      </c>
      <c r="CHJ3" s="10" t="s">
        <v>70</v>
      </c>
      <c r="CHK3" s="10" t="s">
        <v>67</v>
      </c>
      <c r="CHL3" s="10" t="s">
        <v>70</v>
      </c>
      <c r="CHM3" s="10" t="s">
        <v>67</v>
      </c>
      <c r="CHN3" s="10" t="s">
        <v>70</v>
      </c>
      <c r="CHO3" s="10" t="s">
        <v>67</v>
      </c>
      <c r="CHP3" s="10" t="s">
        <v>70</v>
      </c>
      <c r="CHQ3" s="10" t="s">
        <v>67</v>
      </c>
      <c r="CHR3" s="10" t="s">
        <v>70</v>
      </c>
      <c r="CHS3" s="10" t="s">
        <v>67</v>
      </c>
      <c r="CHT3" s="10" t="s">
        <v>70</v>
      </c>
      <c r="CHU3" s="10" t="s">
        <v>67</v>
      </c>
      <c r="CHV3" s="10" t="s">
        <v>70</v>
      </c>
      <c r="CHW3" s="10" t="s">
        <v>67</v>
      </c>
      <c r="CHX3" s="10" t="s">
        <v>70</v>
      </c>
      <c r="CHY3" s="10" t="s">
        <v>67</v>
      </c>
      <c r="CHZ3" s="10" t="s">
        <v>70</v>
      </c>
      <c r="CIA3" s="10" t="s">
        <v>67</v>
      </c>
      <c r="CIB3" s="10" t="s">
        <v>70</v>
      </c>
      <c r="CIC3" s="10" t="s">
        <v>67</v>
      </c>
      <c r="CID3" s="10" t="s">
        <v>70</v>
      </c>
      <c r="CIE3" s="10" t="s">
        <v>67</v>
      </c>
      <c r="CIF3" s="10" t="s">
        <v>70</v>
      </c>
      <c r="CIG3" s="10" t="s">
        <v>67</v>
      </c>
      <c r="CIH3" s="10" t="s">
        <v>70</v>
      </c>
      <c r="CII3" s="10" t="s">
        <v>67</v>
      </c>
      <c r="CIJ3" s="10" t="s">
        <v>70</v>
      </c>
      <c r="CIK3" s="10" t="s">
        <v>67</v>
      </c>
      <c r="CIL3" s="10" t="s">
        <v>70</v>
      </c>
      <c r="CIM3" s="10" t="s">
        <v>67</v>
      </c>
      <c r="CIN3" s="10" t="s">
        <v>70</v>
      </c>
      <c r="CIO3" s="10" t="s">
        <v>67</v>
      </c>
      <c r="CIP3" s="10" t="s">
        <v>70</v>
      </c>
      <c r="CIQ3" s="10" t="s">
        <v>67</v>
      </c>
      <c r="CIR3" s="10" t="s">
        <v>70</v>
      </c>
      <c r="CIS3" s="10" t="s">
        <v>67</v>
      </c>
      <c r="CIT3" s="10" t="s">
        <v>70</v>
      </c>
      <c r="CIU3" s="10" t="s">
        <v>67</v>
      </c>
      <c r="CIV3" s="10" t="s">
        <v>70</v>
      </c>
      <c r="CIW3" s="10" t="s">
        <v>67</v>
      </c>
      <c r="CIX3" s="10" t="s">
        <v>70</v>
      </c>
      <c r="CIY3" s="10" t="s">
        <v>67</v>
      </c>
      <c r="CIZ3" s="10" t="s">
        <v>70</v>
      </c>
      <c r="CJA3" s="10" t="s">
        <v>67</v>
      </c>
      <c r="CJB3" s="10" t="s">
        <v>70</v>
      </c>
      <c r="CJC3" s="10" t="s">
        <v>67</v>
      </c>
      <c r="CJD3" s="10" t="s">
        <v>70</v>
      </c>
      <c r="CJE3" s="10" t="s">
        <v>67</v>
      </c>
      <c r="CJF3" s="10" t="s">
        <v>70</v>
      </c>
      <c r="CJG3" s="10" t="s">
        <v>67</v>
      </c>
      <c r="CJH3" s="10" t="s">
        <v>70</v>
      </c>
      <c r="CJI3" s="10" t="s">
        <v>67</v>
      </c>
      <c r="CJJ3" s="10" t="s">
        <v>70</v>
      </c>
      <c r="CJK3" s="10" t="s">
        <v>67</v>
      </c>
      <c r="CJL3" s="10" t="s">
        <v>70</v>
      </c>
      <c r="CJM3" s="10" t="s">
        <v>67</v>
      </c>
      <c r="CJN3" s="10" t="s">
        <v>70</v>
      </c>
      <c r="CJO3" s="10" t="s">
        <v>67</v>
      </c>
      <c r="CJP3" s="10" t="s">
        <v>70</v>
      </c>
      <c r="CJQ3" s="10" t="s">
        <v>67</v>
      </c>
      <c r="CJR3" s="10" t="s">
        <v>70</v>
      </c>
      <c r="CJS3" s="10" t="s">
        <v>67</v>
      </c>
      <c r="CJT3" s="10" t="s">
        <v>70</v>
      </c>
      <c r="CJU3" s="10" t="s">
        <v>67</v>
      </c>
      <c r="CJV3" s="10" t="s">
        <v>70</v>
      </c>
      <c r="CJW3" s="10" t="s">
        <v>67</v>
      </c>
      <c r="CJX3" s="10" t="s">
        <v>70</v>
      </c>
      <c r="CJY3" s="10" t="s">
        <v>67</v>
      </c>
      <c r="CJZ3" s="10" t="s">
        <v>70</v>
      </c>
      <c r="CKA3" s="10" t="s">
        <v>67</v>
      </c>
      <c r="CKB3" s="10" t="s">
        <v>70</v>
      </c>
      <c r="CKC3" s="10" t="s">
        <v>67</v>
      </c>
      <c r="CKD3" s="10" t="s">
        <v>70</v>
      </c>
      <c r="CKE3" s="10" t="s">
        <v>67</v>
      </c>
      <c r="CKF3" s="10" t="s">
        <v>70</v>
      </c>
      <c r="CKG3" s="10" t="s">
        <v>67</v>
      </c>
      <c r="CKH3" s="10" t="s">
        <v>70</v>
      </c>
      <c r="CKI3" s="10" t="s">
        <v>67</v>
      </c>
      <c r="CKJ3" s="10" t="s">
        <v>70</v>
      </c>
      <c r="CKK3" s="10" t="s">
        <v>67</v>
      </c>
      <c r="CKL3" s="10" t="s">
        <v>70</v>
      </c>
      <c r="CKM3" s="10" t="s">
        <v>67</v>
      </c>
      <c r="CKN3" s="10" t="s">
        <v>70</v>
      </c>
      <c r="CKO3" s="10" t="s">
        <v>67</v>
      </c>
      <c r="CKP3" s="10" t="s">
        <v>70</v>
      </c>
      <c r="CKQ3" s="10" t="s">
        <v>67</v>
      </c>
      <c r="CKR3" s="10" t="s">
        <v>70</v>
      </c>
      <c r="CKS3" s="10" t="s">
        <v>67</v>
      </c>
      <c r="CKT3" s="10" t="s">
        <v>70</v>
      </c>
      <c r="CKU3" s="10" t="s">
        <v>67</v>
      </c>
      <c r="CKV3" s="10" t="s">
        <v>70</v>
      </c>
      <c r="CKW3" s="10" t="s">
        <v>67</v>
      </c>
      <c r="CKX3" s="10" t="s">
        <v>70</v>
      </c>
      <c r="CKY3" s="10" t="s">
        <v>67</v>
      </c>
      <c r="CKZ3" s="10" t="s">
        <v>70</v>
      </c>
      <c r="CLA3" s="10" t="s">
        <v>67</v>
      </c>
      <c r="CLB3" s="10" t="s">
        <v>70</v>
      </c>
      <c r="CLC3" s="10" t="s">
        <v>67</v>
      </c>
      <c r="CLD3" s="10" t="s">
        <v>70</v>
      </c>
      <c r="CLE3" s="10" t="s">
        <v>67</v>
      </c>
      <c r="CLF3" s="10" t="s">
        <v>70</v>
      </c>
      <c r="CLG3" s="10" t="s">
        <v>67</v>
      </c>
      <c r="CLH3" s="10" t="s">
        <v>70</v>
      </c>
      <c r="CLI3" s="10" t="s">
        <v>67</v>
      </c>
      <c r="CLJ3" s="10" t="s">
        <v>70</v>
      </c>
      <c r="CLK3" s="10" t="s">
        <v>67</v>
      </c>
      <c r="CLL3" s="10" t="s">
        <v>70</v>
      </c>
      <c r="CLM3" s="10" t="s">
        <v>67</v>
      </c>
      <c r="CLN3" s="10" t="s">
        <v>70</v>
      </c>
      <c r="CLO3" s="10" t="s">
        <v>67</v>
      </c>
      <c r="CLP3" s="10" t="s">
        <v>70</v>
      </c>
      <c r="CLQ3" s="10" t="s">
        <v>67</v>
      </c>
      <c r="CLR3" s="10" t="s">
        <v>70</v>
      </c>
      <c r="CLS3" s="10" t="s">
        <v>67</v>
      </c>
      <c r="CLT3" s="10" t="s">
        <v>70</v>
      </c>
      <c r="CLU3" s="10" t="s">
        <v>67</v>
      </c>
      <c r="CLV3" s="10" t="s">
        <v>70</v>
      </c>
      <c r="CLW3" s="10" t="s">
        <v>67</v>
      </c>
      <c r="CLX3" s="10" t="s">
        <v>70</v>
      </c>
      <c r="CLY3" s="10" t="s">
        <v>67</v>
      </c>
      <c r="CLZ3" s="10" t="s">
        <v>70</v>
      </c>
      <c r="CMA3" s="10" t="s">
        <v>67</v>
      </c>
      <c r="CMB3" s="10" t="s">
        <v>70</v>
      </c>
      <c r="CMC3" s="10" t="s">
        <v>67</v>
      </c>
      <c r="CMD3" s="10" t="s">
        <v>70</v>
      </c>
      <c r="CME3" s="10" t="s">
        <v>67</v>
      </c>
      <c r="CMF3" s="10" t="s">
        <v>70</v>
      </c>
      <c r="CMG3" s="10" t="s">
        <v>67</v>
      </c>
      <c r="CMH3" s="10" t="s">
        <v>70</v>
      </c>
      <c r="CMI3" s="10" t="s">
        <v>67</v>
      </c>
      <c r="CMJ3" s="10" t="s">
        <v>70</v>
      </c>
      <c r="CMK3" s="10" t="s">
        <v>67</v>
      </c>
      <c r="CML3" s="10" t="s">
        <v>70</v>
      </c>
      <c r="CMM3" s="10" t="s">
        <v>67</v>
      </c>
      <c r="CMN3" s="10" t="s">
        <v>70</v>
      </c>
      <c r="CMO3" s="10" t="s">
        <v>67</v>
      </c>
      <c r="CMP3" s="10" t="s">
        <v>70</v>
      </c>
      <c r="CMQ3" s="10" t="s">
        <v>67</v>
      </c>
      <c r="CMR3" s="10" t="s">
        <v>70</v>
      </c>
      <c r="CMS3" s="10" t="s">
        <v>67</v>
      </c>
      <c r="CMT3" s="10" t="s">
        <v>70</v>
      </c>
      <c r="CMU3" s="10" t="s">
        <v>67</v>
      </c>
      <c r="CMV3" s="10" t="s">
        <v>70</v>
      </c>
      <c r="CMW3" s="10" t="s">
        <v>67</v>
      </c>
      <c r="CMX3" s="10" t="s">
        <v>70</v>
      </c>
      <c r="CMY3" s="10" t="s">
        <v>67</v>
      </c>
      <c r="CMZ3" s="10" t="s">
        <v>70</v>
      </c>
      <c r="CNA3" s="10" t="s">
        <v>67</v>
      </c>
      <c r="CNB3" s="10" t="s">
        <v>70</v>
      </c>
      <c r="CNC3" s="10" t="s">
        <v>67</v>
      </c>
      <c r="CND3" s="10" t="s">
        <v>70</v>
      </c>
      <c r="CNE3" s="10" t="s">
        <v>67</v>
      </c>
      <c r="CNF3" s="10" t="s">
        <v>70</v>
      </c>
      <c r="CNG3" s="10" t="s">
        <v>67</v>
      </c>
      <c r="CNH3" s="10" t="s">
        <v>70</v>
      </c>
      <c r="CNI3" s="10" t="s">
        <v>67</v>
      </c>
      <c r="CNJ3" s="10" t="s">
        <v>70</v>
      </c>
      <c r="CNK3" s="10" t="s">
        <v>67</v>
      </c>
      <c r="CNL3" s="10" t="s">
        <v>70</v>
      </c>
      <c r="CNM3" s="10" t="s">
        <v>67</v>
      </c>
      <c r="CNN3" s="10" t="s">
        <v>70</v>
      </c>
      <c r="CNO3" s="10" t="s">
        <v>67</v>
      </c>
      <c r="CNP3" s="10" t="s">
        <v>70</v>
      </c>
      <c r="CNQ3" s="10" t="s">
        <v>67</v>
      </c>
      <c r="CNR3" s="10" t="s">
        <v>70</v>
      </c>
      <c r="CNS3" s="10" t="s">
        <v>67</v>
      </c>
      <c r="CNT3" s="10" t="s">
        <v>70</v>
      </c>
      <c r="CNU3" s="10" t="s">
        <v>67</v>
      </c>
      <c r="CNV3" s="10" t="s">
        <v>70</v>
      </c>
      <c r="CNW3" s="10" t="s">
        <v>67</v>
      </c>
      <c r="CNX3" s="10" t="s">
        <v>70</v>
      </c>
      <c r="CNY3" s="10" t="s">
        <v>67</v>
      </c>
      <c r="CNZ3" s="10" t="s">
        <v>70</v>
      </c>
      <c r="COA3" s="10" t="s">
        <v>67</v>
      </c>
      <c r="COB3" s="10" t="s">
        <v>70</v>
      </c>
      <c r="COC3" s="10" t="s">
        <v>67</v>
      </c>
      <c r="COD3" s="10" t="s">
        <v>70</v>
      </c>
      <c r="COE3" s="10" t="s">
        <v>67</v>
      </c>
      <c r="COF3" s="10" t="s">
        <v>70</v>
      </c>
      <c r="COG3" s="10" t="s">
        <v>67</v>
      </c>
      <c r="COH3" s="10" t="s">
        <v>70</v>
      </c>
      <c r="COI3" s="10" t="s">
        <v>67</v>
      </c>
      <c r="COJ3" s="10" t="s">
        <v>70</v>
      </c>
      <c r="COK3" s="10" t="s">
        <v>67</v>
      </c>
      <c r="COL3" s="10" t="s">
        <v>70</v>
      </c>
      <c r="COM3" s="10" t="s">
        <v>67</v>
      </c>
      <c r="CON3" s="10" t="s">
        <v>70</v>
      </c>
      <c r="COO3" s="10" t="s">
        <v>67</v>
      </c>
      <c r="COP3" s="10" t="s">
        <v>70</v>
      </c>
      <c r="COQ3" s="10" t="s">
        <v>67</v>
      </c>
      <c r="COR3" s="10" t="s">
        <v>70</v>
      </c>
      <c r="COS3" s="10" t="s">
        <v>67</v>
      </c>
      <c r="COT3" s="10" t="s">
        <v>70</v>
      </c>
      <c r="COU3" s="10" t="s">
        <v>67</v>
      </c>
      <c r="COV3" s="10" t="s">
        <v>70</v>
      </c>
      <c r="COW3" s="10" t="s">
        <v>67</v>
      </c>
      <c r="COX3" s="10" t="s">
        <v>70</v>
      </c>
      <c r="COY3" s="10" t="s">
        <v>67</v>
      </c>
      <c r="COZ3" s="10" t="s">
        <v>70</v>
      </c>
      <c r="CPA3" s="10" t="s">
        <v>67</v>
      </c>
      <c r="CPB3" s="10" t="s">
        <v>70</v>
      </c>
      <c r="CPC3" s="10" t="s">
        <v>67</v>
      </c>
      <c r="CPD3" s="10" t="s">
        <v>70</v>
      </c>
      <c r="CPE3" s="10" t="s">
        <v>67</v>
      </c>
      <c r="CPF3" s="10" t="s">
        <v>70</v>
      </c>
      <c r="CPG3" s="10" t="s">
        <v>67</v>
      </c>
      <c r="CPH3" s="10" t="s">
        <v>70</v>
      </c>
      <c r="CPI3" s="10" t="s">
        <v>67</v>
      </c>
      <c r="CPJ3" s="10" t="s">
        <v>70</v>
      </c>
      <c r="CPK3" s="10" t="s">
        <v>67</v>
      </c>
      <c r="CPL3" s="10" t="s">
        <v>70</v>
      </c>
      <c r="CPM3" s="10" t="s">
        <v>67</v>
      </c>
      <c r="CPN3" s="10" t="s">
        <v>70</v>
      </c>
      <c r="CPO3" s="10" t="s">
        <v>67</v>
      </c>
      <c r="CPP3" s="10" t="s">
        <v>70</v>
      </c>
      <c r="CPQ3" s="10" t="s">
        <v>67</v>
      </c>
      <c r="CPR3" s="10" t="s">
        <v>70</v>
      </c>
      <c r="CPS3" s="10" t="s">
        <v>67</v>
      </c>
      <c r="CPT3" s="10" t="s">
        <v>70</v>
      </c>
      <c r="CPU3" s="10" t="s">
        <v>67</v>
      </c>
      <c r="CPV3" s="10" t="s">
        <v>70</v>
      </c>
      <c r="CPW3" s="10" t="s">
        <v>67</v>
      </c>
      <c r="CPX3" s="10" t="s">
        <v>70</v>
      </c>
      <c r="CPY3" s="10" t="s">
        <v>67</v>
      </c>
      <c r="CPZ3" s="10" t="s">
        <v>70</v>
      </c>
      <c r="CQA3" s="10" t="s">
        <v>67</v>
      </c>
      <c r="CQB3" s="10" t="s">
        <v>70</v>
      </c>
      <c r="CQC3" s="10" t="s">
        <v>67</v>
      </c>
      <c r="CQD3" s="10" t="s">
        <v>70</v>
      </c>
      <c r="CQE3" s="10" t="s">
        <v>67</v>
      </c>
      <c r="CQF3" s="10" t="s">
        <v>70</v>
      </c>
      <c r="CQG3" s="10" t="s">
        <v>67</v>
      </c>
      <c r="CQH3" s="10" t="s">
        <v>70</v>
      </c>
      <c r="CQI3" s="10" t="s">
        <v>67</v>
      </c>
      <c r="CQJ3" s="10" t="s">
        <v>70</v>
      </c>
      <c r="CQK3" s="10" t="s">
        <v>67</v>
      </c>
      <c r="CQL3" s="10" t="s">
        <v>70</v>
      </c>
      <c r="CQM3" s="10" t="s">
        <v>67</v>
      </c>
      <c r="CQN3" s="10" t="s">
        <v>70</v>
      </c>
      <c r="CQO3" s="10" t="s">
        <v>67</v>
      </c>
      <c r="CQP3" s="10" t="s">
        <v>70</v>
      </c>
      <c r="CQQ3" s="10" t="s">
        <v>67</v>
      </c>
      <c r="CQR3" s="10" t="s">
        <v>70</v>
      </c>
      <c r="CQS3" s="10" t="s">
        <v>67</v>
      </c>
      <c r="CQT3" s="10" t="s">
        <v>70</v>
      </c>
      <c r="CQU3" s="10" t="s">
        <v>67</v>
      </c>
      <c r="CQV3" s="10" t="s">
        <v>70</v>
      </c>
      <c r="CQW3" s="10" t="s">
        <v>67</v>
      </c>
      <c r="CQX3" s="10" t="s">
        <v>70</v>
      </c>
      <c r="CQY3" s="10" t="s">
        <v>67</v>
      </c>
      <c r="CQZ3" s="10" t="s">
        <v>70</v>
      </c>
      <c r="CRA3" s="10" t="s">
        <v>67</v>
      </c>
      <c r="CRB3" s="10" t="s">
        <v>70</v>
      </c>
      <c r="CRC3" s="10" t="s">
        <v>67</v>
      </c>
      <c r="CRD3" s="10" t="s">
        <v>70</v>
      </c>
      <c r="CRE3" s="10" t="s">
        <v>67</v>
      </c>
      <c r="CRF3" s="10" t="s">
        <v>70</v>
      </c>
      <c r="CRG3" s="10" t="s">
        <v>67</v>
      </c>
      <c r="CRH3" s="10" t="s">
        <v>70</v>
      </c>
      <c r="CRI3" s="10" t="s">
        <v>67</v>
      </c>
      <c r="CRJ3" s="10" t="s">
        <v>70</v>
      </c>
      <c r="CRK3" s="10" t="s">
        <v>67</v>
      </c>
      <c r="CRL3" s="10" t="s">
        <v>70</v>
      </c>
      <c r="CRM3" s="10" t="s">
        <v>67</v>
      </c>
      <c r="CRN3" s="10" t="s">
        <v>70</v>
      </c>
      <c r="CRO3" s="10" t="s">
        <v>67</v>
      </c>
      <c r="CRP3" s="10" t="s">
        <v>70</v>
      </c>
      <c r="CRQ3" s="10" t="s">
        <v>67</v>
      </c>
      <c r="CRR3" s="10" t="s">
        <v>70</v>
      </c>
      <c r="CRS3" s="10" t="s">
        <v>67</v>
      </c>
      <c r="CRT3" s="10" t="s">
        <v>70</v>
      </c>
      <c r="CRU3" s="10" t="s">
        <v>67</v>
      </c>
      <c r="CRV3" s="10" t="s">
        <v>70</v>
      </c>
      <c r="CRW3" s="10" t="s">
        <v>67</v>
      </c>
      <c r="CRX3" s="10" t="s">
        <v>70</v>
      </c>
      <c r="CRY3" s="10" t="s">
        <v>67</v>
      </c>
      <c r="CRZ3" s="10" t="s">
        <v>70</v>
      </c>
      <c r="CSA3" s="10" t="s">
        <v>67</v>
      </c>
      <c r="CSB3" s="10" t="s">
        <v>70</v>
      </c>
      <c r="CSC3" s="10" t="s">
        <v>67</v>
      </c>
      <c r="CSD3" s="10" t="s">
        <v>70</v>
      </c>
      <c r="CSE3" s="10" t="s">
        <v>67</v>
      </c>
      <c r="CSF3" s="10" t="s">
        <v>70</v>
      </c>
      <c r="CSG3" s="10" t="s">
        <v>67</v>
      </c>
      <c r="CSH3" s="10" t="s">
        <v>70</v>
      </c>
      <c r="CSI3" s="10" t="s">
        <v>67</v>
      </c>
      <c r="CSJ3" s="10" t="s">
        <v>70</v>
      </c>
      <c r="CSK3" s="10" t="s">
        <v>67</v>
      </c>
      <c r="CSL3" s="10" t="s">
        <v>70</v>
      </c>
      <c r="CSM3" s="10" t="s">
        <v>67</v>
      </c>
      <c r="CSN3" s="10" t="s">
        <v>70</v>
      </c>
      <c r="CSO3" s="10" t="s">
        <v>67</v>
      </c>
      <c r="CSP3" s="10" t="s">
        <v>70</v>
      </c>
      <c r="CSQ3" s="10" t="s">
        <v>67</v>
      </c>
      <c r="CSR3" s="10" t="s">
        <v>70</v>
      </c>
      <c r="CSS3" s="10" t="s">
        <v>67</v>
      </c>
      <c r="CST3" s="10" t="s">
        <v>70</v>
      </c>
      <c r="CSU3" s="10" t="s">
        <v>67</v>
      </c>
      <c r="CSV3" s="10" t="s">
        <v>70</v>
      </c>
      <c r="CSW3" s="10" t="s">
        <v>67</v>
      </c>
      <c r="CSX3" s="10" t="s">
        <v>70</v>
      </c>
      <c r="CSY3" s="10" t="s">
        <v>67</v>
      </c>
      <c r="CSZ3" s="10" t="s">
        <v>70</v>
      </c>
      <c r="CTA3" s="10" t="s">
        <v>67</v>
      </c>
      <c r="CTB3" s="10" t="s">
        <v>70</v>
      </c>
      <c r="CTC3" s="10" t="s">
        <v>67</v>
      </c>
      <c r="CTD3" s="10" t="s">
        <v>70</v>
      </c>
      <c r="CTE3" s="10" t="s">
        <v>67</v>
      </c>
      <c r="CTF3" s="10" t="s">
        <v>70</v>
      </c>
      <c r="CTG3" s="10" t="s">
        <v>67</v>
      </c>
      <c r="CTH3" s="10" t="s">
        <v>70</v>
      </c>
      <c r="CTI3" s="10" t="s">
        <v>67</v>
      </c>
      <c r="CTJ3" s="10" t="s">
        <v>70</v>
      </c>
      <c r="CTK3" s="10" t="s">
        <v>67</v>
      </c>
      <c r="CTL3" s="10" t="s">
        <v>70</v>
      </c>
      <c r="CTM3" s="10" t="s">
        <v>67</v>
      </c>
      <c r="CTN3" s="10" t="s">
        <v>70</v>
      </c>
      <c r="CTO3" s="10" t="s">
        <v>67</v>
      </c>
      <c r="CTP3" s="10" t="s">
        <v>70</v>
      </c>
      <c r="CTQ3" s="10" t="s">
        <v>67</v>
      </c>
      <c r="CTR3" s="10" t="s">
        <v>70</v>
      </c>
      <c r="CTS3" s="10" t="s">
        <v>67</v>
      </c>
      <c r="CTT3" s="10" t="s">
        <v>70</v>
      </c>
      <c r="CTU3" s="10" t="s">
        <v>67</v>
      </c>
      <c r="CTV3" s="10" t="s">
        <v>70</v>
      </c>
      <c r="CTW3" s="10" t="s">
        <v>67</v>
      </c>
      <c r="CTX3" s="10" t="s">
        <v>70</v>
      </c>
      <c r="CTY3" s="10" t="s">
        <v>67</v>
      </c>
      <c r="CTZ3" s="10" t="s">
        <v>70</v>
      </c>
      <c r="CUA3" s="10" t="s">
        <v>67</v>
      </c>
      <c r="CUB3" s="10" t="s">
        <v>70</v>
      </c>
      <c r="CUC3" s="10" t="s">
        <v>67</v>
      </c>
      <c r="CUD3" s="10" t="s">
        <v>70</v>
      </c>
      <c r="CUE3" s="10" t="s">
        <v>67</v>
      </c>
      <c r="CUF3" s="10" t="s">
        <v>70</v>
      </c>
      <c r="CUG3" s="10" t="s">
        <v>67</v>
      </c>
      <c r="CUH3" s="10" t="s">
        <v>70</v>
      </c>
      <c r="CUI3" s="10" t="s">
        <v>67</v>
      </c>
      <c r="CUJ3" s="10" t="s">
        <v>70</v>
      </c>
      <c r="CUK3" s="10" t="s">
        <v>67</v>
      </c>
      <c r="CUL3" s="10" t="s">
        <v>70</v>
      </c>
      <c r="CUM3" s="10" t="s">
        <v>67</v>
      </c>
      <c r="CUN3" s="10" t="s">
        <v>70</v>
      </c>
      <c r="CUO3" s="10" t="s">
        <v>67</v>
      </c>
      <c r="CUP3" s="10" t="s">
        <v>70</v>
      </c>
      <c r="CUQ3" s="10" t="s">
        <v>67</v>
      </c>
      <c r="CUR3" s="10" t="s">
        <v>70</v>
      </c>
      <c r="CUS3" s="10" t="s">
        <v>67</v>
      </c>
      <c r="CUT3" s="10" t="s">
        <v>70</v>
      </c>
      <c r="CUU3" s="10" t="s">
        <v>67</v>
      </c>
      <c r="CUV3" s="10" t="s">
        <v>70</v>
      </c>
      <c r="CUW3" s="10" t="s">
        <v>67</v>
      </c>
      <c r="CUX3" s="10" t="s">
        <v>70</v>
      </c>
      <c r="CUY3" s="10" t="s">
        <v>67</v>
      </c>
      <c r="CUZ3" s="10" t="s">
        <v>70</v>
      </c>
      <c r="CVA3" s="10" t="s">
        <v>67</v>
      </c>
      <c r="CVB3" s="10" t="s">
        <v>70</v>
      </c>
      <c r="CVC3" s="10" t="s">
        <v>67</v>
      </c>
      <c r="CVD3" s="10" t="s">
        <v>70</v>
      </c>
      <c r="CVE3" s="10" t="s">
        <v>67</v>
      </c>
      <c r="CVF3" s="10" t="s">
        <v>70</v>
      </c>
      <c r="CVG3" s="10" t="s">
        <v>67</v>
      </c>
      <c r="CVH3" s="10" t="s">
        <v>70</v>
      </c>
      <c r="CVI3" s="10" t="s">
        <v>67</v>
      </c>
      <c r="CVJ3" s="10" t="s">
        <v>70</v>
      </c>
      <c r="CVK3" s="10" t="s">
        <v>67</v>
      </c>
      <c r="CVL3" s="10" t="s">
        <v>70</v>
      </c>
      <c r="CVM3" s="10" t="s">
        <v>67</v>
      </c>
      <c r="CVN3" s="10" t="s">
        <v>70</v>
      </c>
      <c r="CVO3" s="10" t="s">
        <v>67</v>
      </c>
      <c r="CVP3" s="10" t="s">
        <v>70</v>
      </c>
      <c r="CVQ3" s="10" t="s">
        <v>67</v>
      </c>
      <c r="CVR3" s="10" t="s">
        <v>70</v>
      </c>
      <c r="CVS3" s="10" t="s">
        <v>67</v>
      </c>
      <c r="CVT3" s="10" t="s">
        <v>70</v>
      </c>
      <c r="CVU3" s="10" t="s">
        <v>67</v>
      </c>
      <c r="CVV3" s="10" t="s">
        <v>70</v>
      </c>
      <c r="CVW3" s="10" t="s">
        <v>67</v>
      </c>
      <c r="CVX3" s="10" t="s">
        <v>70</v>
      </c>
      <c r="CVY3" s="10" t="s">
        <v>67</v>
      </c>
      <c r="CVZ3" s="10" t="s">
        <v>70</v>
      </c>
      <c r="CWA3" s="10" t="s">
        <v>67</v>
      </c>
      <c r="CWB3" s="10" t="s">
        <v>70</v>
      </c>
      <c r="CWC3" s="10" t="s">
        <v>67</v>
      </c>
      <c r="CWD3" s="10" t="s">
        <v>70</v>
      </c>
      <c r="CWE3" s="10" t="s">
        <v>67</v>
      </c>
      <c r="CWF3" s="10" t="s">
        <v>70</v>
      </c>
      <c r="CWG3" s="10" t="s">
        <v>67</v>
      </c>
      <c r="CWH3" s="10" t="s">
        <v>70</v>
      </c>
      <c r="CWI3" s="10" t="s">
        <v>67</v>
      </c>
      <c r="CWJ3" s="10" t="s">
        <v>70</v>
      </c>
      <c r="CWK3" s="10" t="s">
        <v>67</v>
      </c>
      <c r="CWL3" s="10" t="s">
        <v>70</v>
      </c>
      <c r="CWM3" s="10" t="s">
        <v>67</v>
      </c>
      <c r="CWN3" s="10" t="s">
        <v>70</v>
      </c>
      <c r="CWO3" s="10" t="s">
        <v>67</v>
      </c>
      <c r="CWP3" s="10" t="s">
        <v>70</v>
      </c>
      <c r="CWQ3" s="10" t="s">
        <v>67</v>
      </c>
      <c r="CWR3" s="10" t="s">
        <v>70</v>
      </c>
      <c r="CWS3" s="10" t="s">
        <v>67</v>
      </c>
      <c r="CWT3" s="10" t="s">
        <v>70</v>
      </c>
      <c r="CWU3" s="10" t="s">
        <v>67</v>
      </c>
      <c r="CWV3" s="10" t="s">
        <v>70</v>
      </c>
      <c r="CWW3" s="10" t="s">
        <v>67</v>
      </c>
      <c r="CWX3" s="10" t="s">
        <v>70</v>
      </c>
      <c r="CWY3" s="10" t="s">
        <v>67</v>
      </c>
      <c r="CWZ3" s="10" t="s">
        <v>70</v>
      </c>
      <c r="CXA3" s="10" t="s">
        <v>67</v>
      </c>
      <c r="CXB3" s="10" t="s">
        <v>70</v>
      </c>
      <c r="CXC3" s="10" t="s">
        <v>67</v>
      </c>
      <c r="CXD3" s="10" t="s">
        <v>70</v>
      </c>
      <c r="CXE3" s="10" t="s">
        <v>67</v>
      </c>
      <c r="CXF3" s="10" t="s">
        <v>70</v>
      </c>
      <c r="CXG3" s="10" t="s">
        <v>67</v>
      </c>
      <c r="CXH3" s="10" t="s">
        <v>70</v>
      </c>
      <c r="CXI3" s="10" t="s">
        <v>67</v>
      </c>
      <c r="CXJ3" s="10" t="s">
        <v>70</v>
      </c>
      <c r="CXK3" s="10" t="s">
        <v>67</v>
      </c>
      <c r="CXL3" s="10" t="s">
        <v>70</v>
      </c>
      <c r="CXM3" s="10" t="s">
        <v>67</v>
      </c>
      <c r="CXN3" s="10" t="s">
        <v>70</v>
      </c>
      <c r="CXO3" s="10" t="s">
        <v>67</v>
      </c>
      <c r="CXP3" s="10" t="s">
        <v>70</v>
      </c>
      <c r="CXQ3" s="10" t="s">
        <v>67</v>
      </c>
      <c r="CXR3" s="10" t="s">
        <v>70</v>
      </c>
      <c r="CXS3" s="10" t="s">
        <v>67</v>
      </c>
      <c r="CXT3" s="10" t="s">
        <v>70</v>
      </c>
      <c r="CXU3" s="10" t="s">
        <v>67</v>
      </c>
      <c r="CXV3" s="10" t="s">
        <v>70</v>
      </c>
      <c r="CXW3" s="10" t="s">
        <v>67</v>
      </c>
      <c r="CXX3" s="10" t="s">
        <v>70</v>
      </c>
      <c r="CXY3" s="10" t="s">
        <v>67</v>
      </c>
      <c r="CXZ3" s="10" t="s">
        <v>70</v>
      </c>
      <c r="CYA3" s="10" t="s">
        <v>67</v>
      </c>
      <c r="CYB3" s="10" t="s">
        <v>70</v>
      </c>
      <c r="CYC3" s="10" t="s">
        <v>67</v>
      </c>
      <c r="CYD3" s="10" t="s">
        <v>70</v>
      </c>
      <c r="CYE3" s="10" t="s">
        <v>67</v>
      </c>
      <c r="CYF3" s="10" t="s">
        <v>70</v>
      </c>
      <c r="CYG3" s="10" t="s">
        <v>67</v>
      </c>
      <c r="CYH3" s="10" t="s">
        <v>70</v>
      </c>
      <c r="CYI3" s="10" t="s">
        <v>67</v>
      </c>
      <c r="CYJ3" s="10" t="s">
        <v>70</v>
      </c>
      <c r="CYK3" s="10" t="s">
        <v>67</v>
      </c>
      <c r="CYL3" s="10" t="s">
        <v>70</v>
      </c>
      <c r="CYM3" s="10" t="s">
        <v>67</v>
      </c>
      <c r="CYN3" s="10" t="s">
        <v>70</v>
      </c>
      <c r="CYO3" s="10" t="s">
        <v>67</v>
      </c>
      <c r="CYP3" s="10" t="s">
        <v>70</v>
      </c>
      <c r="CYQ3" s="10" t="s">
        <v>67</v>
      </c>
      <c r="CYR3" s="10" t="s">
        <v>70</v>
      </c>
      <c r="CYS3" s="10" t="s">
        <v>67</v>
      </c>
      <c r="CYT3" s="10" t="s">
        <v>70</v>
      </c>
      <c r="CYU3" s="10" t="s">
        <v>67</v>
      </c>
      <c r="CYV3" s="10" t="s">
        <v>70</v>
      </c>
      <c r="CYW3" s="10" t="s">
        <v>67</v>
      </c>
      <c r="CYX3" s="10" t="s">
        <v>70</v>
      </c>
      <c r="CYY3" s="10" t="s">
        <v>67</v>
      </c>
      <c r="CYZ3" s="10" t="s">
        <v>70</v>
      </c>
      <c r="CZA3" s="10" t="s">
        <v>67</v>
      </c>
      <c r="CZB3" s="10" t="s">
        <v>70</v>
      </c>
      <c r="CZC3" s="10" t="s">
        <v>67</v>
      </c>
      <c r="CZD3" s="10" t="s">
        <v>70</v>
      </c>
      <c r="CZE3" s="10" t="s">
        <v>67</v>
      </c>
      <c r="CZF3" s="10" t="s">
        <v>70</v>
      </c>
      <c r="CZG3" s="10" t="s">
        <v>67</v>
      </c>
      <c r="CZH3" s="10" t="s">
        <v>70</v>
      </c>
      <c r="CZI3" s="10" t="s">
        <v>67</v>
      </c>
      <c r="CZJ3" s="10" t="s">
        <v>70</v>
      </c>
      <c r="CZK3" s="10" t="s">
        <v>67</v>
      </c>
      <c r="CZL3" s="10" t="s">
        <v>70</v>
      </c>
      <c r="CZM3" s="10" t="s">
        <v>67</v>
      </c>
      <c r="CZN3" s="10" t="s">
        <v>70</v>
      </c>
      <c r="CZO3" s="10" t="s">
        <v>67</v>
      </c>
      <c r="CZP3" s="10" t="s">
        <v>70</v>
      </c>
      <c r="CZQ3" s="10" t="s">
        <v>67</v>
      </c>
      <c r="CZR3" s="10" t="s">
        <v>70</v>
      </c>
      <c r="CZS3" s="10" t="s">
        <v>67</v>
      </c>
      <c r="CZT3" s="10" t="s">
        <v>70</v>
      </c>
      <c r="CZU3" s="10" t="s">
        <v>67</v>
      </c>
      <c r="CZV3" s="10" t="s">
        <v>70</v>
      </c>
      <c r="CZW3" s="10" t="s">
        <v>67</v>
      </c>
      <c r="CZX3" s="10" t="s">
        <v>70</v>
      </c>
      <c r="CZY3" s="10" t="s">
        <v>67</v>
      </c>
      <c r="CZZ3" s="10" t="s">
        <v>70</v>
      </c>
      <c r="DAA3" s="10" t="s">
        <v>67</v>
      </c>
      <c r="DAB3" s="10" t="s">
        <v>70</v>
      </c>
      <c r="DAC3" s="10" t="s">
        <v>67</v>
      </c>
      <c r="DAD3" s="10" t="s">
        <v>70</v>
      </c>
      <c r="DAE3" s="10" t="s">
        <v>67</v>
      </c>
      <c r="DAF3" s="10" t="s">
        <v>70</v>
      </c>
      <c r="DAG3" s="10" t="s">
        <v>67</v>
      </c>
      <c r="DAH3" s="10" t="s">
        <v>70</v>
      </c>
      <c r="DAI3" s="10" t="s">
        <v>67</v>
      </c>
      <c r="DAJ3" s="10" t="s">
        <v>70</v>
      </c>
      <c r="DAK3" s="10" t="s">
        <v>67</v>
      </c>
      <c r="DAL3" s="10" t="s">
        <v>70</v>
      </c>
      <c r="DAM3" s="10" t="s">
        <v>67</v>
      </c>
      <c r="DAN3" s="10" t="s">
        <v>70</v>
      </c>
      <c r="DAO3" s="10" t="s">
        <v>67</v>
      </c>
      <c r="DAP3" s="10" t="s">
        <v>70</v>
      </c>
      <c r="DAQ3" s="10" t="s">
        <v>67</v>
      </c>
      <c r="DAR3" s="10" t="s">
        <v>70</v>
      </c>
      <c r="DAS3" s="10" t="s">
        <v>67</v>
      </c>
      <c r="DAT3" s="10" t="s">
        <v>70</v>
      </c>
      <c r="DAU3" s="10" t="s">
        <v>67</v>
      </c>
      <c r="DAV3" s="10" t="s">
        <v>70</v>
      </c>
      <c r="DAW3" s="10" t="s">
        <v>67</v>
      </c>
      <c r="DAX3" s="10" t="s">
        <v>70</v>
      </c>
      <c r="DAY3" s="10" t="s">
        <v>67</v>
      </c>
      <c r="DAZ3" s="10" t="s">
        <v>70</v>
      </c>
      <c r="DBA3" s="10" t="s">
        <v>67</v>
      </c>
      <c r="DBB3" s="10" t="s">
        <v>70</v>
      </c>
      <c r="DBC3" s="10" t="s">
        <v>67</v>
      </c>
      <c r="DBD3" s="10" t="s">
        <v>70</v>
      </c>
      <c r="DBE3" s="10" t="s">
        <v>67</v>
      </c>
      <c r="DBF3" s="10" t="s">
        <v>70</v>
      </c>
      <c r="DBG3" s="10" t="s">
        <v>67</v>
      </c>
      <c r="DBH3" s="10" t="s">
        <v>70</v>
      </c>
      <c r="DBI3" s="10" t="s">
        <v>67</v>
      </c>
      <c r="DBJ3" s="10" t="s">
        <v>70</v>
      </c>
      <c r="DBK3" s="10" t="s">
        <v>67</v>
      </c>
      <c r="DBL3" s="10" t="s">
        <v>70</v>
      </c>
      <c r="DBM3" s="10" t="s">
        <v>67</v>
      </c>
      <c r="DBN3" s="10" t="s">
        <v>70</v>
      </c>
      <c r="DBO3" s="10" t="s">
        <v>67</v>
      </c>
      <c r="DBP3" s="10" t="s">
        <v>70</v>
      </c>
      <c r="DBQ3" s="10" t="s">
        <v>67</v>
      </c>
      <c r="DBR3" s="10" t="s">
        <v>70</v>
      </c>
      <c r="DBS3" s="10" t="s">
        <v>67</v>
      </c>
      <c r="DBT3" s="10" t="s">
        <v>70</v>
      </c>
      <c r="DBU3" s="10" t="s">
        <v>67</v>
      </c>
      <c r="DBV3" s="10" t="s">
        <v>70</v>
      </c>
      <c r="DBW3" s="10" t="s">
        <v>67</v>
      </c>
      <c r="DBX3" s="10" t="s">
        <v>70</v>
      </c>
      <c r="DBY3" s="10" t="s">
        <v>67</v>
      </c>
      <c r="DBZ3" s="10" t="s">
        <v>70</v>
      </c>
      <c r="DCA3" s="10" t="s">
        <v>67</v>
      </c>
      <c r="DCB3" s="10" t="s">
        <v>70</v>
      </c>
      <c r="DCC3" s="10" t="s">
        <v>67</v>
      </c>
      <c r="DCD3" s="10" t="s">
        <v>70</v>
      </c>
      <c r="DCE3" s="10" t="s">
        <v>67</v>
      </c>
      <c r="DCF3" s="10" t="s">
        <v>70</v>
      </c>
      <c r="DCG3" s="10" t="s">
        <v>67</v>
      </c>
      <c r="DCH3" s="10" t="s">
        <v>70</v>
      </c>
      <c r="DCI3" s="10" t="s">
        <v>67</v>
      </c>
      <c r="DCJ3" s="10" t="s">
        <v>70</v>
      </c>
      <c r="DCK3" s="10" t="s">
        <v>67</v>
      </c>
      <c r="DCL3" s="10" t="s">
        <v>70</v>
      </c>
      <c r="DCM3" s="10" t="s">
        <v>67</v>
      </c>
      <c r="DCN3" s="10" t="s">
        <v>70</v>
      </c>
      <c r="DCO3" s="10" t="s">
        <v>67</v>
      </c>
      <c r="DCP3" s="10" t="s">
        <v>70</v>
      </c>
      <c r="DCQ3" s="10" t="s">
        <v>67</v>
      </c>
      <c r="DCR3" s="10" t="s">
        <v>70</v>
      </c>
      <c r="DCS3" s="10" t="s">
        <v>67</v>
      </c>
      <c r="DCT3" s="10" t="s">
        <v>70</v>
      </c>
      <c r="DCU3" s="10" t="s">
        <v>67</v>
      </c>
      <c r="DCV3" s="10" t="s">
        <v>70</v>
      </c>
      <c r="DCW3" s="10" t="s">
        <v>67</v>
      </c>
      <c r="DCX3" s="10" t="s">
        <v>70</v>
      </c>
      <c r="DCY3" s="10" t="s">
        <v>67</v>
      </c>
      <c r="DCZ3" s="10" t="s">
        <v>70</v>
      </c>
      <c r="DDA3" s="10" t="s">
        <v>67</v>
      </c>
      <c r="DDB3" s="10" t="s">
        <v>70</v>
      </c>
      <c r="DDC3" s="10" t="s">
        <v>67</v>
      </c>
      <c r="DDD3" s="10" t="s">
        <v>70</v>
      </c>
      <c r="DDE3" s="10" t="s">
        <v>67</v>
      </c>
      <c r="DDF3" s="10" t="s">
        <v>70</v>
      </c>
      <c r="DDG3" s="10" t="s">
        <v>67</v>
      </c>
      <c r="DDH3" s="10" t="s">
        <v>70</v>
      </c>
      <c r="DDI3" s="10" t="s">
        <v>67</v>
      </c>
      <c r="DDJ3" s="10" t="s">
        <v>70</v>
      </c>
      <c r="DDK3" s="10" t="s">
        <v>67</v>
      </c>
      <c r="DDL3" s="10" t="s">
        <v>70</v>
      </c>
      <c r="DDM3" s="10" t="s">
        <v>67</v>
      </c>
      <c r="DDN3" s="10" t="s">
        <v>70</v>
      </c>
      <c r="DDO3" s="10" t="s">
        <v>67</v>
      </c>
      <c r="DDP3" s="10" t="s">
        <v>70</v>
      </c>
      <c r="DDQ3" s="10" t="s">
        <v>67</v>
      </c>
      <c r="DDR3" s="10" t="s">
        <v>70</v>
      </c>
      <c r="DDS3" s="10" t="s">
        <v>67</v>
      </c>
      <c r="DDT3" s="10" t="s">
        <v>70</v>
      </c>
      <c r="DDU3" s="10" t="s">
        <v>67</v>
      </c>
      <c r="DDV3" s="10" t="s">
        <v>70</v>
      </c>
      <c r="DDW3" s="10" t="s">
        <v>67</v>
      </c>
      <c r="DDX3" s="10" t="s">
        <v>70</v>
      </c>
      <c r="DDY3" s="10" t="s">
        <v>67</v>
      </c>
      <c r="DDZ3" s="10" t="s">
        <v>70</v>
      </c>
      <c r="DEA3" s="10" t="s">
        <v>67</v>
      </c>
      <c r="DEB3" s="10" t="s">
        <v>70</v>
      </c>
      <c r="DEC3" s="10" t="s">
        <v>67</v>
      </c>
      <c r="DED3" s="10" t="s">
        <v>70</v>
      </c>
      <c r="DEE3" s="10" t="s">
        <v>67</v>
      </c>
      <c r="DEF3" s="10" t="s">
        <v>70</v>
      </c>
      <c r="DEG3" s="10" t="s">
        <v>67</v>
      </c>
      <c r="DEH3" s="10" t="s">
        <v>70</v>
      </c>
      <c r="DEI3" s="10" t="s">
        <v>67</v>
      </c>
      <c r="DEJ3" s="10" t="s">
        <v>70</v>
      </c>
      <c r="DEK3" s="10" t="s">
        <v>67</v>
      </c>
      <c r="DEL3" s="10" t="s">
        <v>70</v>
      </c>
      <c r="DEM3" s="10" t="s">
        <v>67</v>
      </c>
      <c r="DEN3" s="10" t="s">
        <v>70</v>
      </c>
      <c r="DEO3" s="10" t="s">
        <v>67</v>
      </c>
      <c r="DEP3" s="10" t="s">
        <v>70</v>
      </c>
      <c r="DEQ3" s="10" t="s">
        <v>67</v>
      </c>
      <c r="DER3" s="10" t="s">
        <v>70</v>
      </c>
      <c r="DES3" s="10" t="s">
        <v>67</v>
      </c>
      <c r="DET3" s="10" t="s">
        <v>70</v>
      </c>
      <c r="DEU3" s="10" t="s">
        <v>67</v>
      </c>
      <c r="DEV3" s="10" t="s">
        <v>70</v>
      </c>
      <c r="DEW3" s="10" t="s">
        <v>67</v>
      </c>
      <c r="DEX3" s="10" t="s">
        <v>70</v>
      </c>
      <c r="DEY3" s="10" t="s">
        <v>67</v>
      </c>
      <c r="DEZ3" s="10" t="s">
        <v>70</v>
      </c>
      <c r="DFA3" s="10" t="s">
        <v>67</v>
      </c>
      <c r="DFB3" s="10" t="s">
        <v>70</v>
      </c>
      <c r="DFC3" s="10" t="s">
        <v>67</v>
      </c>
      <c r="DFD3" s="10" t="s">
        <v>70</v>
      </c>
      <c r="DFE3" s="10" t="s">
        <v>67</v>
      </c>
      <c r="DFF3" s="10" t="s">
        <v>70</v>
      </c>
      <c r="DFG3" s="10" t="s">
        <v>67</v>
      </c>
      <c r="DFH3" s="10" t="s">
        <v>70</v>
      </c>
      <c r="DFI3" s="10" t="s">
        <v>67</v>
      </c>
      <c r="DFJ3" s="10" t="s">
        <v>70</v>
      </c>
      <c r="DFK3" s="10" t="s">
        <v>67</v>
      </c>
      <c r="DFL3" s="10" t="s">
        <v>70</v>
      </c>
      <c r="DFM3" s="10" t="s">
        <v>67</v>
      </c>
      <c r="DFN3" s="10" t="s">
        <v>70</v>
      </c>
      <c r="DFO3" s="10" t="s">
        <v>67</v>
      </c>
      <c r="DFP3" s="10" t="s">
        <v>70</v>
      </c>
      <c r="DFQ3" s="10" t="s">
        <v>67</v>
      </c>
      <c r="DFR3" s="10" t="s">
        <v>70</v>
      </c>
      <c r="DFS3" s="10" t="s">
        <v>67</v>
      </c>
      <c r="DFT3" s="10" t="s">
        <v>70</v>
      </c>
      <c r="DFU3" s="10" t="s">
        <v>67</v>
      </c>
      <c r="DFV3" s="10" t="s">
        <v>70</v>
      </c>
      <c r="DFW3" s="10" t="s">
        <v>67</v>
      </c>
      <c r="DFX3" s="10" t="s">
        <v>70</v>
      </c>
      <c r="DFY3" s="10" t="s">
        <v>67</v>
      </c>
      <c r="DFZ3" s="10" t="s">
        <v>70</v>
      </c>
      <c r="DGA3" s="10" t="s">
        <v>67</v>
      </c>
      <c r="DGB3" s="10" t="s">
        <v>70</v>
      </c>
      <c r="DGC3" s="10" t="s">
        <v>67</v>
      </c>
      <c r="DGD3" s="10" t="s">
        <v>70</v>
      </c>
      <c r="DGE3" s="10" t="s">
        <v>67</v>
      </c>
      <c r="DGF3" s="10" t="s">
        <v>70</v>
      </c>
      <c r="DGG3" s="10" t="s">
        <v>67</v>
      </c>
      <c r="DGH3" s="10" t="s">
        <v>70</v>
      </c>
      <c r="DGI3" s="10" t="s">
        <v>67</v>
      </c>
      <c r="DGJ3" s="10" t="s">
        <v>70</v>
      </c>
      <c r="DGK3" s="10" t="s">
        <v>67</v>
      </c>
      <c r="DGL3" s="10" t="s">
        <v>70</v>
      </c>
      <c r="DGM3" s="10" t="s">
        <v>67</v>
      </c>
      <c r="DGN3" s="10" t="s">
        <v>70</v>
      </c>
      <c r="DGO3" s="10" t="s">
        <v>67</v>
      </c>
      <c r="DGP3" s="10" t="s">
        <v>70</v>
      </c>
      <c r="DGQ3" s="10" t="s">
        <v>67</v>
      </c>
      <c r="DGR3" s="10" t="s">
        <v>70</v>
      </c>
      <c r="DGS3" s="10" t="s">
        <v>67</v>
      </c>
      <c r="DGT3" s="10" t="s">
        <v>70</v>
      </c>
      <c r="DGU3" s="10" t="s">
        <v>67</v>
      </c>
      <c r="DGV3" s="10" t="s">
        <v>70</v>
      </c>
      <c r="DGW3" s="10" t="s">
        <v>67</v>
      </c>
      <c r="DGX3" s="10" t="s">
        <v>70</v>
      </c>
      <c r="DGY3" s="10" t="s">
        <v>67</v>
      </c>
      <c r="DGZ3" s="10" t="s">
        <v>70</v>
      </c>
      <c r="DHA3" s="10" t="s">
        <v>67</v>
      </c>
      <c r="DHB3" s="10" t="s">
        <v>70</v>
      </c>
      <c r="DHC3" s="10" t="s">
        <v>67</v>
      </c>
      <c r="DHD3" s="10" t="s">
        <v>70</v>
      </c>
      <c r="DHE3" s="10" t="s">
        <v>67</v>
      </c>
      <c r="DHF3" s="10" t="s">
        <v>70</v>
      </c>
      <c r="DHG3" s="10" t="s">
        <v>67</v>
      </c>
      <c r="DHH3" s="10" t="s">
        <v>70</v>
      </c>
      <c r="DHI3" s="10" t="s">
        <v>67</v>
      </c>
      <c r="DHJ3" s="10" t="s">
        <v>70</v>
      </c>
      <c r="DHK3" s="10" t="s">
        <v>67</v>
      </c>
      <c r="DHL3" s="10" t="s">
        <v>70</v>
      </c>
      <c r="DHM3" s="10" t="s">
        <v>67</v>
      </c>
      <c r="DHN3" s="10" t="s">
        <v>70</v>
      </c>
      <c r="DHO3" s="10" t="s">
        <v>67</v>
      </c>
      <c r="DHP3" s="10" t="s">
        <v>70</v>
      </c>
      <c r="DHQ3" s="10" t="s">
        <v>67</v>
      </c>
      <c r="DHR3" s="10" t="s">
        <v>70</v>
      </c>
      <c r="DHS3" s="10" t="s">
        <v>67</v>
      </c>
      <c r="DHT3" s="10" t="s">
        <v>70</v>
      </c>
      <c r="DHU3" s="10" t="s">
        <v>67</v>
      </c>
      <c r="DHV3" s="10" t="s">
        <v>70</v>
      </c>
      <c r="DHW3" s="10" t="s">
        <v>67</v>
      </c>
      <c r="DHX3" s="10" t="s">
        <v>70</v>
      </c>
      <c r="DHY3" s="10" t="s">
        <v>67</v>
      </c>
      <c r="DHZ3" s="10" t="s">
        <v>70</v>
      </c>
      <c r="DIA3" s="10" t="s">
        <v>67</v>
      </c>
      <c r="DIB3" s="10" t="s">
        <v>70</v>
      </c>
      <c r="DIC3" s="10" t="s">
        <v>67</v>
      </c>
      <c r="DID3" s="10" t="s">
        <v>70</v>
      </c>
      <c r="DIE3" s="10" t="s">
        <v>67</v>
      </c>
      <c r="DIF3" s="10" t="s">
        <v>70</v>
      </c>
      <c r="DIG3" s="10" t="s">
        <v>67</v>
      </c>
      <c r="DIH3" s="10" t="s">
        <v>70</v>
      </c>
      <c r="DII3" s="10" t="s">
        <v>67</v>
      </c>
      <c r="DIJ3" s="10" t="s">
        <v>70</v>
      </c>
      <c r="DIK3" s="10" t="s">
        <v>67</v>
      </c>
      <c r="DIL3" s="10" t="s">
        <v>70</v>
      </c>
      <c r="DIM3" s="10" t="s">
        <v>67</v>
      </c>
      <c r="DIN3" s="10" t="s">
        <v>70</v>
      </c>
      <c r="DIO3" s="10" t="s">
        <v>67</v>
      </c>
      <c r="DIP3" s="10" t="s">
        <v>70</v>
      </c>
      <c r="DIQ3" s="10" t="s">
        <v>67</v>
      </c>
      <c r="DIR3" s="10" t="s">
        <v>70</v>
      </c>
      <c r="DIS3" s="10" t="s">
        <v>67</v>
      </c>
      <c r="DIT3" s="10" t="s">
        <v>70</v>
      </c>
      <c r="DIU3" s="10" t="s">
        <v>67</v>
      </c>
      <c r="DIV3" s="10" t="s">
        <v>70</v>
      </c>
      <c r="DIW3" s="10" t="s">
        <v>67</v>
      </c>
      <c r="DIX3" s="10" t="s">
        <v>70</v>
      </c>
      <c r="DIY3" s="10" t="s">
        <v>67</v>
      </c>
      <c r="DIZ3" s="10" t="s">
        <v>70</v>
      </c>
      <c r="DJA3" s="10" t="s">
        <v>67</v>
      </c>
      <c r="DJB3" s="10" t="s">
        <v>70</v>
      </c>
      <c r="DJC3" s="10" t="s">
        <v>67</v>
      </c>
      <c r="DJD3" s="10" t="s">
        <v>70</v>
      </c>
      <c r="DJE3" s="10" t="s">
        <v>67</v>
      </c>
      <c r="DJF3" s="10" t="s">
        <v>70</v>
      </c>
      <c r="DJG3" s="10" t="s">
        <v>67</v>
      </c>
      <c r="DJH3" s="10" t="s">
        <v>70</v>
      </c>
      <c r="DJI3" s="10" t="s">
        <v>67</v>
      </c>
      <c r="DJJ3" s="10" t="s">
        <v>70</v>
      </c>
      <c r="DJK3" s="10" t="s">
        <v>67</v>
      </c>
      <c r="DJL3" s="10" t="s">
        <v>70</v>
      </c>
      <c r="DJM3" s="10" t="s">
        <v>67</v>
      </c>
      <c r="DJN3" s="10" t="s">
        <v>70</v>
      </c>
      <c r="DJO3" s="10" t="s">
        <v>67</v>
      </c>
      <c r="DJP3" s="10" t="s">
        <v>70</v>
      </c>
      <c r="DJQ3" s="10" t="s">
        <v>67</v>
      </c>
      <c r="DJR3" s="10" t="s">
        <v>70</v>
      </c>
      <c r="DJS3" s="10" t="s">
        <v>67</v>
      </c>
      <c r="DJT3" s="10" t="s">
        <v>70</v>
      </c>
      <c r="DJU3" s="10" t="s">
        <v>67</v>
      </c>
      <c r="DJV3" s="10" t="s">
        <v>70</v>
      </c>
      <c r="DJW3" s="10" t="s">
        <v>67</v>
      </c>
      <c r="DJX3" s="10" t="s">
        <v>70</v>
      </c>
      <c r="DJY3" s="10" t="s">
        <v>67</v>
      </c>
      <c r="DJZ3" s="10" t="s">
        <v>70</v>
      </c>
      <c r="DKA3" s="10" t="s">
        <v>67</v>
      </c>
      <c r="DKB3" s="10" t="s">
        <v>70</v>
      </c>
      <c r="DKC3" s="10" t="s">
        <v>67</v>
      </c>
      <c r="DKD3" s="10" t="s">
        <v>70</v>
      </c>
      <c r="DKE3" s="10" t="s">
        <v>67</v>
      </c>
      <c r="DKF3" s="10" t="s">
        <v>70</v>
      </c>
      <c r="DKG3" s="10" t="s">
        <v>67</v>
      </c>
      <c r="DKH3" s="10" t="s">
        <v>70</v>
      </c>
      <c r="DKI3" s="10" t="s">
        <v>67</v>
      </c>
      <c r="DKJ3" s="10" t="s">
        <v>70</v>
      </c>
      <c r="DKK3" s="10" t="s">
        <v>67</v>
      </c>
      <c r="DKL3" s="10" t="s">
        <v>70</v>
      </c>
      <c r="DKM3" s="10" t="s">
        <v>67</v>
      </c>
      <c r="DKN3" s="10" t="s">
        <v>70</v>
      </c>
      <c r="DKO3" s="10" t="s">
        <v>67</v>
      </c>
      <c r="DKP3" s="10" t="s">
        <v>70</v>
      </c>
      <c r="DKQ3" s="10" t="s">
        <v>67</v>
      </c>
      <c r="DKR3" s="10" t="s">
        <v>70</v>
      </c>
      <c r="DKS3" s="10" t="s">
        <v>67</v>
      </c>
      <c r="DKT3" s="10" t="s">
        <v>70</v>
      </c>
      <c r="DKU3" s="10" t="s">
        <v>67</v>
      </c>
      <c r="DKV3" s="10" t="s">
        <v>70</v>
      </c>
      <c r="DKW3" s="10" t="s">
        <v>67</v>
      </c>
      <c r="DKX3" s="10" t="s">
        <v>70</v>
      </c>
      <c r="DKY3" s="10" t="s">
        <v>67</v>
      </c>
      <c r="DKZ3" s="10" t="s">
        <v>70</v>
      </c>
      <c r="DLA3" s="10" t="s">
        <v>67</v>
      </c>
      <c r="DLB3" s="10" t="s">
        <v>70</v>
      </c>
      <c r="DLC3" s="10" t="s">
        <v>67</v>
      </c>
      <c r="DLD3" s="10" t="s">
        <v>70</v>
      </c>
      <c r="DLE3" s="10" t="s">
        <v>67</v>
      </c>
      <c r="DLF3" s="10" t="s">
        <v>70</v>
      </c>
      <c r="DLG3" s="10" t="s">
        <v>67</v>
      </c>
      <c r="DLH3" s="10" t="s">
        <v>70</v>
      </c>
      <c r="DLI3" s="10" t="s">
        <v>67</v>
      </c>
      <c r="DLJ3" s="10" t="s">
        <v>70</v>
      </c>
      <c r="DLK3" s="10" t="s">
        <v>67</v>
      </c>
      <c r="DLL3" s="10" t="s">
        <v>70</v>
      </c>
      <c r="DLM3" s="10" t="s">
        <v>67</v>
      </c>
      <c r="DLN3" s="10" t="s">
        <v>70</v>
      </c>
      <c r="DLO3" s="10" t="s">
        <v>67</v>
      </c>
      <c r="DLP3" s="10" t="s">
        <v>70</v>
      </c>
      <c r="DLQ3" s="10" t="s">
        <v>67</v>
      </c>
      <c r="DLR3" s="10" t="s">
        <v>70</v>
      </c>
      <c r="DLS3" s="10" t="s">
        <v>67</v>
      </c>
      <c r="DLT3" s="10" t="s">
        <v>70</v>
      </c>
      <c r="DLU3" s="10" t="s">
        <v>67</v>
      </c>
      <c r="DLV3" s="10" t="s">
        <v>70</v>
      </c>
      <c r="DLW3" s="10" t="s">
        <v>67</v>
      </c>
      <c r="DLX3" s="10" t="s">
        <v>70</v>
      </c>
      <c r="DLY3" s="10" t="s">
        <v>67</v>
      </c>
      <c r="DLZ3" s="10" t="s">
        <v>70</v>
      </c>
      <c r="DMA3" s="10" t="s">
        <v>67</v>
      </c>
      <c r="DMB3" s="10" t="s">
        <v>70</v>
      </c>
      <c r="DMC3" s="10" t="s">
        <v>67</v>
      </c>
      <c r="DMD3" s="10" t="s">
        <v>70</v>
      </c>
      <c r="DME3" s="10" t="s">
        <v>67</v>
      </c>
      <c r="DMF3" s="10" t="s">
        <v>70</v>
      </c>
      <c r="DMG3" s="10" t="s">
        <v>67</v>
      </c>
      <c r="DMH3" s="10" t="s">
        <v>70</v>
      </c>
      <c r="DMI3" s="10" t="s">
        <v>67</v>
      </c>
      <c r="DMJ3" s="10" t="s">
        <v>70</v>
      </c>
      <c r="DMK3" s="10" t="s">
        <v>67</v>
      </c>
      <c r="DML3" s="10" t="s">
        <v>70</v>
      </c>
      <c r="DMM3" s="10" t="s">
        <v>67</v>
      </c>
      <c r="DMN3" s="10" t="s">
        <v>70</v>
      </c>
      <c r="DMO3" s="10" t="s">
        <v>67</v>
      </c>
      <c r="DMP3" s="10" t="s">
        <v>70</v>
      </c>
      <c r="DMQ3" s="10" t="s">
        <v>67</v>
      </c>
      <c r="DMR3" s="10" t="s">
        <v>70</v>
      </c>
      <c r="DMS3" s="10" t="s">
        <v>67</v>
      </c>
      <c r="DMT3" s="10" t="s">
        <v>70</v>
      </c>
      <c r="DMU3" s="10" t="s">
        <v>67</v>
      </c>
      <c r="DMV3" s="10" t="s">
        <v>70</v>
      </c>
      <c r="DMW3" s="10" t="s">
        <v>67</v>
      </c>
      <c r="DMX3" s="10" t="s">
        <v>70</v>
      </c>
      <c r="DMY3" s="10" t="s">
        <v>67</v>
      </c>
      <c r="DMZ3" s="10" t="s">
        <v>70</v>
      </c>
      <c r="DNA3" s="10" t="s">
        <v>67</v>
      </c>
      <c r="DNB3" s="10" t="s">
        <v>70</v>
      </c>
      <c r="DNC3" s="10" t="s">
        <v>67</v>
      </c>
      <c r="DND3" s="10" t="s">
        <v>70</v>
      </c>
      <c r="DNE3" s="10" t="s">
        <v>67</v>
      </c>
      <c r="DNF3" s="10" t="s">
        <v>70</v>
      </c>
      <c r="DNG3" s="10" t="s">
        <v>67</v>
      </c>
      <c r="DNH3" s="10" t="s">
        <v>70</v>
      </c>
      <c r="DNI3" s="10" t="s">
        <v>67</v>
      </c>
      <c r="DNJ3" s="10" t="s">
        <v>70</v>
      </c>
      <c r="DNK3" s="10" t="s">
        <v>67</v>
      </c>
      <c r="DNL3" s="10" t="s">
        <v>70</v>
      </c>
      <c r="DNM3" s="10" t="s">
        <v>67</v>
      </c>
      <c r="DNN3" s="10" t="s">
        <v>70</v>
      </c>
      <c r="DNO3" s="10" t="s">
        <v>67</v>
      </c>
      <c r="DNP3" s="10" t="s">
        <v>70</v>
      </c>
      <c r="DNQ3" s="10" t="s">
        <v>67</v>
      </c>
      <c r="DNR3" s="10" t="s">
        <v>70</v>
      </c>
      <c r="DNS3" s="10" t="s">
        <v>67</v>
      </c>
      <c r="DNT3" s="10" t="s">
        <v>70</v>
      </c>
      <c r="DNU3" s="10" t="s">
        <v>67</v>
      </c>
      <c r="DNV3" s="10" t="s">
        <v>70</v>
      </c>
      <c r="DNW3" s="10" t="s">
        <v>67</v>
      </c>
      <c r="DNX3" s="10" t="s">
        <v>70</v>
      </c>
      <c r="DNY3" s="10" t="s">
        <v>67</v>
      </c>
      <c r="DNZ3" s="10" t="s">
        <v>70</v>
      </c>
      <c r="DOA3" s="10" t="s">
        <v>67</v>
      </c>
      <c r="DOB3" s="10" t="s">
        <v>70</v>
      </c>
      <c r="DOC3" s="10" t="s">
        <v>67</v>
      </c>
      <c r="DOD3" s="10" t="s">
        <v>70</v>
      </c>
      <c r="DOE3" s="10" t="s">
        <v>67</v>
      </c>
      <c r="DOF3" s="10" t="s">
        <v>70</v>
      </c>
      <c r="DOG3" s="10" t="s">
        <v>67</v>
      </c>
      <c r="DOH3" s="10" t="s">
        <v>70</v>
      </c>
      <c r="DOI3" s="10" t="s">
        <v>67</v>
      </c>
      <c r="DOJ3" s="10" t="s">
        <v>70</v>
      </c>
      <c r="DOK3" s="10" t="s">
        <v>67</v>
      </c>
      <c r="DOL3" s="10" t="s">
        <v>70</v>
      </c>
      <c r="DOM3" s="10" t="s">
        <v>67</v>
      </c>
      <c r="DON3" s="10" t="s">
        <v>70</v>
      </c>
      <c r="DOO3" s="10" t="s">
        <v>67</v>
      </c>
      <c r="DOP3" s="10" t="s">
        <v>70</v>
      </c>
      <c r="DOQ3" s="10" t="s">
        <v>67</v>
      </c>
      <c r="DOR3" s="10" t="s">
        <v>70</v>
      </c>
      <c r="DOS3" s="10" t="s">
        <v>67</v>
      </c>
      <c r="DOT3" s="10" t="s">
        <v>70</v>
      </c>
      <c r="DOU3" s="10" t="s">
        <v>67</v>
      </c>
      <c r="DOV3" s="10" t="s">
        <v>70</v>
      </c>
      <c r="DOW3" s="10" t="s">
        <v>67</v>
      </c>
      <c r="DOX3" s="10" t="s">
        <v>70</v>
      </c>
      <c r="DOY3" s="10" t="s">
        <v>67</v>
      </c>
      <c r="DOZ3" s="10" t="s">
        <v>70</v>
      </c>
      <c r="DPA3" s="10" t="s">
        <v>67</v>
      </c>
      <c r="DPB3" s="10" t="s">
        <v>70</v>
      </c>
      <c r="DPC3" s="10" t="s">
        <v>67</v>
      </c>
      <c r="DPD3" s="10" t="s">
        <v>70</v>
      </c>
      <c r="DPE3" s="10" t="s">
        <v>67</v>
      </c>
      <c r="DPF3" s="10" t="s">
        <v>70</v>
      </c>
      <c r="DPG3" s="10" t="s">
        <v>67</v>
      </c>
      <c r="DPH3" s="10" t="s">
        <v>70</v>
      </c>
      <c r="DPI3" s="10" t="s">
        <v>67</v>
      </c>
      <c r="DPJ3" s="10" t="s">
        <v>70</v>
      </c>
      <c r="DPK3" s="10" t="s">
        <v>67</v>
      </c>
      <c r="DPL3" s="10" t="s">
        <v>70</v>
      </c>
      <c r="DPM3" s="10" t="s">
        <v>67</v>
      </c>
      <c r="DPN3" s="10" t="s">
        <v>70</v>
      </c>
      <c r="DPO3" s="10" t="s">
        <v>67</v>
      </c>
      <c r="DPP3" s="10" t="s">
        <v>70</v>
      </c>
      <c r="DPQ3" s="10" t="s">
        <v>67</v>
      </c>
      <c r="DPR3" s="10" t="s">
        <v>70</v>
      </c>
      <c r="DPS3" s="10" t="s">
        <v>67</v>
      </c>
      <c r="DPT3" s="10" t="s">
        <v>70</v>
      </c>
      <c r="DPU3" s="10" t="s">
        <v>67</v>
      </c>
      <c r="DPV3" s="10" t="s">
        <v>70</v>
      </c>
      <c r="DPW3" s="10" t="s">
        <v>67</v>
      </c>
      <c r="DPX3" s="10" t="s">
        <v>70</v>
      </c>
      <c r="DPY3" s="10" t="s">
        <v>67</v>
      </c>
      <c r="DPZ3" s="10" t="s">
        <v>70</v>
      </c>
      <c r="DQA3" s="10" t="s">
        <v>67</v>
      </c>
      <c r="DQB3" s="10" t="s">
        <v>70</v>
      </c>
      <c r="DQC3" s="10" t="s">
        <v>67</v>
      </c>
      <c r="DQD3" s="10" t="s">
        <v>70</v>
      </c>
      <c r="DQE3" s="10" t="s">
        <v>67</v>
      </c>
      <c r="DQF3" s="10" t="s">
        <v>70</v>
      </c>
      <c r="DQG3" s="10" t="s">
        <v>67</v>
      </c>
      <c r="DQH3" s="10" t="s">
        <v>70</v>
      </c>
      <c r="DQI3" s="10" t="s">
        <v>67</v>
      </c>
      <c r="DQJ3" s="10" t="s">
        <v>70</v>
      </c>
      <c r="DQK3" s="10" t="s">
        <v>67</v>
      </c>
      <c r="DQL3" s="10" t="s">
        <v>70</v>
      </c>
      <c r="DQM3" s="10" t="s">
        <v>67</v>
      </c>
      <c r="DQN3" s="10" t="s">
        <v>70</v>
      </c>
      <c r="DQO3" s="10" t="s">
        <v>67</v>
      </c>
      <c r="DQP3" s="10" t="s">
        <v>70</v>
      </c>
      <c r="DQQ3" s="10" t="s">
        <v>67</v>
      </c>
      <c r="DQR3" s="10" t="s">
        <v>70</v>
      </c>
      <c r="DQS3" s="10" t="s">
        <v>67</v>
      </c>
      <c r="DQT3" s="10" t="s">
        <v>70</v>
      </c>
      <c r="DQU3" s="10" t="s">
        <v>67</v>
      </c>
      <c r="DQV3" s="10" t="s">
        <v>70</v>
      </c>
      <c r="DQW3" s="10" t="s">
        <v>67</v>
      </c>
      <c r="DQX3" s="10" t="s">
        <v>70</v>
      </c>
      <c r="DQY3" s="10" t="s">
        <v>67</v>
      </c>
      <c r="DQZ3" s="10" t="s">
        <v>70</v>
      </c>
      <c r="DRA3" s="10" t="s">
        <v>67</v>
      </c>
      <c r="DRB3" s="10" t="s">
        <v>70</v>
      </c>
      <c r="DRC3" s="10" t="s">
        <v>67</v>
      </c>
      <c r="DRD3" s="10" t="s">
        <v>70</v>
      </c>
      <c r="DRE3" s="10" t="s">
        <v>67</v>
      </c>
      <c r="DRF3" s="10" t="s">
        <v>70</v>
      </c>
      <c r="DRG3" s="10" t="s">
        <v>67</v>
      </c>
      <c r="DRH3" s="10" t="s">
        <v>70</v>
      </c>
      <c r="DRI3" s="10" t="s">
        <v>67</v>
      </c>
      <c r="DRJ3" s="10" t="s">
        <v>70</v>
      </c>
      <c r="DRK3" s="10" t="s">
        <v>67</v>
      </c>
      <c r="DRL3" s="10" t="s">
        <v>70</v>
      </c>
      <c r="DRM3" s="10" t="s">
        <v>67</v>
      </c>
      <c r="DRN3" s="10" t="s">
        <v>70</v>
      </c>
      <c r="DRO3" s="10" t="s">
        <v>67</v>
      </c>
      <c r="DRP3" s="10" t="s">
        <v>70</v>
      </c>
      <c r="DRQ3" s="10" t="s">
        <v>67</v>
      </c>
      <c r="DRR3" s="10" t="s">
        <v>70</v>
      </c>
      <c r="DRS3" s="10" t="s">
        <v>67</v>
      </c>
      <c r="DRT3" s="10" t="s">
        <v>70</v>
      </c>
      <c r="DRU3" s="10" t="s">
        <v>67</v>
      </c>
      <c r="DRV3" s="10" t="s">
        <v>70</v>
      </c>
      <c r="DRW3" s="10" t="s">
        <v>67</v>
      </c>
      <c r="DRX3" s="10" t="s">
        <v>70</v>
      </c>
      <c r="DRY3" s="10" t="s">
        <v>67</v>
      </c>
      <c r="DRZ3" s="10" t="s">
        <v>70</v>
      </c>
      <c r="DSA3" s="10" t="s">
        <v>67</v>
      </c>
      <c r="DSB3" s="10" t="s">
        <v>70</v>
      </c>
      <c r="DSC3" s="10" t="s">
        <v>67</v>
      </c>
      <c r="DSD3" s="10" t="s">
        <v>70</v>
      </c>
      <c r="DSE3" s="10" t="s">
        <v>67</v>
      </c>
      <c r="DSF3" s="10" t="s">
        <v>70</v>
      </c>
      <c r="DSG3" s="10" t="s">
        <v>67</v>
      </c>
      <c r="DSH3" s="10" t="s">
        <v>70</v>
      </c>
      <c r="DSI3" s="10" t="s">
        <v>67</v>
      </c>
      <c r="DSJ3" s="10" t="s">
        <v>70</v>
      </c>
      <c r="DSK3" s="10" t="s">
        <v>67</v>
      </c>
      <c r="DSL3" s="10" t="s">
        <v>70</v>
      </c>
      <c r="DSM3" s="10" t="s">
        <v>67</v>
      </c>
      <c r="DSN3" s="10" t="s">
        <v>70</v>
      </c>
      <c r="DSO3" s="10" t="s">
        <v>67</v>
      </c>
      <c r="DSP3" s="10" t="s">
        <v>70</v>
      </c>
      <c r="DSQ3" s="10" t="s">
        <v>67</v>
      </c>
      <c r="DSR3" s="10" t="s">
        <v>70</v>
      </c>
      <c r="DSS3" s="10" t="s">
        <v>67</v>
      </c>
      <c r="DST3" s="10" t="s">
        <v>70</v>
      </c>
      <c r="DSU3" s="10" t="s">
        <v>67</v>
      </c>
      <c r="DSV3" s="10" t="s">
        <v>70</v>
      </c>
      <c r="DSW3" s="10" t="s">
        <v>67</v>
      </c>
      <c r="DSX3" s="10" t="s">
        <v>70</v>
      </c>
      <c r="DSY3" s="10" t="s">
        <v>67</v>
      </c>
      <c r="DSZ3" s="10" t="s">
        <v>70</v>
      </c>
      <c r="DTA3" s="10" t="s">
        <v>67</v>
      </c>
      <c r="DTB3" s="10" t="s">
        <v>70</v>
      </c>
      <c r="DTC3" s="10" t="s">
        <v>67</v>
      </c>
      <c r="DTD3" s="10" t="s">
        <v>70</v>
      </c>
      <c r="DTE3" s="10" t="s">
        <v>67</v>
      </c>
      <c r="DTF3" s="10" t="s">
        <v>70</v>
      </c>
      <c r="DTG3" s="10" t="s">
        <v>67</v>
      </c>
      <c r="DTH3" s="10" t="s">
        <v>70</v>
      </c>
      <c r="DTI3" s="10" t="s">
        <v>67</v>
      </c>
      <c r="DTJ3" s="10" t="s">
        <v>70</v>
      </c>
      <c r="DTK3" s="10" t="s">
        <v>67</v>
      </c>
      <c r="DTL3" s="10" t="s">
        <v>70</v>
      </c>
      <c r="DTM3" s="10" t="s">
        <v>67</v>
      </c>
      <c r="DTN3" s="10" t="s">
        <v>70</v>
      </c>
      <c r="DTO3" s="10" t="s">
        <v>67</v>
      </c>
      <c r="DTP3" s="10" t="s">
        <v>70</v>
      </c>
      <c r="DTQ3" s="10" t="s">
        <v>67</v>
      </c>
      <c r="DTR3" s="10" t="s">
        <v>70</v>
      </c>
      <c r="DTS3" s="10" t="s">
        <v>67</v>
      </c>
      <c r="DTT3" s="10" t="s">
        <v>70</v>
      </c>
      <c r="DTU3" s="10" t="s">
        <v>67</v>
      </c>
      <c r="DTV3" s="10" t="s">
        <v>70</v>
      </c>
      <c r="DTW3" s="10" t="s">
        <v>67</v>
      </c>
      <c r="DTX3" s="10" t="s">
        <v>70</v>
      </c>
      <c r="DTY3" s="10" t="s">
        <v>67</v>
      </c>
      <c r="DTZ3" s="10" t="s">
        <v>70</v>
      </c>
      <c r="DUA3" s="10" t="s">
        <v>67</v>
      </c>
      <c r="DUB3" s="10" t="s">
        <v>70</v>
      </c>
      <c r="DUC3" s="10" t="s">
        <v>67</v>
      </c>
      <c r="DUD3" s="10" t="s">
        <v>70</v>
      </c>
      <c r="DUE3" s="10" t="s">
        <v>67</v>
      </c>
      <c r="DUF3" s="10" t="s">
        <v>70</v>
      </c>
      <c r="DUG3" s="10" t="s">
        <v>67</v>
      </c>
      <c r="DUH3" s="10" t="s">
        <v>70</v>
      </c>
      <c r="DUI3" s="10" t="s">
        <v>67</v>
      </c>
      <c r="DUJ3" s="10" t="s">
        <v>70</v>
      </c>
      <c r="DUK3" s="10" t="s">
        <v>67</v>
      </c>
      <c r="DUL3" s="10" t="s">
        <v>70</v>
      </c>
      <c r="DUM3" s="10" t="s">
        <v>67</v>
      </c>
      <c r="DUN3" s="10" t="s">
        <v>70</v>
      </c>
      <c r="DUO3" s="10" t="s">
        <v>67</v>
      </c>
      <c r="DUP3" s="10" t="s">
        <v>70</v>
      </c>
      <c r="DUQ3" s="10" t="s">
        <v>67</v>
      </c>
      <c r="DUR3" s="10" t="s">
        <v>70</v>
      </c>
      <c r="DUS3" s="10" t="s">
        <v>67</v>
      </c>
      <c r="DUT3" s="10" t="s">
        <v>70</v>
      </c>
      <c r="DUU3" s="10" t="s">
        <v>67</v>
      </c>
      <c r="DUV3" s="10" t="s">
        <v>70</v>
      </c>
      <c r="DUW3" s="10" t="s">
        <v>67</v>
      </c>
      <c r="DUX3" s="10" t="s">
        <v>70</v>
      </c>
      <c r="DUY3" s="10" t="s">
        <v>67</v>
      </c>
      <c r="DUZ3" s="10" t="s">
        <v>70</v>
      </c>
      <c r="DVA3" s="10" t="s">
        <v>67</v>
      </c>
      <c r="DVB3" s="10" t="s">
        <v>70</v>
      </c>
      <c r="DVC3" s="10" t="s">
        <v>67</v>
      </c>
      <c r="DVD3" s="10" t="s">
        <v>70</v>
      </c>
      <c r="DVE3" s="10" t="s">
        <v>67</v>
      </c>
      <c r="DVF3" s="10" t="s">
        <v>70</v>
      </c>
      <c r="DVG3" s="10" t="s">
        <v>67</v>
      </c>
      <c r="DVH3" s="10" t="s">
        <v>70</v>
      </c>
      <c r="DVI3" s="10" t="s">
        <v>67</v>
      </c>
      <c r="DVJ3" s="10" t="s">
        <v>70</v>
      </c>
      <c r="DVK3" s="10" t="s">
        <v>67</v>
      </c>
      <c r="DVL3" s="10" t="s">
        <v>70</v>
      </c>
      <c r="DVM3" s="10" t="s">
        <v>67</v>
      </c>
      <c r="DVN3" s="10" t="s">
        <v>70</v>
      </c>
      <c r="DVO3" s="10" t="s">
        <v>67</v>
      </c>
      <c r="DVP3" s="10" t="s">
        <v>70</v>
      </c>
      <c r="DVQ3" s="10" t="s">
        <v>67</v>
      </c>
      <c r="DVR3" s="10" t="s">
        <v>70</v>
      </c>
      <c r="DVS3" s="10" t="s">
        <v>67</v>
      </c>
      <c r="DVT3" s="10" t="s">
        <v>70</v>
      </c>
      <c r="DVU3" s="10" t="s">
        <v>67</v>
      </c>
      <c r="DVV3" s="10" t="s">
        <v>70</v>
      </c>
      <c r="DVW3" s="10" t="s">
        <v>67</v>
      </c>
      <c r="DVX3" s="10" t="s">
        <v>70</v>
      </c>
      <c r="DVY3" s="10" t="s">
        <v>67</v>
      </c>
      <c r="DVZ3" s="10" t="s">
        <v>70</v>
      </c>
      <c r="DWA3" s="10" t="s">
        <v>67</v>
      </c>
      <c r="DWB3" s="10" t="s">
        <v>70</v>
      </c>
      <c r="DWC3" s="10" t="s">
        <v>67</v>
      </c>
      <c r="DWD3" s="10" t="s">
        <v>70</v>
      </c>
      <c r="DWE3" s="10" t="s">
        <v>67</v>
      </c>
      <c r="DWF3" s="10" t="s">
        <v>70</v>
      </c>
      <c r="DWG3" s="10" t="s">
        <v>67</v>
      </c>
      <c r="DWH3" s="10" t="s">
        <v>70</v>
      </c>
      <c r="DWI3" s="10" t="s">
        <v>67</v>
      </c>
      <c r="DWJ3" s="10" t="s">
        <v>70</v>
      </c>
      <c r="DWK3" s="10" t="s">
        <v>67</v>
      </c>
      <c r="DWL3" s="10" t="s">
        <v>70</v>
      </c>
      <c r="DWM3" s="10" t="s">
        <v>67</v>
      </c>
      <c r="DWN3" s="10" t="s">
        <v>70</v>
      </c>
      <c r="DWO3" s="10" t="s">
        <v>67</v>
      </c>
      <c r="DWP3" s="10" t="s">
        <v>70</v>
      </c>
      <c r="DWQ3" s="10" t="s">
        <v>67</v>
      </c>
      <c r="DWR3" s="10" t="s">
        <v>70</v>
      </c>
      <c r="DWS3" s="10" t="s">
        <v>67</v>
      </c>
      <c r="DWT3" s="10" t="s">
        <v>70</v>
      </c>
      <c r="DWU3" s="10" t="s">
        <v>67</v>
      </c>
      <c r="DWV3" s="10" t="s">
        <v>70</v>
      </c>
      <c r="DWW3" s="10" t="s">
        <v>67</v>
      </c>
      <c r="DWX3" s="10" t="s">
        <v>70</v>
      </c>
      <c r="DWY3" s="10" t="s">
        <v>67</v>
      </c>
      <c r="DWZ3" s="10" t="s">
        <v>70</v>
      </c>
      <c r="DXA3" s="10" t="s">
        <v>67</v>
      </c>
      <c r="DXB3" s="10" t="s">
        <v>70</v>
      </c>
      <c r="DXC3" s="10" t="s">
        <v>67</v>
      </c>
      <c r="DXD3" s="10" t="s">
        <v>70</v>
      </c>
      <c r="DXE3" s="10" t="s">
        <v>67</v>
      </c>
      <c r="DXF3" s="10" t="s">
        <v>70</v>
      </c>
      <c r="DXG3" s="10" t="s">
        <v>67</v>
      </c>
      <c r="DXH3" s="10" t="s">
        <v>70</v>
      </c>
      <c r="DXI3" s="10" t="s">
        <v>67</v>
      </c>
      <c r="DXJ3" s="10" t="s">
        <v>70</v>
      </c>
      <c r="DXK3" s="10" t="s">
        <v>67</v>
      </c>
      <c r="DXL3" s="10" t="s">
        <v>70</v>
      </c>
      <c r="DXM3" s="10" t="s">
        <v>67</v>
      </c>
      <c r="DXN3" s="10" t="s">
        <v>70</v>
      </c>
      <c r="DXO3" s="10" t="s">
        <v>67</v>
      </c>
      <c r="DXP3" s="10" t="s">
        <v>70</v>
      </c>
      <c r="DXQ3" s="10" t="s">
        <v>67</v>
      </c>
      <c r="DXR3" s="10" t="s">
        <v>70</v>
      </c>
      <c r="DXS3" s="10" t="s">
        <v>67</v>
      </c>
      <c r="DXT3" s="10" t="s">
        <v>70</v>
      </c>
      <c r="DXU3" s="10" t="s">
        <v>67</v>
      </c>
      <c r="DXV3" s="10" t="s">
        <v>70</v>
      </c>
      <c r="DXW3" s="10" t="s">
        <v>67</v>
      </c>
      <c r="DXX3" s="10" t="s">
        <v>70</v>
      </c>
      <c r="DXY3" s="10" t="s">
        <v>67</v>
      </c>
      <c r="DXZ3" s="10" t="s">
        <v>70</v>
      </c>
      <c r="DYA3" s="10" t="s">
        <v>67</v>
      </c>
      <c r="DYB3" s="10" t="s">
        <v>70</v>
      </c>
      <c r="DYC3" s="10" t="s">
        <v>67</v>
      </c>
      <c r="DYD3" s="10" t="s">
        <v>70</v>
      </c>
      <c r="DYE3" s="10" t="s">
        <v>67</v>
      </c>
      <c r="DYF3" s="10" t="s">
        <v>70</v>
      </c>
      <c r="DYG3" s="10" t="s">
        <v>67</v>
      </c>
      <c r="DYH3" s="10" t="s">
        <v>70</v>
      </c>
      <c r="DYI3" s="10" t="s">
        <v>67</v>
      </c>
      <c r="DYJ3" s="10" t="s">
        <v>70</v>
      </c>
      <c r="DYK3" s="10" t="s">
        <v>67</v>
      </c>
      <c r="DYL3" s="10" t="s">
        <v>70</v>
      </c>
      <c r="DYM3" s="10" t="s">
        <v>67</v>
      </c>
      <c r="DYN3" s="10" t="s">
        <v>70</v>
      </c>
      <c r="DYO3" s="10" t="s">
        <v>67</v>
      </c>
      <c r="DYP3" s="10" t="s">
        <v>70</v>
      </c>
      <c r="DYQ3" s="10" t="s">
        <v>67</v>
      </c>
      <c r="DYR3" s="10" t="s">
        <v>70</v>
      </c>
      <c r="DYS3" s="10" t="s">
        <v>67</v>
      </c>
      <c r="DYT3" s="10" t="s">
        <v>70</v>
      </c>
      <c r="DYU3" s="10" t="s">
        <v>67</v>
      </c>
      <c r="DYV3" s="10" t="s">
        <v>70</v>
      </c>
      <c r="DYW3" s="10" t="s">
        <v>67</v>
      </c>
      <c r="DYX3" s="10" t="s">
        <v>70</v>
      </c>
      <c r="DYY3" s="10" t="s">
        <v>67</v>
      </c>
      <c r="DYZ3" s="10" t="s">
        <v>70</v>
      </c>
      <c r="DZA3" s="10" t="s">
        <v>67</v>
      </c>
      <c r="DZB3" s="10" t="s">
        <v>70</v>
      </c>
      <c r="DZC3" s="10" t="s">
        <v>67</v>
      </c>
      <c r="DZD3" s="10" t="s">
        <v>70</v>
      </c>
      <c r="DZE3" s="10" t="s">
        <v>67</v>
      </c>
      <c r="DZF3" s="10" t="s">
        <v>70</v>
      </c>
      <c r="DZG3" s="10" t="s">
        <v>67</v>
      </c>
      <c r="DZH3" s="10" t="s">
        <v>70</v>
      </c>
      <c r="DZI3" s="10" t="s">
        <v>67</v>
      </c>
      <c r="DZJ3" s="10" t="s">
        <v>70</v>
      </c>
      <c r="DZK3" s="10" t="s">
        <v>67</v>
      </c>
      <c r="DZL3" s="10" t="s">
        <v>70</v>
      </c>
      <c r="DZM3" s="10" t="s">
        <v>67</v>
      </c>
      <c r="DZN3" s="10" t="s">
        <v>70</v>
      </c>
      <c r="DZO3" s="10" t="s">
        <v>67</v>
      </c>
      <c r="DZP3" s="10" t="s">
        <v>70</v>
      </c>
      <c r="DZQ3" s="10" t="s">
        <v>67</v>
      </c>
      <c r="DZR3" s="10" t="s">
        <v>70</v>
      </c>
      <c r="DZS3" s="10" t="s">
        <v>67</v>
      </c>
      <c r="DZT3" s="10" t="s">
        <v>70</v>
      </c>
      <c r="DZU3" s="10" t="s">
        <v>67</v>
      </c>
      <c r="DZV3" s="10" t="s">
        <v>70</v>
      </c>
      <c r="DZW3" s="10" t="s">
        <v>67</v>
      </c>
      <c r="DZX3" s="10" t="s">
        <v>70</v>
      </c>
      <c r="DZY3" s="10" t="s">
        <v>67</v>
      </c>
      <c r="DZZ3" s="10" t="s">
        <v>70</v>
      </c>
      <c r="EAA3" s="10" t="s">
        <v>67</v>
      </c>
      <c r="EAB3" s="10" t="s">
        <v>70</v>
      </c>
      <c r="EAC3" s="10" t="s">
        <v>67</v>
      </c>
      <c r="EAD3" s="10" t="s">
        <v>70</v>
      </c>
      <c r="EAE3" s="10" t="s">
        <v>67</v>
      </c>
      <c r="EAF3" s="10" t="s">
        <v>70</v>
      </c>
      <c r="EAG3" s="10" t="s">
        <v>67</v>
      </c>
      <c r="EAH3" s="10" t="s">
        <v>70</v>
      </c>
      <c r="EAI3" s="10" t="s">
        <v>67</v>
      </c>
      <c r="EAJ3" s="10" t="s">
        <v>70</v>
      </c>
      <c r="EAK3" s="10" t="s">
        <v>67</v>
      </c>
      <c r="EAL3" s="10" t="s">
        <v>70</v>
      </c>
      <c r="EAM3" s="10" t="s">
        <v>67</v>
      </c>
      <c r="EAN3" s="10" t="s">
        <v>70</v>
      </c>
      <c r="EAO3" s="10" t="s">
        <v>67</v>
      </c>
      <c r="EAP3" s="10" t="s">
        <v>70</v>
      </c>
      <c r="EAQ3" s="10" t="s">
        <v>67</v>
      </c>
      <c r="EAR3" s="10" t="s">
        <v>70</v>
      </c>
      <c r="EAS3" s="10" t="s">
        <v>67</v>
      </c>
      <c r="EAT3" s="10" t="s">
        <v>70</v>
      </c>
      <c r="EAU3" s="10" t="s">
        <v>67</v>
      </c>
      <c r="EAV3" s="10" t="s">
        <v>70</v>
      </c>
      <c r="EAW3" s="10" t="s">
        <v>67</v>
      </c>
      <c r="EAX3" s="10" t="s">
        <v>70</v>
      </c>
      <c r="EAY3" s="10" t="s">
        <v>67</v>
      </c>
      <c r="EAZ3" s="10" t="s">
        <v>70</v>
      </c>
      <c r="EBA3" s="10" t="s">
        <v>67</v>
      </c>
      <c r="EBB3" s="10" t="s">
        <v>70</v>
      </c>
      <c r="EBC3" s="10" t="s">
        <v>67</v>
      </c>
      <c r="EBD3" s="10" t="s">
        <v>70</v>
      </c>
      <c r="EBE3" s="10" t="s">
        <v>67</v>
      </c>
      <c r="EBF3" s="10" t="s">
        <v>70</v>
      </c>
      <c r="EBG3" s="10" t="s">
        <v>67</v>
      </c>
      <c r="EBH3" s="10" t="s">
        <v>70</v>
      </c>
      <c r="EBI3" s="10" t="s">
        <v>67</v>
      </c>
      <c r="EBJ3" s="10" t="s">
        <v>70</v>
      </c>
      <c r="EBK3" s="10" t="s">
        <v>67</v>
      </c>
      <c r="EBL3" s="10" t="s">
        <v>70</v>
      </c>
      <c r="EBM3" s="10" t="s">
        <v>67</v>
      </c>
      <c r="EBN3" s="10" t="s">
        <v>70</v>
      </c>
      <c r="EBO3" s="10" t="s">
        <v>67</v>
      </c>
      <c r="EBP3" s="10" t="s">
        <v>70</v>
      </c>
      <c r="EBQ3" s="10" t="s">
        <v>67</v>
      </c>
      <c r="EBR3" s="10" t="s">
        <v>70</v>
      </c>
      <c r="EBS3" s="10" t="s">
        <v>67</v>
      </c>
      <c r="EBT3" s="10" t="s">
        <v>70</v>
      </c>
      <c r="EBU3" s="10" t="s">
        <v>67</v>
      </c>
      <c r="EBV3" s="10" t="s">
        <v>70</v>
      </c>
      <c r="EBW3" s="10" t="s">
        <v>67</v>
      </c>
      <c r="EBX3" s="10" t="s">
        <v>70</v>
      </c>
      <c r="EBY3" s="10" t="s">
        <v>67</v>
      </c>
      <c r="EBZ3" s="10" t="s">
        <v>70</v>
      </c>
      <c r="ECA3" s="10" t="s">
        <v>67</v>
      </c>
      <c r="ECB3" s="10" t="s">
        <v>70</v>
      </c>
      <c r="ECC3" s="10" t="s">
        <v>67</v>
      </c>
      <c r="ECD3" s="10" t="s">
        <v>70</v>
      </c>
      <c r="ECE3" s="10" t="s">
        <v>67</v>
      </c>
      <c r="ECF3" s="10" t="s">
        <v>70</v>
      </c>
      <c r="ECG3" s="10" t="s">
        <v>67</v>
      </c>
      <c r="ECH3" s="10" t="s">
        <v>70</v>
      </c>
      <c r="ECI3" s="10" t="s">
        <v>67</v>
      </c>
      <c r="ECJ3" s="10" t="s">
        <v>70</v>
      </c>
      <c r="ECK3" s="10" t="s">
        <v>67</v>
      </c>
      <c r="ECL3" s="10" t="s">
        <v>70</v>
      </c>
      <c r="ECM3" s="10" t="s">
        <v>67</v>
      </c>
      <c r="ECN3" s="10" t="s">
        <v>70</v>
      </c>
      <c r="ECO3" s="10" t="s">
        <v>67</v>
      </c>
      <c r="ECP3" s="10" t="s">
        <v>70</v>
      </c>
      <c r="ECQ3" s="10" t="s">
        <v>67</v>
      </c>
      <c r="ECR3" s="10" t="s">
        <v>70</v>
      </c>
      <c r="ECS3" s="10" t="s">
        <v>67</v>
      </c>
      <c r="ECT3" s="10" t="s">
        <v>70</v>
      </c>
      <c r="ECU3" s="10" t="s">
        <v>67</v>
      </c>
      <c r="ECV3" s="10" t="s">
        <v>70</v>
      </c>
      <c r="ECW3" s="10" t="s">
        <v>67</v>
      </c>
      <c r="ECX3" s="10" t="s">
        <v>70</v>
      </c>
      <c r="ECY3" s="10" t="s">
        <v>67</v>
      </c>
      <c r="ECZ3" s="10" t="s">
        <v>70</v>
      </c>
      <c r="EDA3" s="10" t="s">
        <v>67</v>
      </c>
      <c r="EDB3" s="10" t="s">
        <v>70</v>
      </c>
      <c r="EDC3" s="10" t="s">
        <v>67</v>
      </c>
      <c r="EDD3" s="10" t="s">
        <v>70</v>
      </c>
      <c r="EDE3" s="10" t="s">
        <v>67</v>
      </c>
      <c r="EDF3" s="10" t="s">
        <v>70</v>
      </c>
      <c r="EDG3" s="10" t="s">
        <v>67</v>
      </c>
      <c r="EDH3" s="10" t="s">
        <v>70</v>
      </c>
      <c r="EDI3" s="10" t="s">
        <v>67</v>
      </c>
      <c r="EDJ3" s="10" t="s">
        <v>70</v>
      </c>
      <c r="EDK3" s="10" t="s">
        <v>67</v>
      </c>
      <c r="EDL3" s="10" t="s">
        <v>70</v>
      </c>
      <c r="EDM3" s="10" t="s">
        <v>67</v>
      </c>
      <c r="EDN3" s="10" t="s">
        <v>70</v>
      </c>
      <c r="EDO3" s="10" t="s">
        <v>67</v>
      </c>
      <c r="EDP3" s="10" t="s">
        <v>70</v>
      </c>
      <c r="EDQ3" s="10" t="s">
        <v>67</v>
      </c>
      <c r="EDR3" s="10" t="s">
        <v>70</v>
      </c>
      <c r="EDS3" s="10" t="s">
        <v>67</v>
      </c>
      <c r="EDT3" s="10" t="s">
        <v>70</v>
      </c>
      <c r="EDU3" s="10" t="s">
        <v>67</v>
      </c>
      <c r="EDV3" s="10" t="s">
        <v>70</v>
      </c>
      <c r="EDW3" s="10" t="s">
        <v>67</v>
      </c>
      <c r="EDX3" s="10" t="s">
        <v>70</v>
      </c>
      <c r="EDY3" s="10" t="s">
        <v>67</v>
      </c>
      <c r="EDZ3" s="10" t="s">
        <v>70</v>
      </c>
      <c r="EEA3" s="10" t="s">
        <v>67</v>
      </c>
      <c r="EEB3" s="10" t="s">
        <v>70</v>
      </c>
      <c r="EEC3" s="10" t="s">
        <v>67</v>
      </c>
      <c r="EED3" s="10" t="s">
        <v>70</v>
      </c>
      <c r="EEE3" s="10" t="s">
        <v>67</v>
      </c>
      <c r="EEF3" s="10" t="s">
        <v>70</v>
      </c>
      <c r="EEG3" s="10" t="s">
        <v>67</v>
      </c>
      <c r="EEH3" s="10" t="s">
        <v>70</v>
      </c>
      <c r="EEI3" s="10" t="s">
        <v>67</v>
      </c>
      <c r="EEJ3" s="10" t="s">
        <v>70</v>
      </c>
      <c r="EEK3" s="10" t="s">
        <v>67</v>
      </c>
      <c r="EEL3" s="10" t="s">
        <v>70</v>
      </c>
      <c r="EEM3" s="10" t="s">
        <v>67</v>
      </c>
      <c r="EEN3" s="10" t="s">
        <v>70</v>
      </c>
      <c r="EEO3" s="10" t="s">
        <v>67</v>
      </c>
      <c r="EEP3" s="10" t="s">
        <v>70</v>
      </c>
      <c r="EEQ3" s="10" t="s">
        <v>67</v>
      </c>
      <c r="EER3" s="10" t="s">
        <v>70</v>
      </c>
      <c r="EES3" s="10" t="s">
        <v>67</v>
      </c>
      <c r="EET3" s="10" t="s">
        <v>70</v>
      </c>
      <c r="EEU3" s="10" t="s">
        <v>67</v>
      </c>
      <c r="EEV3" s="10" t="s">
        <v>70</v>
      </c>
      <c r="EEW3" s="10" t="s">
        <v>67</v>
      </c>
      <c r="EEX3" s="10" t="s">
        <v>70</v>
      </c>
      <c r="EEY3" s="10" t="s">
        <v>67</v>
      </c>
      <c r="EEZ3" s="10" t="s">
        <v>70</v>
      </c>
      <c r="EFA3" s="10" t="s">
        <v>67</v>
      </c>
      <c r="EFB3" s="10" t="s">
        <v>70</v>
      </c>
      <c r="EFC3" s="10" t="s">
        <v>67</v>
      </c>
      <c r="EFD3" s="10" t="s">
        <v>70</v>
      </c>
      <c r="EFE3" s="10" t="s">
        <v>67</v>
      </c>
      <c r="EFF3" s="10" t="s">
        <v>70</v>
      </c>
      <c r="EFG3" s="10" t="s">
        <v>67</v>
      </c>
      <c r="EFH3" s="10" t="s">
        <v>70</v>
      </c>
      <c r="EFI3" s="10" t="s">
        <v>67</v>
      </c>
      <c r="EFJ3" s="10" t="s">
        <v>70</v>
      </c>
      <c r="EFK3" s="10" t="s">
        <v>67</v>
      </c>
      <c r="EFL3" s="10" t="s">
        <v>70</v>
      </c>
      <c r="EFM3" s="10" t="s">
        <v>67</v>
      </c>
      <c r="EFN3" s="10" t="s">
        <v>70</v>
      </c>
      <c r="EFO3" s="10" t="s">
        <v>67</v>
      </c>
      <c r="EFP3" s="10" t="s">
        <v>70</v>
      </c>
      <c r="EFQ3" s="10" t="s">
        <v>67</v>
      </c>
      <c r="EFR3" s="10" t="s">
        <v>70</v>
      </c>
      <c r="EFS3" s="10" t="s">
        <v>67</v>
      </c>
      <c r="EFT3" s="10" t="s">
        <v>70</v>
      </c>
      <c r="EFU3" s="10" t="s">
        <v>67</v>
      </c>
      <c r="EFV3" s="10" t="s">
        <v>70</v>
      </c>
      <c r="EFW3" s="10" t="s">
        <v>67</v>
      </c>
      <c r="EFX3" s="10" t="s">
        <v>70</v>
      </c>
      <c r="EFY3" s="10" t="s">
        <v>67</v>
      </c>
      <c r="EFZ3" s="10" t="s">
        <v>70</v>
      </c>
      <c r="EGA3" s="10" t="s">
        <v>67</v>
      </c>
      <c r="EGB3" s="10" t="s">
        <v>70</v>
      </c>
      <c r="EGC3" s="10" t="s">
        <v>67</v>
      </c>
      <c r="EGD3" s="10" t="s">
        <v>70</v>
      </c>
      <c r="EGE3" s="10" t="s">
        <v>67</v>
      </c>
      <c r="EGF3" s="10" t="s">
        <v>70</v>
      </c>
      <c r="EGG3" s="10" t="s">
        <v>67</v>
      </c>
      <c r="EGH3" s="10" t="s">
        <v>70</v>
      </c>
      <c r="EGI3" s="10" t="s">
        <v>67</v>
      </c>
      <c r="EGJ3" s="10" t="s">
        <v>70</v>
      </c>
      <c r="EGK3" s="10" t="s">
        <v>67</v>
      </c>
      <c r="EGL3" s="10" t="s">
        <v>70</v>
      </c>
      <c r="EGM3" s="10" t="s">
        <v>67</v>
      </c>
      <c r="EGN3" s="10" t="s">
        <v>70</v>
      </c>
      <c r="EGO3" s="10" t="s">
        <v>67</v>
      </c>
      <c r="EGP3" s="10" t="s">
        <v>70</v>
      </c>
      <c r="EGQ3" s="10" t="s">
        <v>67</v>
      </c>
      <c r="EGR3" s="10" t="s">
        <v>70</v>
      </c>
      <c r="EGS3" s="10" t="s">
        <v>67</v>
      </c>
      <c r="EGT3" s="10" t="s">
        <v>70</v>
      </c>
      <c r="EGU3" s="10" t="s">
        <v>67</v>
      </c>
      <c r="EGV3" s="10" t="s">
        <v>70</v>
      </c>
      <c r="EGW3" s="10" t="s">
        <v>67</v>
      </c>
      <c r="EGX3" s="10" t="s">
        <v>70</v>
      </c>
      <c r="EGY3" s="10" t="s">
        <v>67</v>
      </c>
      <c r="EGZ3" s="10" t="s">
        <v>70</v>
      </c>
      <c r="EHA3" s="10" t="s">
        <v>67</v>
      </c>
      <c r="EHB3" s="10" t="s">
        <v>70</v>
      </c>
      <c r="EHC3" s="10" t="s">
        <v>67</v>
      </c>
      <c r="EHD3" s="10" t="s">
        <v>70</v>
      </c>
      <c r="EHE3" s="10" t="s">
        <v>67</v>
      </c>
      <c r="EHF3" s="10" t="s">
        <v>70</v>
      </c>
      <c r="EHG3" s="10" t="s">
        <v>67</v>
      </c>
      <c r="EHH3" s="10" t="s">
        <v>70</v>
      </c>
      <c r="EHI3" s="10" t="s">
        <v>67</v>
      </c>
      <c r="EHJ3" s="10" t="s">
        <v>70</v>
      </c>
      <c r="EHK3" s="10" t="s">
        <v>67</v>
      </c>
      <c r="EHL3" s="10" t="s">
        <v>70</v>
      </c>
      <c r="EHM3" s="10" t="s">
        <v>67</v>
      </c>
      <c r="EHN3" s="10" t="s">
        <v>70</v>
      </c>
      <c r="EHO3" s="10" t="s">
        <v>67</v>
      </c>
      <c r="EHP3" s="10" t="s">
        <v>70</v>
      </c>
      <c r="EHQ3" s="10" t="s">
        <v>67</v>
      </c>
      <c r="EHR3" s="10" t="s">
        <v>70</v>
      </c>
      <c r="EHS3" s="10" t="s">
        <v>67</v>
      </c>
      <c r="EHT3" s="10" t="s">
        <v>70</v>
      </c>
      <c r="EHU3" s="10" t="s">
        <v>67</v>
      </c>
      <c r="EHV3" s="10" t="s">
        <v>70</v>
      </c>
      <c r="EHW3" s="10" t="s">
        <v>67</v>
      </c>
      <c r="EHX3" s="10" t="s">
        <v>70</v>
      </c>
      <c r="EHY3" s="10" t="s">
        <v>67</v>
      </c>
      <c r="EHZ3" s="10" t="s">
        <v>70</v>
      </c>
      <c r="EIA3" s="10" t="s">
        <v>67</v>
      </c>
      <c r="EIB3" s="10" t="s">
        <v>70</v>
      </c>
      <c r="EIC3" s="10" t="s">
        <v>67</v>
      </c>
      <c r="EID3" s="10" t="s">
        <v>70</v>
      </c>
      <c r="EIE3" s="10" t="s">
        <v>67</v>
      </c>
      <c r="EIF3" s="10" t="s">
        <v>70</v>
      </c>
      <c r="EIG3" s="10" t="s">
        <v>67</v>
      </c>
      <c r="EIH3" s="10" t="s">
        <v>70</v>
      </c>
      <c r="EII3" s="10" t="s">
        <v>67</v>
      </c>
      <c r="EIJ3" s="10" t="s">
        <v>70</v>
      </c>
      <c r="EIK3" s="10" t="s">
        <v>67</v>
      </c>
      <c r="EIL3" s="10" t="s">
        <v>70</v>
      </c>
      <c r="EIM3" s="10" t="s">
        <v>67</v>
      </c>
      <c r="EIN3" s="10" t="s">
        <v>70</v>
      </c>
      <c r="EIO3" s="10" t="s">
        <v>67</v>
      </c>
      <c r="EIP3" s="10" t="s">
        <v>70</v>
      </c>
      <c r="EIQ3" s="10" t="s">
        <v>67</v>
      </c>
      <c r="EIR3" s="10" t="s">
        <v>70</v>
      </c>
      <c r="EIS3" s="10" t="s">
        <v>67</v>
      </c>
      <c r="EIT3" s="10" t="s">
        <v>70</v>
      </c>
      <c r="EIU3" s="10" t="s">
        <v>67</v>
      </c>
      <c r="EIV3" s="10" t="s">
        <v>70</v>
      </c>
      <c r="EIW3" s="10" t="s">
        <v>67</v>
      </c>
      <c r="EIX3" s="10" t="s">
        <v>70</v>
      </c>
      <c r="EIY3" s="10" t="s">
        <v>67</v>
      </c>
      <c r="EIZ3" s="10" t="s">
        <v>70</v>
      </c>
      <c r="EJA3" s="10" t="s">
        <v>67</v>
      </c>
      <c r="EJB3" s="10" t="s">
        <v>70</v>
      </c>
      <c r="EJC3" s="10" t="s">
        <v>67</v>
      </c>
      <c r="EJD3" s="10" t="s">
        <v>70</v>
      </c>
      <c r="EJE3" s="10" t="s">
        <v>67</v>
      </c>
      <c r="EJF3" s="10" t="s">
        <v>70</v>
      </c>
      <c r="EJG3" s="10" t="s">
        <v>67</v>
      </c>
      <c r="EJH3" s="10" t="s">
        <v>70</v>
      </c>
      <c r="EJI3" s="10" t="s">
        <v>67</v>
      </c>
      <c r="EJJ3" s="10" t="s">
        <v>70</v>
      </c>
      <c r="EJK3" s="10" t="s">
        <v>67</v>
      </c>
      <c r="EJL3" s="10" t="s">
        <v>70</v>
      </c>
      <c r="EJM3" s="10" t="s">
        <v>67</v>
      </c>
      <c r="EJN3" s="10" t="s">
        <v>70</v>
      </c>
      <c r="EJO3" s="10" t="s">
        <v>67</v>
      </c>
      <c r="EJP3" s="10" t="s">
        <v>70</v>
      </c>
      <c r="EJQ3" s="10" t="s">
        <v>67</v>
      </c>
      <c r="EJR3" s="10" t="s">
        <v>70</v>
      </c>
      <c r="EJS3" s="10" t="s">
        <v>67</v>
      </c>
      <c r="EJT3" s="10" t="s">
        <v>70</v>
      </c>
      <c r="EJU3" s="10" t="s">
        <v>67</v>
      </c>
      <c r="EJV3" s="10" t="s">
        <v>70</v>
      </c>
      <c r="EJW3" s="10" t="s">
        <v>67</v>
      </c>
      <c r="EJX3" s="10" t="s">
        <v>70</v>
      </c>
      <c r="EJY3" s="10" t="s">
        <v>67</v>
      </c>
      <c r="EJZ3" s="10" t="s">
        <v>70</v>
      </c>
      <c r="EKA3" s="10" t="s">
        <v>67</v>
      </c>
      <c r="EKB3" s="10" t="s">
        <v>70</v>
      </c>
      <c r="EKC3" s="10" t="s">
        <v>67</v>
      </c>
      <c r="EKD3" s="10" t="s">
        <v>70</v>
      </c>
      <c r="EKE3" s="10" t="s">
        <v>67</v>
      </c>
      <c r="EKF3" s="10" t="s">
        <v>70</v>
      </c>
      <c r="EKG3" s="10" t="s">
        <v>67</v>
      </c>
      <c r="EKH3" s="10" t="s">
        <v>70</v>
      </c>
      <c r="EKI3" s="10" t="s">
        <v>67</v>
      </c>
      <c r="EKJ3" s="10" t="s">
        <v>70</v>
      </c>
      <c r="EKK3" s="10" t="s">
        <v>67</v>
      </c>
      <c r="EKL3" s="10" t="s">
        <v>70</v>
      </c>
      <c r="EKM3" s="10" t="s">
        <v>67</v>
      </c>
      <c r="EKN3" s="10" t="s">
        <v>70</v>
      </c>
      <c r="EKO3" s="10" t="s">
        <v>67</v>
      </c>
      <c r="EKP3" s="10" t="s">
        <v>70</v>
      </c>
      <c r="EKQ3" s="10" t="s">
        <v>67</v>
      </c>
      <c r="EKR3" s="10" t="s">
        <v>70</v>
      </c>
      <c r="EKS3" s="10" t="s">
        <v>67</v>
      </c>
      <c r="EKT3" s="10" t="s">
        <v>70</v>
      </c>
      <c r="EKU3" s="10" t="s">
        <v>67</v>
      </c>
      <c r="EKV3" s="10" t="s">
        <v>70</v>
      </c>
      <c r="EKW3" s="10" t="s">
        <v>67</v>
      </c>
      <c r="EKX3" s="10" t="s">
        <v>70</v>
      </c>
      <c r="EKY3" s="10" t="s">
        <v>67</v>
      </c>
      <c r="EKZ3" s="10" t="s">
        <v>70</v>
      </c>
      <c r="ELA3" s="10" t="s">
        <v>67</v>
      </c>
      <c r="ELB3" s="10" t="s">
        <v>70</v>
      </c>
      <c r="ELC3" s="10" t="s">
        <v>67</v>
      </c>
      <c r="ELD3" s="10" t="s">
        <v>70</v>
      </c>
      <c r="ELE3" s="10" t="s">
        <v>67</v>
      </c>
      <c r="ELF3" s="10" t="s">
        <v>70</v>
      </c>
      <c r="ELG3" s="10" t="s">
        <v>67</v>
      </c>
      <c r="ELH3" s="10" t="s">
        <v>70</v>
      </c>
      <c r="ELI3" s="10" t="s">
        <v>67</v>
      </c>
      <c r="ELJ3" s="10" t="s">
        <v>70</v>
      </c>
      <c r="ELK3" s="10" t="s">
        <v>67</v>
      </c>
      <c r="ELL3" s="10" t="s">
        <v>70</v>
      </c>
      <c r="ELM3" s="10" t="s">
        <v>67</v>
      </c>
      <c r="ELN3" s="10" t="s">
        <v>70</v>
      </c>
      <c r="ELO3" s="10" t="s">
        <v>67</v>
      </c>
      <c r="ELP3" s="10" t="s">
        <v>70</v>
      </c>
      <c r="ELQ3" s="10" t="s">
        <v>67</v>
      </c>
      <c r="ELR3" s="10" t="s">
        <v>70</v>
      </c>
      <c r="ELS3" s="10" t="s">
        <v>67</v>
      </c>
      <c r="ELT3" s="10" t="s">
        <v>70</v>
      </c>
      <c r="ELU3" s="10" t="s">
        <v>67</v>
      </c>
      <c r="ELV3" s="10" t="s">
        <v>70</v>
      </c>
      <c r="ELW3" s="10" t="s">
        <v>67</v>
      </c>
      <c r="ELX3" s="10" t="s">
        <v>70</v>
      </c>
      <c r="ELY3" s="10" t="s">
        <v>67</v>
      </c>
      <c r="ELZ3" s="10" t="s">
        <v>70</v>
      </c>
      <c r="EMA3" s="10" t="s">
        <v>67</v>
      </c>
      <c r="EMB3" s="10" t="s">
        <v>70</v>
      </c>
      <c r="EMC3" s="10" t="s">
        <v>67</v>
      </c>
      <c r="EMD3" s="10" t="s">
        <v>70</v>
      </c>
      <c r="EME3" s="10" t="s">
        <v>67</v>
      </c>
      <c r="EMF3" s="10" t="s">
        <v>70</v>
      </c>
      <c r="EMG3" s="10" t="s">
        <v>67</v>
      </c>
      <c r="EMH3" s="10" t="s">
        <v>70</v>
      </c>
      <c r="EMI3" s="10" t="s">
        <v>67</v>
      </c>
      <c r="EMJ3" s="10" t="s">
        <v>70</v>
      </c>
      <c r="EMK3" s="10" t="s">
        <v>67</v>
      </c>
      <c r="EML3" s="10" t="s">
        <v>70</v>
      </c>
      <c r="EMM3" s="10" t="s">
        <v>67</v>
      </c>
      <c r="EMN3" s="10" t="s">
        <v>70</v>
      </c>
      <c r="EMO3" s="10" t="s">
        <v>67</v>
      </c>
      <c r="EMP3" s="10" t="s">
        <v>70</v>
      </c>
      <c r="EMQ3" s="10" t="s">
        <v>67</v>
      </c>
      <c r="EMR3" s="10" t="s">
        <v>70</v>
      </c>
      <c r="EMS3" s="10" t="s">
        <v>67</v>
      </c>
      <c r="EMT3" s="10" t="s">
        <v>70</v>
      </c>
      <c r="EMU3" s="10" t="s">
        <v>67</v>
      </c>
      <c r="EMV3" s="10" t="s">
        <v>70</v>
      </c>
      <c r="EMW3" s="10" t="s">
        <v>67</v>
      </c>
      <c r="EMX3" s="10" t="s">
        <v>70</v>
      </c>
      <c r="EMY3" s="10" t="s">
        <v>67</v>
      </c>
      <c r="EMZ3" s="10" t="s">
        <v>70</v>
      </c>
      <c r="ENA3" s="10" t="s">
        <v>67</v>
      </c>
      <c r="ENB3" s="10" t="s">
        <v>70</v>
      </c>
      <c r="ENC3" s="10" t="s">
        <v>67</v>
      </c>
      <c r="END3" s="10" t="s">
        <v>70</v>
      </c>
      <c r="ENE3" s="10" t="s">
        <v>67</v>
      </c>
      <c r="ENF3" s="10" t="s">
        <v>70</v>
      </c>
      <c r="ENG3" s="10" t="s">
        <v>67</v>
      </c>
      <c r="ENH3" s="10" t="s">
        <v>70</v>
      </c>
      <c r="ENI3" s="10" t="s">
        <v>67</v>
      </c>
      <c r="ENJ3" s="10" t="s">
        <v>70</v>
      </c>
      <c r="ENK3" s="10" t="s">
        <v>67</v>
      </c>
      <c r="ENL3" s="10" t="s">
        <v>70</v>
      </c>
      <c r="ENM3" s="10" t="s">
        <v>67</v>
      </c>
      <c r="ENN3" s="10" t="s">
        <v>70</v>
      </c>
      <c r="ENO3" s="10" t="s">
        <v>67</v>
      </c>
      <c r="ENP3" s="10" t="s">
        <v>70</v>
      </c>
      <c r="ENQ3" s="10" t="s">
        <v>67</v>
      </c>
      <c r="ENR3" s="10" t="s">
        <v>70</v>
      </c>
      <c r="ENS3" s="10" t="s">
        <v>67</v>
      </c>
      <c r="ENT3" s="10" t="s">
        <v>70</v>
      </c>
      <c r="ENU3" s="10" t="s">
        <v>67</v>
      </c>
      <c r="ENV3" s="10" t="s">
        <v>70</v>
      </c>
      <c r="ENW3" s="10" t="s">
        <v>67</v>
      </c>
      <c r="ENX3" s="10" t="s">
        <v>70</v>
      </c>
      <c r="ENY3" s="10" t="s">
        <v>67</v>
      </c>
      <c r="ENZ3" s="10" t="s">
        <v>70</v>
      </c>
      <c r="EOA3" s="10" t="s">
        <v>67</v>
      </c>
      <c r="EOB3" s="10" t="s">
        <v>70</v>
      </c>
      <c r="EOC3" s="10" t="s">
        <v>67</v>
      </c>
      <c r="EOD3" s="10" t="s">
        <v>70</v>
      </c>
      <c r="EOE3" s="10" t="s">
        <v>67</v>
      </c>
      <c r="EOF3" s="10" t="s">
        <v>70</v>
      </c>
      <c r="EOG3" s="10" t="s">
        <v>67</v>
      </c>
      <c r="EOH3" s="10" t="s">
        <v>70</v>
      </c>
      <c r="EOI3" s="10" t="s">
        <v>67</v>
      </c>
      <c r="EOJ3" s="10" t="s">
        <v>70</v>
      </c>
      <c r="EOK3" s="10" t="s">
        <v>67</v>
      </c>
      <c r="EOL3" s="10" t="s">
        <v>70</v>
      </c>
      <c r="EOM3" s="10" t="s">
        <v>67</v>
      </c>
      <c r="EON3" s="10" t="s">
        <v>70</v>
      </c>
      <c r="EOO3" s="10" t="s">
        <v>67</v>
      </c>
      <c r="EOP3" s="10" t="s">
        <v>70</v>
      </c>
      <c r="EOQ3" s="10" t="s">
        <v>67</v>
      </c>
      <c r="EOR3" s="10" t="s">
        <v>70</v>
      </c>
      <c r="EOS3" s="10" t="s">
        <v>67</v>
      </c>
      <c r="EOT3" s="10" t="s">
        <v>70</v>
      </c>
      <c r="EOU3" s="10" t="s">
        <v>67</v>
      </c>
      <c r="EOV3" s="10" t="s">
        <v>70</v>
      </c>
      <c r="EOW3" s="10" t="s">
        <v>67</v>
      </c>
      <c r="EOX3" s="10" t="s">
        <v>70</v>
      </c>
      <c r="EOY3" s="10" t="s">
        <v>67</v>
      </c>
      <c r="EOZ3" s="10" t="s">
        <v>70</v>
      </c>
      <c r="EPA3" s="10" t="s">
        <v>67</v>
      </c>
      <c r="EPB3" s="10" t="s">
        <v>70</v>
      </c>
      <c r="EPC3" s="10" t="s">
        <v>67</v>
      </c>
      <c r="EPD3" s="10" t="s">
        <v>70</v>
      </c>
      <c r="EPE3" s="10" t="s">
        <v>67</v>
      </c>
      <c r="EPF3" s="10" t="s">
        <v>70</v>
      </c>
      <c r="EPG3" s="10" t="s">
        <v>67</v>
      </c>
      <c r="EPH3" s="10" t="s">
        <v>70</v>
      </c>
      <c r="EPI3" s="10" t="s">
        <v>67</v>
      </c>
      <c r="EPJ3" s="10" t="s">
        <v>70</v>
      </c>
      <c r="EPK3" s="10" t="s">
        <v>67</v>
      </c>
      <c r="EPL3" s="10" t="s">
        <v>70</v>
      </c>
      <c r="EPM3" s="10" t="s">
        <v>67</v>
      </c>
      <c r="EPN3" s="10" t="s">
        <v>70</v>
      </c>
      <c r="EPO3" s="10" t="s">
        <v>67</v>
      </c>
      <c r="EPP3" s="10" t="s">
        <v>70</v>
      </c>
      <c r="EPQ3" s="10" t="s">
        <v>67</v>
      </c>
      <c r="EPR3" s="10" t="s">
        <v>70</v>
      </c>
      <c r="EPS3" s="10" t="s">
        <v>67</v>
      </c>
      <c r="EPT3" s="10" t="s">
        <v>70</v>
      </c>
      <c r="EPU3" s="10" t="s">
        <v>67</v>
      </c>
      <c r="EPV3" s="10" t="s">
        <v>70</v>
      </c>
      <c r="EPW3" s="10" t="s">
        <v>67</v>
      </c>
      <c r="EPX3" s="10" t="s">
        <v>70</v>
      </c>
      <c r="EPY3" s="10" t="s">
        <v>67</v>
      </c>
      <c r="EPZ3" s="10" t="s">
        <v>70</v>
      </c>
      <c r="EQA3" s="10" t="s">
        <v>67</v>
      </c>
      <c r="EQB3" s="10" t="s">
        <v>70</v>
      </c>
      <c r="EQC3" s="10" t="s">
        <v>67</v>
      </c>
      <c r="EQD3" s="10" t="s">
        <v>70</v>
      </c>
      <c r="EQE3" s="10" t="s">
        <v>67</v>
      </c>
      <c r="EQF3" s="10" t="s">
        <v>70</v>
      </c>
      <c r="EQG3" s="10" t="s">
        <v>67</v>
      </c>
      <c r="EQH3" s="10" t="s">
        <v>70</v>
      </c>
      <c r="EQI3" s="10" t="s">
        <v>67</v>
      </c>
      <c r="EQJ3" s="10" t="s">
        <v>70</v>
      </c>
      <c r="EQK3" s="10" t="s">
        <v>67</v>
      </c>
      <c r="EQL3" s="10" t="s">
        <v>70</v>
      </c>
      <c r="EQM3" s="10" t="s">
        <v>67</v>
      </c>
      <c r="EQN3" s="10" t="s">
        <v>70</v>
      </c>
      <c r="EQO3" s="10" t="s">
        <v>67</v>
      </c>
      <c r="EQP3" s="10" t="s">
        <v>70</v>
      </c>
      <c r="EQQ3" s="10" t="s">
        <v>67</v>
      </c>
      <c r="EQR3" s="10" t="s">
        <v>70</v>
      </c>
      <c r="EQS3" s="10" t="s">
        <v>67</v>
      </c>
      <c r="EQT3" s="10" t="s">
        <v>70</v>
      </c>
      <c r="EQU3" s="10" t="s">
        <v>67</v>
      </c>
      <c r="EQV3" s="10" t="s">
        <v>70</v>
      </c>
      <c r="EQW3" s="10" t="s">
        <v>67</v>
      </c>
      <c r="EQX3" s="10" t="s">
        <v>70</v>
      </c>
      <c r="EQY3" s="10" t="s">
        <v>67</v>
      </c>
      <c r="EQZ3" s="10" t="s">
        <v>70</v>
      </c>
      <c r="ERA3" s="10" t="s">
        <v>67</v>
      </c>
      <c r="ERB3" s="10" t="s">
        <v>70</v>
      </c>
      <c r="ERC3" s="10" t="s">
        <v>67</v>
      </c>
      <c r="ERD3" s="10" t="s">
        <v>70</v>
      </c>
      <c r="ERE3" s="10" t="s">
        <v>67</v>
      </c>
      <c r="ERF3" s="10" t="s">
        <v>70</v>
      </c>
      <c r="ERG3" s="10" t="s">
        <v>67</v>
      </c>
      <c r="ERH3" s="10" t="s">
        <v>70</v>
      </c>
      <c r="ERI3" s="10" t="s">
        <v>67</v>
      </c>
      <c r="ERJ3" s="10" t="s">
        <v>70</v>
      </c>
      <c r="ERK3" s="10" t="s">
        <v>67</v>
      </c>
      <c r="ERL3" s="10" t="s">
        <v>70</v>
      </c>
      <c r="ERM3" s="10" t="s">
        <v>67</v>
      </c>
      <c r="ERN3" s="10" t="s">
        <v>70</v>
      </c>
      <c r="ERO3" s="10" t="s">
        <v>67</v>
      </c>
      <c r="ERP3" s="10" t="s">
        <v>70</v>
      </c>
      <c r="ERQ3" s="10" t="s">
        <v>67</v>
      </c>
      <c r="ERR3" s="10" t="s">
        <v>70</v>
      </c>
      <c r="ERS3" s="10" t="s">
        <v>67</v>
      </c>
      <c r="ERT3" s="10" t="s">
        <v>70</v>
      </c>
      <c r="ERU3" s="10" t="s">
        <v>67</v>
      </c>
      <c r="ERV3" s="10" t="s">
        <v>70</v>
      </c>
      <c r="ERW3" s="10" t="s">
        <v>67</v>
      </c>
      <c r="ERX3" s="10" t="s">
        <v>70</v>
      </c>
      <c r="ERY3" s="10" t="s">
        <v>67</v>
      </c>
      <c r="ERZ3" s="10" t="s">
        <v>70</v>
      </c>
      <c r="ESA3" s="10" t="s">
        <v>67</v>
      </c>
      <c r="ESB3" s="10" t="s">
        <v>70</v>
      </c>
      <c r="ESC3" s="10" t="s">
        <v>67</v>
      </c>
      <c r="ESD3" s="10" t="s">
        <v>70</v>
      </c>
      <c r="ESE3" s="10" t="s">
        <v>67</v>
      </c>
      <c r="ESF3" s="10" t="s">
        <v>70</v>
      </c>
      <c r="ESG3" s="10" t="s">
        <v>67</v>
      </c>
      <c r="ESH3" s="10" t="s">
        <v>70</v>
      </c>
      <c r="ESI3" s="10" t="s">
        <v>67</v>
      </c>
      <c r="ESJ3" s="10" t="s">
        <v>70</v>
      </c>
      <c r="ESK3" s="10" t="s">
        <v>67</v>
      </c>
      <c r="ESL3" s="10" t="s">
        <v>70</v>
      </c>
      <c r="ESM3" s="10" t="s">
        <v>67</v>
      </c>
      <c r="ESN3" s="10" t="s">
        <v>70</v>
      </c>
      <c r="ESO3" s="10" t="s">
        <v>67</v>
      </c>
      <c r="ESP3" s="10" t="s">
        <v>70</v>
      </c>
      <c r="ESQ3" s="10" t="s">
        <v>67</v>
      </c>
      <c r="ESR3" s="10" t="s">
        <v>70</v>
      </c>
      <c r="ESS3" s="10" t="s">
        <v>67</v>
      </c>
      <c r="EST3" s="10" t="s">
        <v>70</v>
      </c>
      <c r="ESU3" s="10" t="s">
        <v>67</v>
      </c>
      <c r="ESV3" s="10" t="s">
        <v>70</v>
      </c>
      <c r="ESW3" s="10" t="s">
        <v>67</v>
      </c>
      <c r="ESX3" s="10" t="s">
        <v>70</v>
      </c>
      <c r="ESY3" s="10" t="s">
        <v>67</v>
      </c>
      <c r="ESZ3" s="10" t="s">
        <v>70</v>
      </c>
      <c r="ETA3" s="10" t="s">
        <v>67</v>
      </c>
      <c r="ETB3" s="10" t="s">
        <v>70</v>
      </c>
      <c r="ETC3" s="10" t="s">
        <v>67</v>
      </c>
      <c r="ETD3" s="10" t="s">
        <v>70</v>
      </c>
      <c r="ETE3" s="10" t="s">
        <v>67</v>
      </c>
      <c r="ETF3" s="10" t="s">
        <v>70</v>
      </c>
      <c r="ETG3" s="10" t="s">
        <v>67</v>
      </c>
      <c r="ETH3" s="10" t="s">
        <v>70</v>
      </c>
      <c r="ETI3" s="10" t="s">
        <v>67</v>
      </c>
      <c r="ETJ3" s="10" t="s">
        <v>70</v>
      </c>
      <c r="ETK3" s="10" t="s">
        <v>67</v>
      </c>
      <c r="ETL3" s="10" t="s">
        <v>70</v>
      </c>
      <c r="ETM3" s="10" t="s">
        <v>67</v>
      </c>
      <c r="ETN3" s="10" t="s">
        <v>70</v>
      </c>
      <c r="ETO3" s="10" t="s">
        <v>67</v>
      </c>
      <c r="ETP3" s="10" t="s">
        <v>70</v>
      </c>
      <c r="ETQ3" s="10" t="s">
        <v>67</v>
      </c>
      <c r="ETR3" s="10" t="s">
        <v>70</v>
      </c>
      <c r="ETS3" s="10" t="s">
        <v>67</v>
      </c>
      <c r="ETT3" s="10" t="s">
        <v>70</v>
      </c>
      <c r="ETU3" s="10" t="s">
        <v>67</v>
      </c>
      <c r="ETV3" s="10" t="s">
        <v>70</v>
      </c>
      <c r="ETW3" s="10" t="s">
        <v>67</v>
      </c>
      <c r="ETX3" s="10" t="s">
        <v>70</v>
      </c>
      <c r="ETY3" s="10" t="s">
        <v>67</v>
      </c>
      <c r="ETZ3" s="10" t="s">
        <v>70</v>
      </c>
      <c r="EUA3" s="10" t="s">
        <v>67</v>
      </c>
      <c r="EUB3" s="10" t="s">
        <v>70</v>
      </c>
      <c r="EUC3" s="10" t="s">
        <v>67</v>
      </c>
      <c r="EUD3" s="10" t="s">
        <v>70</v>
      </c>
      <c r="EUE3" s="10" t="s">
        <v>67</v>
      </c>
      <c r="EUF3" s="10" t="s">
        <v>70</v>
      </c>
      <c r="EUG3" s="10" t="s">
        <v>67</v>
      </c>
      <c r="EUH3" s="10" t="s">
        <v>70</v>
      </c>
      <c r="EUI3" s="10" t="s">
        <v>67</v>
      </c>
      <c r="EUJ3" s="10" t="s">
        <v>70</v>
      </c>
      <c r="EUK3" s="10" t="s">
        <v>67</v>
      </c>
      <c r="EUL3" s="10" t="s">
        <v>70</v>
      </c>
      <c r="EUM3" s="10" t="s">
        <v>67</v>
      </c>
      <c r="EUN3" s="10" t="s">
        <v>70</v>
      </c>
      <c r="EUO3" s="10" t="s">
        <v>67</v>
      </c>
      <c r="EUP3" s="10" t="s">
        <v>70</v>
      </c>
      <c r="EUQ3" s="10" t="s">
        <v>67</v>
      </c>
      <c r="EUR3" s="10" t="s">
        <v>70</v>
      </c>
      <c r="EUS3" s="10" t="s">
        <v>67</v>
      </c>
      <c r="EUT3" s="10" t="s">
        <v>70</v>
      </c>
      <c r="EUU3" s="10" t="s">
        <v>67</v>
      </c>
      <c r="EUV3" s="10" t="s">
        <v>70</v>
      </c>
      <c r="EUW3" s="10" t="s">
        <v>67</v>
      </c>
      <c r="EUX3" s="10" t="s">
        <v>70</v>
      </c>
      <c r="EUY3" s="10" t="s">
        <v>67</v>
      </c>
      <c r="EUZ3" s="10" t="s">
        <v>70</v>
      </c>
      <c r="EVA3" s="10" t="s">
        <v>67</v>
      </c>
      <c r="EVB3" s="10" t="s">
        <v>70</v>
      </c>
      <c r="EVC3" s="10" t="s">
        <v>67</v>
      </c>
      <c r="EVD3" s="10" t="s">
        <v>70</v>
      </c>
      <c r="EVE3" s="10" t="s">
        <v>67</v>
      </c>
      <c r="EVF3" s="10" t="s">
        <v>70</v>
      </c>
      <c r="EVG3" s="10" t="s">
        <v>67</v>
      </c>
      <c r="EVH3" s="10" t="s">
        <v>70</v>
      </c>
      <c r="EVI3" s="10" t="s">
        <v>67</v>
      </c>
      <c r="EVJ3" s="10" t="s">
        <v>70</v>
      </c>
      <c r="EVK3" s="10" t="s">
        <v>67</v>
      </c>
      <c r="EVL3" s="10" t="s">
        <v>70</v>
      </c>
      <c r="EVM3" s="10" t="s">
        <v>67</v>
      </c>
      <c r="EVN3" s="10" t="s">
        <v>70</v>
      </c>
      <c r="EVO3" s="10" t="s">
        <v>67</v>
      </c>
      <c r="EVP3" s="10" t="s">
        <v>70</v>
      </c>
      <c r="EVQ3" s="10" t="s">
        <v>67</v>
      </c>
      <c r="EVR3" s="10" t="s">
        <v>70</v>
      </c>
      <c r="EVS3" s="10" t="s">
        <v>67</v>
      </c>
      <c r="EVT3" s="10" t="s">
        <v>70</v>
      </c>
      <c r="EVU3" s="10" t="s">
        <v>67</v>
      </c>
      <c r="EVV3" s="10" t="s">
        <v>70</v>
      </c>
      <c r="EVW3" s="10" t="s">
        <v>67</v>
      </c>
      <c r="EVX3" s="10" t="s">
        <v>70</v>
      </c>
      <c r="EVY3" s="10" t="s">
        <v>67</v>
      </c>
      <c r="EVZ3" s="10" t="s">
        <v>70</v>
      </c>
      <c r="EWA3" s="10" t="s">
        <v>67</v>
      </c>
      <c r="EWB3" s="10" t="s">
        <v>70</v>
      </c>
      <c r="EWC3" s="10" t="s">
        <v>67</v>
      </c>
      <c r="EWD3" s="10" t="s">
        <v>70</v>
      </c>
      <c r="EWE3" s="10" t="s">
        <v>67</v>
      </c>
      <c r="EWF3" s="10" t="s">
        <v>70</v>
      </c>
      <c r="EWG3" s="10" t="s">
        <v>67</v>
      </c>
      <c r="EWH3" s="10" t="s">
        <v>70</v>
      </c>
      <c r="EWI3" s="10" t="s">
        <v>67</v>
      </c>
      <c r="EWJ3" s="10" t="s">
        <v>70</v>
      </c>
      <c r="EWK3" s="10" t="s">
        <v>67</v>
      </c>
      <c r="EWL3" s="10" t="s">
        <v>70</v>
      </c>
      <c r="EWM3" s="10" t="s">
        <v>67</v>
      </c>
      <c r="EWN3" s="10" t="s">
        <v>70</v>
      </c>
      <c r="EWO3" s="10" t="s">
        <v>67</v>
      </c>
      <c r="EWP3" s="10" t="s">
        <v>70</v>
      </c>
      <c r="EWQ3" s="10" t="s">
        <v>67</v>
      </c>
      <c r="EWR3" s="10" t="s">
        <v>70</v>
      </c>
      <c r="EWS3" s="10" t="s">
        <v>67</v>
      </c>
      <c r="EWT3" s="10" t="s">
        <v>70</v>
      </c>
      <c r="EWU3" s="10" t="s">
        <v>67</v>
      </c>
      <c r="EWV3" s="10" t="s">
        <v>70</v>
      </c>
    </row>
    <row r="4" spans="1:4000">
      <c r="A4" s="9">
        <f>BDH(A$1,"RETURN_COM_EQY",DataStart,DataEnd,"Per=M","Days=A","Fill=P")</f>
        <v/>
      </c>
      <c r="C4" s="9">
        <f>BDH(C$1,"RETURN_COM_EQY",DataStart,DataEnd,"Per=M","Days=A","Fill=P")</f>
        <v/>
      </c>
      <c r="E4" s="9">
        <f>BDH(E$1,"RETURN_COM_EQY",DataStart,DataEnd,"Per=M","Days=A","Fill=P")</f>
        <v/>
      </c>
      <c r="G4" s="9">
        <f>BDH(G$1,"RETURN_COM_EQY",DataStart,DataEnd,"Per=M","Days=A","Fill=P")</f>
        <v/>
      </c>
      <c r="I4" s="9">
        <f>BDH(I$1,"RETURN_COM_EQY",DataStart,DataEnd,"Per=M","Days=A","Fill=P")</f>
        <v/>
      </c>
      <c r="K4" s="9">
        <f>BDH(K$1,"RETURN_COM_EQY",DataStart,DataEnd,"Per=M","Days=A","Fill=P")</f>
        <v/>
      </c>
      <c r="M4" s="9">
        <f>BDH(M$1,"RETURN_COM_EQY",DataStart,DataEnd,"Per=M","Days=A","Fill=P")</f>
        <v/>
      </c>
      <c r="O4" s="9">
        <f>BDH(O$1,"RETURN_COM_EQY",DataStart,DataEnd,"Per=M","Days=A","Fill=P")</f>
        <v/>
      </c>
      <c r="Q4" s="9">
        <f>BDH(Q$1,"RETURN_COM_EQY",DataStart,DataEnd,"Per=M","Days=A","Fill=P")</f>
        <v/>
      </c>
      <c r="S4" s="9">
        <f>BDH(S$1,"RETURN_COM_EQY",DataStart,DataEnd,"Per=M","Days=A","Fill=P")</f>
        <v/>
      </c>
      <c r="U4" s="9">
        <f>BDH(U$1,"RETURN_COM_EQY",DataStart,DataEnd,"Per=M","Days=A","Fill=P")</f>
        <v/>
      </c>
      <c r="W4" s="9">
        <f>BDH(W$1,"RETURN_COM_EQY",DataStart,DataEnd,"Per=M","Days=A","Fill=P")</f>
        <v/>
      </c>
      <c r="Y4" s="9">
        <f>BDH(Y$1,"RETURN_COM_EQY",DataStart,DataEnd,"Per=M","Days=A","Fill=P")</f>
        <v/>
      </c>
      <c r="AA4" s="9">
        <f>BDH(AA$1,"RETURN_COM_EQY",DataStart,DataEnd,"Per=M","Days=A","Fill=P")</f>
        <v/>
      </c>
      <c r="AC4" s="9">
        <f>BDH(AC$1,"RETURN_COM_EQY",DataStart,DataEnd,"Per=M","Days=A","Fill=P")</f>
        <v/>
      </c>
      <c r="AE4" s="9">
        <f>BDH(AE$1,"RETURN_COM_EQY",DataStart,DataEnd,"Per=M","Days=A","Fill=P")</f>
        <v/>
      </c>
      <c r="AG4" s="9">
        <f>BDH(AG$1,"RETURN_COM_EQY",DataStart,DataEnd,"Per=M","Days=A","Fill=P")</f>
        <v/>
      </c>
      <c r="AI4" s="9">
        <f>BDH(AI$1,"RETURN_COM_EQY",DataStart,DataEnd,"Per=M","Days=A","Fill=P")</f>
        <v/>
      </c>
      <c r="AK4" s="9">
        <f>BDH(AK$1,"RETURN_COM_EQY",DataStart,DataEnd,"Per=M","Days=A","Fill=P")</f>
        <v/>
      </c>
      <c r="AM4" s="9">
        <f>BDH(AM$1,"RETURN_COM_EQY",DataStart,DataEnd,"Per=M","Days=A","Fill=P")</f>
        <v/>
      </c>
      <c r="AO4" s="9">
        <f>BDH(AO$1,"RETURN_COM_EQY",DataStart,DataEnd,"Per=M","Days=A","Fill=P")</f>
        <v/>
      </c>
      <c r="AQ4" s="9">
        <f>BDH(AQ$1,"RETURN_COM_EQY",DataStart,DataEnd,"Per=M","Days=A","Fill=P")</f>
        <v/>
      </c>
      <c r="AS4" s="9">
        <f>BDH(AS$1,"RETURN_COM_EQY",DataStart,DataEnd,"Per=M","Days=A","Fill=P")</f>
        <v/>
      </c>
      <c r="AU4" s="9">
        <f>BDH(AU$1,"RETURN_COM_EQY",DataStart,DataEnd,"Per=M","Days=A","Fill=P")</f>
        <v/>
      </c>
      <c r="AW4" s="9">
        <f>BDH(AW$1,"RETURN_COM_EQY",DataStart,DataEnd,"Per=M","Days=A","Fill=P")</f>
        <v/>
      </c>
      <c r="AY4" s="9">
        <f>BDH(AY$1,"RETURN_COM_EQY",DataStart,DataEnd,"Per=M","Days=A","Fill=P")</f>
        <v/>
      </c>
      <c r="BA4" s="9">
        <f>BDH(BA$1,"RETURN_COM_EQY",DataStart,DataEnd,"Per=M","Days=A","Fill=P")</f>
        <v/>
      </c>
      <c r="BC4" s="9">
        <f>BDH(BC$1,"RETURN_COM_EQY",DataStart,DataEnd,"Per=M","Days=A","Fill=P")</f>
        <v/>
      </c>
      <c r="BE4" s="9">
        <f>BDH(BE$1,"RETURN_COM_EQY",DataStart,DataEnd,"Per=M","Days=A","Fill=P")</f>
        <v/>
      </c>
      <c r="BG4" s="9">
        <f>BDH(BG$1,"RETURN_COM_EQY",DataStart,DataEnd,"Per=M","Days=A","Fill=P")</f>
        <v/>
      </c>
      <c r="BI4" s="9">
        <f>BDH(BI$1,"RETURN_COM_EQY",DataStart,DataEnd,"Per=M","Days=A","Fill=P")</f>
        <v/>
      </c>
      <c r="BK4" s="9">
        <f>BDH(BK$1,"RETURN_COM_EQY",DataStart,DataEnd,"Per=M","Days=A","Fill=P")</f>
        <v/>
      </c>
      <c r="BM4" s="9">
        <f>BDH(BM$1,"RETURN_COM_EQY",DataStart,DataEnd,"Per=M","Days=A","Fill=P")</f>
        <v/>
      </c>
      <c r="BO4" s="9">
        <f>BDH(BO$1,"RETURN_COM_EQY",DataStart,DataEnd,"Per=M","Days=A","Fill=P")</f>
        <v/>
      </c>
      <c r="BQ4" s="9">
        <f>BDH(BQ$1,"RETURN_COM_EQY",DataStart,DataEnd,"Per=M","Days=A","Fill=P")</f>
        <v/>
      </c>
      <c r="BS4" s="9">
        <f>BDH(BS$1,"RETURN_COM_EQY",DataStart,DataEnd,"Per=M","Days=A","Fill=P")</f>
        <v/>
      </c>
      <c r="BU4" s="9">
        <f>BDH(BU$1,"RETURN_COM_EQY",DataStart,DataEnd,"Per=M","Days=A","Fill=P")</f>
        <v/>
      </c>
      <c r="BW4" s="9">
        <f>BDH(BW$1,"RETURN_COM_EQY",DataStart,DataEnd,"Per=M","Days=A","Fill=P")</f>
        <v/>
      </c>
      <c r="BY4" s="9">
        <f>BDH(BY$1,"RETURN_COM_EQY",DataStart,DataEnd,"Per=M","Days=A","Fill=P")</f>
        <v/>
      </c>
      <c r="CA4" s="9">
        <f>BDH(CA$1,"RETURN_COM_EQY",DataStart,DataEnd,"Per=M","Days=A","Fill=P")</f>
        <v/>
      </c>
      <c r="CC4" s="9">
        <f>BDH(CC$1,"RETURN_COM_EQY",DataStart,DataEnd,"Per=M","Days=A","Fill=P")</f>
        <v/>
      </c>
      <c r="CE4" s="9">
        <f>BDH(CE$1,"RETURN_COM_EQY",DataStart,DataEnd,"Per=M","Days=A","Fill=P")</f>
        <v/>
      </c>
      <c r="CG4" s="9">
        <f>BDH(CG$1,"RETURN_COM_EQY",DataStart,DataEnd,"Per=M","Days=A","Fill=P")</f>
        <v/>
      </c>
      <c r="CI4" s="9">
        <f>BDH(CI$1,"RETURN_COM_EQY",DataStart,DataEnd,"Per=M","Days=A","Fill=P")</f>
        <v/>
      </c>
      <c r="CK4" s="9">
        <f>BDH(CK$1,"RETURN_COM_EQY",DataStart,DataEnd,"Per=M","Days=A","Fill=P")</f>
        <v/>
      </c>
      <c r="CM4" s="9">
        <f>BDH(CM$1,"RETURN_COM_EQY",DataStart,DataEnd,"Per=M","Days=A","Fill=P")</f>
        <v/>
      </c>
      <c r="CO4" s="9">
        <f>BDH(CO$1,"RETURN_COM_EQY",DataStart,DataEnd,"Per=M","Days=A","Fill=P")</f>
        <v/>
      </c>
      <c r="CQ4" s="9">
        <f>BDH(CQ$1,"RETURN_COM_EQY",DataStart,DataEnd,"Per=M","Days=A","Fill=P")</f>
        <v/>
      </c>
      <c r="CS4" s="9">
        <f>BDH(CS$1,"RETURN_COM_EQY",DataStart,DataEnd,"Per=M","Days=A","Fill=P")</f>
        <v/>
      </c>
      <c r="CU4" s="9">
        <f>BDH(CU$1,"RETURN_COM_EQY",DataStart,DataEnd,"Per=M","Days=A","Fill=P")</f>
        <v/>
      </c>
      <c r="CW4" s="9">
        <f>BDH(CW$1,"RETURN_COM_EQY",DataStart,DataEnd,"Per=M","Days=A","Fill=P")</f>
        <v/>
      </c>
      <c r="CY4" s="9">
        <f>BDH(CY$1,"RETURN_COM_EQY",DataStart,DataEnd,"Per=M","Days=A","Fill=P")</f>
        <v/>
      </c>
      <c r="DA4" s="9">
        <f>BDH(DA$1,"RETURN_COM_EQY",DataStart,DataEnd,"Per=M","Days=A","Fill=P")</f>
        <v/>
      </c>
      <c r="DC4" s="9">
        <f>BDH(DC$1,"RETURN_COM_EQY",DataStart,DataEnd,"Per=M","Days=A","Fill=P")</f>
        <v/>
      </c>
      <c r="DE4" s="9">
        <f>BDH(DE$1,"RETURN_COM_EQY",DataStart,DataEnd,"Per=M","Days=A","Fill=P")</f>
        <v/>
      </c>
      <c r="DG4" s="9">
        <f>BDH(DG$1,"RETURN_COM_EQY",DataStart,DataEnd,"Per=M","Days=A","Fill=P")</f>
        <v/>
      </c>
      <c r="DI4" s="9">
        <f>BDH(DI$1,"RETURN_COM_EQY",DataStart,DataEnd,"Per=M","Days=A","Fill=P")</f>
        <v/>
      </c>
      <c r="DK4" s="9">
        <f>BDH(DK$1,"RETURN_COM_EQY",DataStart,DataEnd,"Per=M","Days=A","Fill=P")</f>
        <v/>
      </c>
      <c r="DM4" s="9">
        <f>BDH(DM$1,"RETURN_COM_EQY",DataStart,DataEnd,"Per=M","Days=A","Fill=P")</f>
        <v/>
      </c>
      <c r="DO4" s="9">
        <f>BDH(DO$1,"RETURN_COM_EQY",DataStart,DataEnd,"Per=M","Days=A","Fill=P")</f>
        <v/>
      </c>
      <c r="DQ4" s="9">
        <f>BDH(DQ$1,"RETURN_COM_EQY",DataStart,DataEnd,"Per=M","Days=A","Fill=P")</f>
        <v/>
      </c>
      <c r="DS4" s="9">
        <f>BDH(DS$1,"RETURN_COM_EQY",DataStart,DataEnd,"Per=M","Days=A","Fill=P")</f>
        <v/>
      </c>
      <c r="DU4" s="9">
        <f>BDH(DU$1,"RETURN_COM_EQY",DataStart,DataEnd,"Per=M","Days=A","Fill=P")</f>
        <v/>
      </c>
      <c r="DW4" s="9">
        <f>BDH(DW$1,"RETURN_COM_EQY",DataStart,DataEnd,"Per=M","Days=A","Fill=P")</f>
        <v/>
      </c>
      <c r="DY4" s="9">
        <f>BDH(DY$1,"RETURN_COM_EQY",DataStart,DataEnd,"Per=M","Days=A","Fill=P")</f>
        <v/>
      </c>
      <c r="EA4" s="9">
        <f>BDH(EA$1,"RETURN_COM_EQY",DataStart,DataEnd,"Per=M","Days=A","Fill=P")</f>
        <v/>
      </c>
      <c r="EC4" s="9">
        <f>BDH(EC$1,"RETURN_COM_EQY",DataStart,DataEnd,"Per=M","Days=A","Fill=P")</f>
        <v/>
      </c>
      <c r="EE4" s="9">
        <f>BDH(EE$1,"RETURN_COM_EQY",DataStart,DataEnd,"Per=M","Days=A","Fill=P")</f>
        <v/>
      </c>
      <c r="EG4" s="9">
        <f>BDH(EG$1,"RETURN_COM_EQY",DataStart,DataEnd,"Per=M","Days=A","Fill=P")</f>
        <v/>
      </c>
      <c r="EI4" s="9">
        <f>BDH(EI$1,"RETURN_COM_EQY",DataStart,DataEnd,"Per=M","Days=A","Fill=P")</f>
        <v/>
      </c>
      <c r="EK4" s="9">
        <f>BDH(EK$1,"RETURN_COM_EQY",DataStart,DataEnd,"Per=M","Days=A","Fill=P")</f>
        <v/>
      </c>
      <c r="EM4" s="9">
        <f>BDH(EM$1,"RETURN_COM_EQY",DataStart,DataEnd,"Per=M","Days=A","Fill=P")</f>
        <v/>
      </c>
      <c r="EO4" s="9">
        <f>BDH(EO$1,"RETURN_COM_EQY",DataStart,DataEnd,"Per=M","Days=A","Fill=P")</f>
        <v/>
      </c>
      <c r="EQ4" s="9">
        <f>BDH(EQ$1,"RETURN_COM_EQY",DataStart,DataEnd,"Per=M","Days=A","Fill=P")</f>
        <v/>
      </c>
      <c r="ES4" s="9">
        <f>BDH(ES$1,"RETURN_COM_EQY",DataStart,DataEnd,"Per=M","Days=A","Fill=P")</f>
        <v/>
      </c>
      <c r="EU4" s="9">
        <f>BDH(EU$1,"RETURN_COM_EQY",DataStart,DataEnd,"Per=M","Days=A","Fill=P")</f>
        <v/>
      </c>
      <c r="EW4" s="9">
        <f>BDH(EW$1,"RETURN_COM_EQY",DataStart,DataEnd,"Per=M","Days=A","Fill=P")</f>
        <v/>
      </c>
      <c r="EY4" s="9">
        <f>BDH(EY$1,"RETURN_COM_EQY",DataStart,DataEnd,"Per=M","Days=A","Fill=P")</f>
        <v/>
      </c>
      <c r="FA4" s="9">
        <f>BDH(FA$1,"RETURN_COM_EQY",DataStart,DataEnd,"Per=M","Days=A","Fill=P")</f>
        <v/>
      </c>
      <c r="FC4" s="9">
        <f>BDH(FC$1,"RETURN_COM_EQY",DataStart,DataEnd,"Per=M","Days=A","Fill=P")</f>
        <v/>
      </c>
      <c r="FE4" s="9">
        <f>BDH(FE$1,"RETURN_COM_EQY",DataStart,DataEnd,"Per=M","Days=A","Fill=P")</f>
        <v/>
      </c>
      <c r="FG4" s="9">
        <f>BDH(FG$1,"RETURN_COM_EQY",DataStart,DataEnd,"Per=M","Days=A","Fill=P")</f>
        <v/>
      </c>
      <c r="FI4" s="9">
        <f>BDH(FI$1,"RETURN_COM_EQY",DataStart,DataEnd,"Per=M","Days=A","Fill=P")</f>
        <v/>
      </c>
      <c r="FK4" s="9">
        <f>BDH(FK$1,"RETURN_COM_EQY",DataStart,DataEnd,"Per=M","Days=A","Fill=P")</f>
        <v/>
      </c>
      <c r="FM4" s="9">
        <f>BDH(FM$1,"RETURN_COM_EQY",DataStart,DataEnd,"Per=M","Days=A","Fill=P")</f>
        <v/>
      </c>
      <c r="FO4" s="9">
        <f>BDH(FO$1,"RETURN_COM_EQY",DataStart,DataEnd,"Per=M","Days=A","Fill=P")</f>
        <v/>
      </c>
      <c r="FQ4" s="9">
        <f>BDH(FQ$1,"RETURN_COM_EQY",DataStart,DataEnd,"Per=M","Days=A","Fill=P")</f>
        <v/>
      </c>
      <c r="FS4" s="9">
        <f>BDH(FS$1,"RETURN_COM_EQY",DataStart,DataEnd,"Per=M","Days=A","Fill=P")</f>
        <v/>
      </c>
      <c r="FU4" s="9">
        <f>BDH(FU$1,"RETURN_COM_EQY",DataStart,DataEnd,"Per=M","Days=A","Fill=P")</f>
        <v/>
      </c>
      <c r="FW4" s="9">
        <f>BDH(FW$1,"RETURN_COM_EQY",DataStart,DataEnd,"Per=M","Days=A","Fill=P")</f>
        <v/>
      </c>
      <c r="FY4" s="9">
        <f>BDH(FY$1,"RETURN_COM_EQY",DataStart,DataEnd,"Per=M","Days=A","Fill=P")</f>
        <v/>
      </c>
      <c r="GA4" s="9">
        <f>BDH(GA$1,"RETURN_COM_EQY",DataStart,DataEnd,"Per=M","Days=A","Fill=P")</f>
        <v/>
      </c>
      <c r="GC4" s="9">
        <f>BDH(GC$1,"RETURN_COM_EQY",DataStart,DataEnd,"Per=M","Days=A","Fill=P")</f>
        <v/>
      </c>
      <c r="GE4" s="9">
        <f>BDH(GE$1,"RETURN_COM_EQY",DataStart,DataEnd,"Per=M","Days=A","Fill=P")</f>
        <v/>
      </c>
      <c r="GG4" s="9">
        <f>BDH(GG$1,"RETURN_COM_EQY",DataStart,DataEnd,"Per=M","Days=A","Fill=P")</f>
        <v/>
      </c>
      <c r="GI4" s="9">
        <f>BDH(GI$1,"RETURN_COM_EQY",DataStart,DataEnd,"Per=M","Days=A","Fill=P")</f>
        <v/>
      </c>
      <c r="GK4" s="9">
        <f>BDH(GK$1,"RETURN_COM_EQY",DataStart,DataEnd,"Per=M","Days=A","Fill=P")</f>
        <v/>
      </c>
      <c r="GM4" s="9">
        <f>BDH(GM$1,"RETURN_COM_EQY",DataStart,DataEnd,"Per=M","Days=A","Fill=P")</f>
        <v/>
      </c>
      <c r="GO4" s="9">
        <f>BDH(GO$1,"RETURN_COM_EQY",DataStart,DataEnd,"Per=M","Days=A","Fill=P")</f>
        <v/>
      </c>
      <c r="GQ4" s="9">
        <f>BDH(GQ$1,"RETURN_COM_EQY",DataStart,DataEnd,"Per=M","Days=A","Fill=P")</f>
        <v/>
      </c>
      <c r="GS4" s="9">
        <f>BDH(GS$1,"RETURN_COM_EQY",DataStart,DataEnd,"Per=M","Days=A","Fill=P")</f>
        <v/>
      </c>
      <c r="GU4" s="9">
        <f>BDH(GU$1,"RETURN_COM_EQY",DataStart,DataEnd,"Per=M","Days=A","Fill=P")</f>
        <v/>
      </c>
      <c r="GW4" s="9">
        <f>BDH(GW$1,"RETURN_COM_EQY",DataStart,DataEnd,"Per=M","Days=A","Fill=P")</f>
        <v/>
      </c>
      <c r="GY4" s="9">
        <f>BDH(GY$1,"RETURN_COM_EQY",DataStart,DataEnd,"Per=M","Days=A","Fill=P")</f>
        <v/>
      </c>
      <c r="HA4" s="9">
        <f>BDH(HA$1,"RETURN_COM_EQY",DataStart,DataEnd,"Per=M","Days=A","Fill=P")</f>
        <v/>
      </c>
      <c r="HC4" s="9">
        <f>BDH(HC$1,"RETURN_COM_EQY",DataStart,DataEnd,"Per=M","Days=A","Fill=P")</f>
        <v/>
      </c>
      <c r="HE4" s="9">
        <f>BDH(HE$1,"RETURN_COM_EQY",DataStart,DataEnd,"Per=M","Days=A","Fill=P")</f>
        <v/>
      </c>
      <c r="HG4" s="9">
        <f>BDH(HG$1,"RETURN_COM_EQY",DataStart,DataEnd,"Per=M","Days=A","Fill=P")</f>
        <v/>
      </c>
      <c r="HI4" s="9">
        <f>BDH(HI$1,"RETURN_COM_EQY",DataStart,DataEnd,"Per=M","Days=A","Fill=P")</f>
        <v/>
      </c>
      <c r="HK4" s="9">
        <f>BDH(HK$1,"RETURN_COM_EQY",DataStart,DataEnd,"Per=M","Days=A","Fill=P")</f>
        <v/>
      </c>
      <c r="HM4" s="9">
        <f>BDH(HM$1,"RETURN_COM_EQY",DataStart,DataEnd,"Per=M","Days=A","Fill=P")</f>
        <v/>
      </c>
      <c r="HO4" s="9">
        <f>BDH(HO$1,"RETURN_COM_EQY",DataStart,DataEnd,"Per=M","Days=A","Fill=P")</f>
        <v/>
      </c>
      <c r="HQ4" s="9">
        <f>BDH(HQ$1,"RETURN_COM_EQY",DataStart,DataEnd,"Per=M","Days=A","Fill=P")</f>
        <v/>
      </c>
      <c r="HS4" s="9">
        <f>BDH(HS$1,"RETURN_COM_EQY",DataStart,DataEnd,"Per=M","Days=A","Fill=P")</f>
        <v/>
      </c>
      <c r="HU4" s="9">
        <f>BDH(HU$1,"RETURN_COM_EQY",DataStart,DataEnd,"Per=M","Days=A","Fill=P")</f>
        <v/>
      </c>
      <c r="HW4" s="9">
        <f>BDH(HW$1,"RETURN_COM_EQY",DataStart,DataEnd,"Per=M","Days=A","Fill=P")</f>
        <v/>
      </c>
      <c r="HY4" s="9">
        <f>BDH(HY$1,"RETURN_COM_EQY",DataStart,DataEnd,"Per=M","Days=A","Fill=P")</f>
        <v/>
      </c>
      <c r="IA4" s="9">
        <f>BDH(IA$1,"RETURN_COM_EQY",DataStart,DataEnd,"Per=M","Days=A","Fill=P")</f>
        <v/>
      </c>
      <c r="IC4" s="9">
        <f>BDH(IC$1,"RETURN_COM_EQY",DataStart,DataEnd,"Per=M","Days=A","Fill=P")</f>
        <v/>
      </c>
      <c r="IE4" s="9">
        <f>BDH(IE$1,"RETURN_COM_EQY",DataStart,DataEnd,"Per=M","Days=A","Fill=P")</f>
        <v/>
      </c>
      <c r="IG4" s="9">
        <f>BDH(IG$1,"RETURN_COM_EQY",DataStart,DataEnd,"Per=M","Days=A","Fill=P")</f>
        <v/>
      </c>
      <c r="II4" s="9">
        <f>BDH(II$1,"RETURN_COM_EQY",DataStart,DataEnd,"Per=M","Days=A","Fill=P")</f>
        <v/>
      </c>
      <c r="IK4" s="9">
        <f>BDH(IK$1,"RETURN_COM_EQY",DataStart,DataEnd,"Per=M","Days=A","Fill=P")</f>
        <v/>
      </c>
      <c r="IM4" s="9">
        <f>BDH(IM$1,"RETURN_COM_EQY",DataStart,DataEnd,"Per=M","Days=A","Fill=P")</f>
        <v/>
      </c>
      <c r="IO4" s="9">
        <f>BDH(IO$1,"RETURN_COM_EQY",DataStart,DataEnd,"Per=M","Days=A","Fill=P")</f>
        <v/>
      </c>
      <c r="IQ4" s="9">
        <f>BDH(IQ$1,"RETURN_COM_EQY",DataStart,DataEnd,"Per=M","Days=A","Fill=P")</f>
        <v/>
      </c>
      <c r="IS4" s="9">
        <f>BDH(IS$1,"RETURN_COM_EQY",DataStart,DataEnd,"Per=M","Days=A","Fill=P")</f>
        <v/>
      </c>
      <c r="IU4" s="9">
        <f>BDH(IU$1,"RETURN_COM_EQY",DataStart,DataEnd,"Per=M","Days=A","Fill=P")</f>
        <v/>
      </c>
      <c r="IW4" s="9">
        <f>BDH(IW$1,"RETURN_COM_EQY",DataStart,DataEnd,"Per=M","Days=A","Fill=P")</f>
        <v/>
      </c>
      <c r="IY4" s="9">
        <f>BDH(IY$1,"RETURN_COM_EQY",DataStart,DataEnd,"Per=M","Days=A","Fill=P")</f>
        <v/>
      </c>
      <c r="JA4" s="9">
        <f>BDH(JA$1,"RETURN_COM_EQY",DataStart,DataEnd,"Per=M","Days=A","Fill=P")</f>
        <v/>
      </c>
      <c r="JC4" s="9">
        <f>BDH(JC$1,"RETURN_COM_EQY",DataStart,DataEnd,"Per=M","Days=A","Fill=P")</f>
        <v/>
      </c>
      <c r="JE4" s="9">
        <f>BDH(JE$1,"RETURN_COM_EQY",DataStart,DataEnd,"Per=M","Days=A","Fill=P")</f>
        <v/>
      </c>
      <c r="JG4" s="9">
        <f>BDH(JG$1,"RETURN_COM_EQY",DataStart,DataEnd,"Per=M","Days=A","Fill=P")</f>
        <v/>
      </c>
      <c r="JI4" s="9">
        <f>BDH(JI$1,"RETURN_COM_EQY",DataStart,DataEnd,"Per=M","Days=A","Fill=P")</f>
        <v/>
      </c>
      <c r="JK4" s="9">
        <f>BDH(JK$1,"RETURN_COM_EQY",DataStart,DataEnd,"Per=M","Days=A","Fill=P")</f>
        <v/>
      </c>
      <c r="JM4" s="9">
        <f>BDH(JM$1,"RETURN_COM_EQY",DataStart,DataEnd,"Per=M","Days=A","Fill=P")</f>
        <v/>
      </c>
      <c r="JO4" s="9">
        <f>BDH(JO$1,"RETURN_COM_EQY",DataStart,DataEnd,"Per=M","Days=A","Fill=P")</f>
        <v/>
      </c>
      <c r="JQ4" s="9">
        <f>BDH(JQ$1,"RETURN_COM_EQY",DataStart,DataEnd,"Per=M","Days=A","Fill=P")</f>
        <v/>
      </c>
      <c r="JS4" s="9">
        <f>BDH(JS$1,"RETURN_COM_EQY",DataStart,DataEnd,"Per=M","Days=A","Fill=P")</f>
        <v/>
      </c>
      <c r="JU4" s="9">
        <f>BDH(JU$1,"RETURN_COM_EQY",DataStart,DataEnd,"Per=M","Days=A","Fill=P")</f>
        <v/>
      </c>
      <c r="JW4" s="9">
        <f>BDH(JW$1,"RETURN_COM_EQY",DataStart,DataEnd,"Per=M","Days=A","Fill=P")</f>
        <v/>
      </c>
      <c r="JY4" s="9">
        <f>BDH(JY$1,"RETURN_COM_EQY",DataStart,DataEnd,"Per=M","Days=A","Fill=P")</f>
        <v/>
      </c>
      <c r="KA4" s="9">
        <f>BDH(KA$1,"RETURN_COM_EQY",DataStart,DataEnd,"Per=M","Days=A","Fill=P")</f>
        <v/>
      </c>
      <c r="KC4" s="9">
        <f>BDH(KC$1,"RETURN_COM_EQY",DataStart,DataEnd,"Per=M","Days=A","Fill=P")</f>
        <v/>
      </c>
      <c r="KE4" s="9">
        <f>BDH(KE$1,"RETURN_COM_EQY",DataStart,DataEnd,"Per=M","Days=A","Fill=P")</f>
        <v/>
      </c>
      <c r="KG4" s="9">
        <f>BDH(KG$1,"RETURN_COM_EQY",DataStart,DataEnd,"Per=M","Days=A","Fill=P")</f>
        <v/>
      </c>
      <c r="KI4" s="9">
        <f>BDH(KI$1,"RETURN_COM_EQY",DataStart,DataEnd,"Per=M","Days=A","Fill=P")</f>
        <v/>
      </c>
      <c r="KK4" s="9">
        <f>BDH(KK$1,"RETURN_COM_EQY",DataStart,DataEnd,"Per=M","Days=A","Fill=P")</f>
        <v/>
      </c>
      <c r="KM4" s="9">
        <f>BDH(KM$1,"RETURN_COM_EQY",DataStart,DataEnd,"Per=M","Days=A","Fill=P")</f>
        <v/>
      </c>
      <c r="KO4" s="9">
        <f>BDH(KO$1,"RETURN_COM_EQY",DataStart,DataEnd,"Per=M","Days=A","Fill=P")</f>
        <v/>
      </c>
      <c r="KQ4" s="9">
        <f>BDH(KQ$1,"RETURN_COM_EQY",DataStart,DataEnd,"Per=M","Days=A","Fill=P")</f>
        <v/>
      </c>
      <c r="KS4" s="9">
        <f>BDH(KS$1,"RETURN_COM_EQY",DataStart,DataEnd,"Per=M","Days=A","Fill=P")</f>
        <v/>
      </c>
      <c r="KU4" s="9">
        <f>BDH(KU$1,"RETURN_COM_EQY",DataStart,DataEnd,"Per=M","Days=A","Fill=P")</f>
        <v/>
      </c>
      <c r="KW4" s="9">
        <f>BDH(KW$1,"RETURN_COM_EQY",DataStart,DataEnd,"Per=M","Days=A","Fill=P")</f>
        <v/>
      </c>
      <c r="KY4" s="9">
        <f>BDH(KY$1,"RETURN_COM_EQY",DataStart,DataEnd,"Per=M","Days=A","Fill=P")</f>
        <v/>
      </c>
      <c r="LA4" s="9">
        <f>BDH(LA$1,"RETURN_COM_EQY",DataStart,DataEnd,"Per=M","Days=A","Fill=P")</f>
        <v/>
      </c>
      <c r="LC4" s="9">
        <f>BDH(LC$1,"RETURN_COM_EQY",DataStart,DataEnd,"Per=M","Days=A","Fill=P")</f>
        <v/>
      </c>
      <c r="LE4" s="9">
        <f>BDH(LE$1,"RETURN_COM_EQY",DataStart,DataEnd,"Per=M","Days=A","Fill=P")</f>
        <v/>
      </c>
      <c r="LG4" s="9">
        <f>BDH(LG$1,"RETURN_COM_EQY",DataStart,DataEnd,"Per=M","Days=A","Fill=P")</f>
        <v/>
      </c>
      <c r="LI4" s="9">
        <f>BDH(LI$1,"RETURN_COM_EQY",DataStart,DataEnd,"Per=M","Days=A","Fill=P")</f>
        <v/>
      </c>
      <c r="LK4" s="9">
        <f>BDH(LK$1,"RETURN_COM_EQY",DataStart,DataEnd,"Per=M","Days=A","Fill=P")</f>
        <v/>
      </c>
      <c r="LM4" s="9">
        <f>BDH(LM$1,"RETURN_COM_EQY",DataStart,DataEnd,"Per=M","Days=A","Fill=P")</f>
        <v/>
      </c>
      <c r="LO4" s="9">
        <f>BDH(LO$1,"RETURN_COM_EQY",DataStart,DataEnd,"Per=M","Days=A","Fill=P")</f>
        <v/>
      </c>
      <c r="LQ4" s="9">
        <f>BDH(LQ$1,"RETURN_COM_EQY",DataStart,DataEnd,"Per=M","Days=A","Fill=P")</f>
        <v/>
      </c>
      <c r="LS4" s="9">
        <f>BDH(LS$1,"RETURN_COM_EQY",DataStart,DataEnd,"Per=M","Days=A","Fill=P")</f>
        <v/>
      </c>
      <c r="LU4" s="9">
        <f>BDH(LU$1,"RETURN_COM_EQY",DataStart,DataEnd,"Per=M","Days=A","Fill=P")</f>
        <v/>
      </c>
      <c r="LW4" s="9">
        <f>BDH(LW$1,"RETURN_COM_EQY",DataStart,DataEnd,"Per=M","Days=A","Fill=P")</f>
        <v/>
      </c>
      <c r="LY4" s="9">
        <f>BDH(LY$1,"RETURN_COM_EQY",DataStart,DataEnd,"Per=M","Days=A","Fill=P")</f>
        <v/>
      </c>
      <c r="MA4" s="9">
        <f>BDH(MA$1,"RETURN_COM_EQY",DataStart,DataEnd,"Per=M","Days=A","Fill=P")</f>
        <v/>
      </c>
      <c r="MC4" s="9">
        <f>BDH(MC$1,"RETURN_COM_EQY",DataStart,DataEnd,"Per=M","Days=A","Fill=P")</f>
        <v/>
      </c>
      <c r="ME4" s="9">
        <f>BDH(ME$1,"RETURN_COM_EQY",DataStart,DataEnd,"Per=M","Days=A","Fill=P")</f>
        <v/>
      </c>
      <c r="MG4" s="9">
        <f>BDH(MG$1,"RETURN_COM_EQY",DataStart,DataEnd,"Per=M","Days=A","Fill=P")</f>
        <v/>
      </c>
      <c r="MI4" s="9">
        <f>BDH(MI$1,"RETURN_COM_EQY",DataStart,DataEnd,"Per=M","Days=A","Fill=P")</f>
        <v/>
      </c>
      <c r="MK4" s="9">
        <f>BDH(MK$1,"RETURN_COM_EQY",DataStart,DataEnd,"Per=M","Days=A","Fill=P")</f>
        <v/>
      </c>
      <c r="MM4" s="9">
        <f>BDH(MM$1,"RETURN_COM_EQY",DataStart,DataEnd,"Per=M","Days=A","Fill=P")</f>
        <v/>
      </c>
      <c r="MO4" s="9">
        <f>BDH(MO$1,"RETURN_COM_EQY",DataStart,DataEnd,"Per=M","Days=A","Fill=P")</f>
        <v/>
      </c>
      <c r="MQ4" s="9">
        <f>BDH(MQ$1,"RETURN_COM_EQY",DataStart,DataEnd,"Per=M","Days=A","Fill=P")</f>
        <v/>
      </c>
      <c r="MS4" s="9">
        <f>BDH(MS$1,"RETURN_COM_EQY",DataStart,DataEnd,"Per=M","Days=A","Fill=P")</f>
        <v/>
      </c>
      <c r="MU4" s="9">
        <f>BDH(MU$1,"RETURN_COM_EQY",DataStart,DataEnd,"Per=M","Days=A","Fill=P")</f>
        <v/>
      </c>
      <c r="MW4" s="9">
        <f>BDH(MW$1,"RETURN_COM_EQY",DataStart,DataEnd,"Per=M","Days=A","Fill=P")</f>
        <v/>
      </c>
      <c r="MY4" s="9">
        <f>BDH(MY$1,"RETURN_COM_EQY",DataStart,DataEnd,"Per=M","Days=A","Fill=P")</f>
        <v/>
      </c>
      <c r="NA4" s="9">
        <f>BDH(NA$1,"RETURN_COM_EQY",DataStart,DataEnd,"Per=M","Days=A","Fill=P")</f>
        <v/>
      </c>
      <c r="NC4" s="9">
        <f>BDH(NC$1,"RETURN_COM_EQY",DataStart,DataEnd,"Per=M","Days=A","Fill=P")</f>
        <v/>
      </c>
      <c r="NE4" s="9">
        <f>BDH(NE$1,"RETURN_COM_EQY",DataStart,DataEnd,"Per=M","Days=A","Fill=P")</f>
        <v/>
      </c>
      <c r="NG4" s="9">
        <f>BDH(NG$1,"RETURN_COM_EQY",DataStart,DataEnd,"Per=M","Days=A","Fill=P")</f>
        <v/>
      </c>
      <c r="NI4" s="9">
        <f>BDH(NI$1,"RETURN_COM_EQY",DataStart,DataEnd,"Per=M","Days=A","Fill=P")</f>
        <v/>
      </c>
      <c r="NK4" s="9">
        <f>BDH(NK$1,"RETURN_COM_EQY",DataStart,DataEnd,"Per=M","Days=A","Fill=P")</f>
        <v/>
      </c>
      <c r="NM4" s="9">
        <f>BDH(NM$1,"RETURN_COM_EQY",DataStart,DataEnd,"Per=M","Days=A","Fill=P")</f>
        <v/>
      </c>
      <c r="NO4" s="9">
        <f>BDH(NO$1,"RETURN_COM_EQY",DataStart,DataEnd,"Per=M","Days=A","Fill=P")</f>
        <v/>
      </c>
      <c r="NQ4" s="9">
        <f>BDH(NQ$1,"RETURN_COM_EQY",DataStart,DataEnd,"Per=M","Days=A","Fill=P")</f>
        <v/>
      </c>
      <c r="NS4" s="9">
        <f>BDH(NS$1,"RETURN_COM_EQY",DataStart,DataEnd,"Per=M","Days=A","Fill=P")</f>
        <v/>
      </c>
      <c r="NU4" s="9">
        <f>BDH(NU$1,"RETURN_COM_EQY",DataStart,DataEnd,"Per=M","Days=A","Fill=P")</f>
        <v/>
      </c>
      <c r="NW4" s="9">
        <f>BDH(NW$1,"RETURN_COM_EQY",DataStart,DataEnd,"Per=M","Days=A","Fill=P")</f>
        <v/>
      </c>
      <c r="NY4" s="9">
        <f>BDH(NY$1,"RETURN_COM_EQY",DataStart,DataEnd,"Per=M","Days=A","Fill=P")</f>
        <v/>
      </c>
      <c r="OA4" s="9">
        <f>BDH(OA$1,"RETURN_COM_EQY",DataStart,DataEnd,"Per=M","Days=A","Fill=P")</f>
        <v/>
      </c>
      <c r="OC4" s="9">
        <f>BDH(OC$1,"RETURN_COM_EQY",DataStart,DataEnd,"Per=M","Days=A","Fill=P")</f>
        <v/>
      </c>
      <c r="OE4" s="9">
        <f>BDH(OE$1,"RETURN_COM_EQY",DataStart,DataEnd,"Per=M","Days=A","Fill=P")</f>
        <v/>
      </c>
      <c r="OG4" s="9">
        <f>BDH(OG$1,"RETURN_COM_EQY",DataStart,DataEnd,"Per=M","Days=A","Fill=P")</f>
        <v/>
      </c>
      <c r="OI4" s="9">
        <f>BDH(OI$1,"RETURN_COM_EQY",DataStart,DataEnd,"Per=M","Days=A","Fill=P")</f>
        <v/>
      </c>
      <c r="OK4" s="9">
        <f>BDH(OK$1,"RETURN_COM_EQY",DataStart,DataEnd,"Per=M","Days=A","Fill=P")</f>
        <v/>
      </c>
      <c r="OM4" s="9">
        <f>BDH(OM$1,"RETURN_COM_EQY",DataStart,DataEnd,"Per=M","Days=A","Fill=P")</f>
        <v/>
      </c>
      <c r="OO4" s="9">
        <f>BDH(OO$1,"RETURN_COM_EQY",DataStart,DataEnd,"Per=M","Days=A","Fill=P")</f>
        <v/>
      </c>
      <c r="OQ4" s="9">
        <f>BDH(OQ$1,"RETURN_COM_EQY",DataStart,DataEnd,"Per=M","Days=A","Fill=P")</f>
        <v/>
      </c>
      <c r="OS4" s="9">
        <f>BDH(OS$1,"RETURN_COM_EQY",DataStart,DataEnd,"Per=M","Days=A","Fill=P")</f>
        <v/>
      </c>
      <c r="OU4" s="9">
        <f>BDH(OU$1,"RETURN_COM_EQY",DataStart,DataEnd,"Per=M","Days=A","Fill=P")</f>
        <v/>
      </c>
      <c r="OW4" s="9">
        <f>BDH(OW$1,"RETURN_COM_EQY",DataStart,DataEnd,"Per=M","Days=A","Fill=P")</f>
        <v/>
      </c>
      <c r="OY4" s="9">
        <f>BDH(OY$1,"RETURN_COM_EQY",DataStart,DataEnd,"Per=M","Days=A","Fill=P")</f>
        <v/>
      </c>
      <c r="PA4" s="9">
        <f>BDH(PA$1,"RETURN_COM_EQY",DataStart,DataEnd,"Per=M","Days=A","Fill=P")</f>
        <v/>
      </c>
      <c r="PC4" s="9">
        <f>BDH(PC$1,"RETURN_COM_EQY",DataStart,DataEnd,"Per=M","Days=A","Fill=P")</f>
        <v/>
      </c>
      <c r="PE4" s="9">
        <f>BDH(PE$1,"RETURN_COM_EQY",DataStart,DataEnd,"Per=M","Days=A","Fill=P")</f>
        <v/>
      </c>
      <c r="PG4" s="9">
        <f>BDH(PG$1,"RETURN_COM_EQY",DataStart,DataEnd,"Per=M","Days=A","Fill=P")</f>
        <v/>
      </c>
      <c r="PI4" s="9">
        <f>BDH(PI$1,"RETURN_COM_EQY",DataStart,DataEnd,"Per=M","Days=A","Fill=P")</f>
        <v/>
      </c>
      <c r="PK4" s="9">
        <f>BDH(PK$1,"RETURN_COM_EQY",DataStart,DataEnd,"Per=M","Days=A","Fill=P")</f>
        <v/>
      </c>
      <c r="PM4" s="9">
        <f>BDH(PM$1,"RETURN_COM_EQY",DataStart,DataEnd,"Per=M","Days=A","Fill=P")</f>
        <v/>
      </c>
      <c r="PO4" s="9">
        <f>BDH(PO$1,"RETURN_COM_EQY",DataStart,DataEnd,"Per=M","Days=A","Fill=P")</f>
        <v/>
      </c>
      <c r="PQ4" s="9">
        <f>BDH(PQ$1,"RETURN_COM_EQY",DataStart,DataEnd,"Per=M","Days=A","Fill=P")</f>
        <v/>
      </c>
      <c r="PS4" s="9">
        <f>BDH(PS$1,"RETURN_COM_EQY",DataStart,DataEnd,"Per=M","Days=A","Fill=P")</f>
        <v/>
      </c>
      <c r="PU4" s="9">
        <f>BDH(PU$1,"RETURN_COM_EQY",DataStart,DataEnd,"Per=M","Days=A","Fill=P")</f>
        <v/>
      </c>
      <c r="PW4" s="9">
        <f>BDH(PW$1,"RETURN_COM_EQY",DataStart,DataEnd,"Per=M","Days=A","Fill=P")</f>
        <v/>
      </c>
      <c r="PY4" s="9">
        <f>BDH(PY$1,"RETURN_COM_EQY",DataStart,DataEnd,"Per=M","Days=A","Fill=P")</f>
        <v/>
      </c>
      <c r="QA4" s="9">
        <f>BDH(QA$1,"RETURN_COM_EQY",DataStart,DataEnd,"Per=M","Days=A","Fill=P")</f>
        <v/>
      </c>
      <c r="QC4" s="9">
        <f>BDH(QC$1,"RETURN_COM_EQY",DataStart,DataEnd,"Per=M","Days=A","Fill=P")</f>
        <v/>
      </c>
      <c r="QE4" s="9">
        <f>BDH(QE$1,"RETURN_COM_EQY",DataStart,DataEnd,"Per=M","Days=A","Fill=P")</f>
        <v/>
      </c>
      <c r="QG4" s="9">
        <f>BDH(QG$1,"RETURN_COM_EQY",DataStart,DataEnd,"Per=M","Days=A","Fill=P")</f>
        <v/>
      </c>
      <c r="QI4" s="9">
        <f>BDH(QI$1,"RETURN_COM_EQY",DataStart,DataEnd,"Per=M","Days=A","Fill=P")</f>
        <v/>
      </c>
      <c r="QK4" s="9">
        <f>BDH(QK$1,"RETURN_COM_EQY",DataStart,DataEnd,"Per=M","Days=A","Fill=P")</f>
        <v/>
      </c>
      <c r="QM4" s="9">
        <f>BDH(QM$1,"RETURN_COM_EQY",DataStart,DataEnd,"Per=M","Days=A","Fill=P")</f>
        <v/>
      </c>
      <c r="QO4" s="9">
        <f>BDH(QO$1,"RETURN_COM_EQY",DataStart,DataEnd,"Per=M","Days=A","Fill=P")</f>
        <v/>
      </c>
      <c r="QQ4" s="9">
        <f>BDH(QQ$1,"RETURN_COM_EQY",DataStart,DataEnd,"Per=M","Days=A","Fill=P")</f>
        <v/>
      </c>
      <c r="QS4" s="9">
        <f>BDH(QS$1,"RETURN_COM_EQY",DataStart,DataEnd,"Per=M","Days=A","Fill=P")</f>
        <v/>
      </c>
      <c r="QU4" s="9">
        <f>BDH(QU$1,"RETURN_COM_EQY",DataStart,DataEnd,"Per=M","Days=A","Fill=P")</f>
        <v/>
      </c>
      <c r="QW4" s="9">
        <f>BDH(QW$1,"RETURN_COM_EQY",DataStart,DataEnd,"Per=M","Days=A","Fill=P")</f>
        <v/>
      </c>
      <c r="QY4" s="9">
        <f>BDH(QY$1,"RETURN_COM_EQY",DataStart,DataEnd,"Per=M","Days=A","Fill=P")</f>
        <v/>
      </c>
      <c r="RA4" s="9">
        <f>BDH(RA$1,"RETURN_COM_EQY",DataStart,DataEnd,"Per=M","Days=A","Fill=P")</f>
        <v/>
      </c>
      <c r="RC4" s="9">
        <f>BDH(RC$1,"RETURN_COM_EQY",DataStart,DataEnd,"Per=M","Days=A","Fill=P")</f>
        <v/>
      </c>
      <c r="RE4" s="9">
        <f>BDH(RE$1,"RETURN_COM_EQY",DataStart,DataEnd,"Per=M","Days=A","Fill=P")</f>
        <v/>
      </c>
      <c r="RG4" s="9">
        <f>BDH(RG$1,"RETURN_COM_EQY",DataStart,DataEnd,"Per=M","Days=A","Fill=P")</f>
        <v/>
      </c>
      <c r="RI4" s="9">
        <f>BDH(RI$1,"RETURN_COM_EQY",DataStart,DataEnd,"Per=M","Days=A","Fill=P")</f>
        <v/>
      </c>
      <c r="RK4" s="9">
        <f>BDH(RK$1,"RETURN_COM_EQY",DataStart,DataEnd,"Per=M","Days=A","Fill=P")</f>
        <v/>
      </c>
      <c r="RM4" s="9">
        <f>BDH(RM$1,"RETURN_COM_EQY",DataStart,DataEnd,"Per=M","Days=A","Fill=P")</f>
        <v/>
      </c>
      <c r="RO4" s="9">
        <f>BDH(RO$1,"RETURN_COM_EQY",DataStart,DataEnd,"Per=M","Days=A","Fill=P")</f>
        <v/>
      </c>
      <c r="RQ4" s="9">
        <f>BDH(RQ$1,"RETURN_COM_EQY",DataStart,DataEnd,"Per=M","Days=A","Fill=P")</f>
        <v/>
      </c>
      <c r="RS4" s="9">
        <f>BDH(RS$1,"RETURN_COM_EQY",DataStart,DataEnd,"Per=M","Days=A","Fill=P")</f>
        <v/>
      </c>
      <c r="RU4" s="9">
        <f>BDH(RU$1,"RETURN_COM_EQY",DataStart,DataEnd,"Per=M","Days=A","Fill=P")</f>
        <v/>
      </c>
      <c r="RW4" s="9">
        <f>BDH(RW$1,"RETURN_COM_EQY",DataStart,DataEnd,"Per=M","Days=A","Fill=P")</f>
        <v/>
      </c>
      <c r="RY4" s="9">
        <f>BDH(RY$1,"RETURN_COM_EQY",DataStart,DataEnd,"Per=M","Days=A","Fill=P")</f>
        <v/>
      </c>
      <c r="SA4" s="9">
        <f>BDH(SA$1,"RETURN_COM_EQY",DataStart,DataEnd,"Per=M","Days=A","Fill=P")</f>
        <v/>
      </c>
      <c r="SC4" s="9">
        <f>BDH(SC$1,"RETURN_COM_EQY",DataStart,DataEnd,"Per=M","Days=A","Fill=P")</f>
        <v/>
      </c>
      <c r="SE4" s="9">
        <f>BDH(SE$1,"RETURN_COM_EQY",DataStart,DataEnd,"Per=M","Days=A","Fill=P")</f>
        <v/>
      </c>
      <c r="SG4" s="9">
        <f>BDH(SG$1,"RETURN_COM_EQY",DataStart,DataEnd,"Per=M","Days=A","Fill=P")</f>
        <v/>
      </c>
      <c r="SI4" s="9">
        <f>BDH(SI$1,"RETURN_COM_EQY",DataStart,DataEnd,"Per=M","Days=A","Fill=P")</f>
        <v/>
      </c>
      <c r="SK4" s="9">
        <f>BDH(SK$1,"RETURN_COM_EQY",DataStart,DataEnd,"Per=M","Days=A","Fill=P")</f>
        <v/>
      </c>
      <c r="SM4" s="9">
        <f>BDH(SM$1,"RETURN_COM_EQY",DataStart,DataEnd,"Per=M","Days=A","Fill=P")</f>
        <v/>
      </c>
      <c r="SO4" s="9">
        <f>BDH(SO$1,"RETURN_COM_EQY",DataStart,DataEnd,"Per=M","Days=A","Fill=P")</f>
        <v/>
      </c>
      <c r="SQ4" s="9">
        <f>BDH(SQ$1,"RETURN_COM_EQY",DataStart,DataEnd,"Per=M","Days=A","Fill=P")</f>
        <v/>
      </c>
      <c r="SS4" s="9">
        <f>BDH(SS$1,"RETURN_COM_EQY",DataStart,DataEnd,"Per=M","Days=A","Fill=P")</f>
        <v/>
      </c>
      <c r="SU4" s="9">
        <f>BDH(SU$1,"RETURN_COM_EQY",DataStart,DataEnd,"Per=M","Days=A","Fill=P")</f>
        <v/>
      </c>
      <c r="SW4" s="9">
        <f>BDH(SW$1,"RETURN_COM_EQY",DataStart,DataEnd,"Per=M","Days=A","Fill=P")</f>
        <v/>
      </c>
      <c r="SY4" s="9">
        <f>BDH(SY$1,"RETURN_COM_EQY",DataStart,DataEnd,"Per=M","Days=A","Fill=P")</f>
        <v/>
      </c>
      <c r="TA4" s="9">
        <f>BDH(TA$1,"RETURN_COM_EQY",DataStart,DataEnd,"Per=M","Days=A","Fill=P")</f>
        <v/>
      </c>
      <c r="TC4" s="9">
        <f>BDH(TC$1,"RETURN_COM_EQY",DataStart,DataEnd,"Per=M","Days=A","Fill=P")</f>
        <v/>
      </c>
      <c r="TE4" s="9">
        <f>BDH(TE$1,"RETURN_COM_EQY",DataStart,DataEnd,"Per=M","Days=A","Fill=P")</f>
        <v/>
      </c>
      <c r="TG4" s="9">
        <f>BDH(TG$1,"RETURN_COM_EQY",DataStart,DataEnd,"Per=M","Days=A","Fill=P")</f>
        <v/>
      </c>
      <c r="TI4" s="9">
        <f>BDH(TI$1,"RETURN_COM_EQY",DataStart,DataEnd,"Per=M","Days=A","Fill=P")</f>
        <v/>
      </c>
      <c r="TK4" s="9">
        <f>BDH(TK$1,"RETURN_COM_EQY",DataStart,DataEnd,"Per=M","Days=A","Fill=P")</f>
        <v/>
      </c>
      <c r="TM4" s="9">
        <f>BDH(TM$1,"RETURN_COM_EQY",DataStart,DataEnd,"Per=M","Days=A","Fill=P")</f>
        <v/>
      </c>
      <c r="TO4" s="9">
        <f>BDH(TO$1,"RETURN_COM_EQY",DataStart,DataEnd,"Per=M","Days=A","Fill=P")</f>
        <v/>
      </c>
      <c r="TQ4" s="9">
        <f>BDH(TQ$1,"RETURN_COM_EQY",DataStart,DataEnd,"Per=M","Days=A","Fill=P")</f>
        <v/>
      </c>
      <c r="TS4" s="9">
        <f>BDH(TS$1,"RETURN_COM_EQY",DataStart,DataEnd,"Per=M","Days=A","Fill=P")</f>
        <v/>
      </c>
      <c r="TU4" s="9">
        <f>BDH(TU$1,"RETURN_COM_EQY",DataStart,DataEnd,"Per=M","Days=A","Fill=P")</f>
        <v/>
      </c>
      <c r="TW4" s="9">
        <f>BDH(TW$1,"RETURN_COM_EQY",DataStart,DataEnd,"Per=M","Days=A","Fill=P")</f>
        <v/>
      </c>
      <c r="TY4" s="9">
        <f>BDH(TY$1,"RETURN_COM_EQY",DataStart,DataEnd,"Per=M","Days=A","Fill=P")</f>
        <v/>
      </c>
      <c r="UA4" s="9">
        <f>BDH(UA$1,"RETURN_COM_EQY",DataStart,DataEnd,"Per=M","Days=A","Fill=P")</f>
        <v/>
      </c>
      <c r="UC4" s="9">
        <f>BDH(UC$1,"RETURN_COM_EQY",DataStart,DataEnd,"Per=M","Days=A","Fill=P")</f>
        <v/>
      </c>
      <c r="UE4" s="9">
        <f>BDH(UE$1,"RETURN_COM_EQY",DataStart,DataEnd,"Per=M","Days=A","Fill=P")</f>
        <v/>
      </c>
      <c r="UG4" s="9">
        <f>BDH(UG$1,"RETURN_COM_EQY",DataStart,DataEnd,"Per=M","Days=A","Fill=P")</f>
        <v/>
      </c>
      <c r="UI4" s="9">
        <f>BDH(UI$1,"RETURN_COM_EQY",DataStart,DataEnd,"Per=M","Days=A","Fill=P")</f>
        <v/>
      </c>
      <c r="UK4" s="9">
        <f>BDH(UK$1,"RETURN_COM_EQY",DataStart,DataEnd,"Per=M","Days=A","Fill=P")</f>
        <v/>
      </c>
      <c r="UM4" s="9">
        <f>BDH(UM$1,"RETURN_COM_EQY",DataStart,DataEnd,"Per=M","Days=A","Fill=P")</f>
        <v/>
      </c>
      <c r="UO4" s="9">
        <f>BDH(UO$1,"RETURN_COM_EQY",DataStart,DataEnd,"Per=M","Days=A","Fill=P")</f>
        <v/>
      </c>
      <c r="UQ4" s="9">
        <f>BDH(UQ$1,"RETURN_COM_EQY",DataStart,DataEnd,"Per=M","Days=A","Fill=P")</f>
        <v/>
      </c>
      <c r="US4" s="9">
        <f>BDH(US$1,"RETURN_COM_EQY",DataStart,DataEnd,"Per=M","Days=A","Fill=P")</f>
        <v/>
      </c>
      <c r="UU4" s="9">
        <f>BDH(UU$1,"RETURN_COM_EQY",DataStart,DataEnd,"Per=M","Days=A","Fill=P")</f>
        <v/>
      </c>
      <c r="UW4" s="9">
        <f>BDH(UW$1,"RETURN_COM_EQY",DataStart,DataEnd,"Per=M","Days=A","Fill=P")</f>
        <v/>
      </c>
      <c r="UY4" s="9">
        <f>BDH(UY$1,"RETURN_COM_EQY",DataStart,DataEnd,"Per=M","Days=A","Fill=P")</f>
        <v/>
      </c>
      <c r="VA4" s="9">
        <f>BDH(VA$1,"RETURN_COM_EQY",DataStart,DataEnd,"Per=M","Days=A","Fill=P")</f>
        <v/>
      </c>
      <c r="VC4" s="9">
        <f>BDH(VC$1,"RETURN_COM_EQY",DataStart,DataEnd,"Per=M","Days=A","Fill=P")</f>
        <v/>
      </c>
      <c r="VE4" s="9">
        <f>BDH(VE$1,"RETURN_COM_EQY",DataStart,DataEnd,"Per=M","Days=A","Fill=P")</f>
        <v/>
      </c>
      <c r="VG4" s="9">
        <f>BDH(VG$1,"RETURN_COM_EQY",DataStart,DataEnd,"Per=M","Days=A","Fill=P")</f>
        <v/>
      </c>
      <c r="VI4" s="9">
        <f>BDH(VI$1,"RETURN_COM_EQY",DataStart,DataEnd,"Per=M","Days=A","Fill=P")</f>
        <v/>
      </c>
      <c r="VK4" s="9">
        <f>BDH(VK$1,"RETURN_COM_EQY",DataStart,DataEnd,"Per=M","Days=A","Fill=P")</f>
        <v/>
      </c>
      <c r="VM4" s="9">
        <f>BDH(VM$1,"RETURN_COM_EQY",DataStart,DataEnd,"Per=M","Days=A","Fill=P")</f>
        <v/>
      </c>
      <c r="VO4" s="9">
        <f>BDH(VO$1,"RETURN_COM_EQY",DataStart,DataEnd,"Per=M","Days=A","Fill=P")</f>
        <v/>
      </c>
      <c r="VQ4" s="9">
        <f>BDH(VQ$1,"RETURN_COM_EQY",DataStart,DataEnd,"Per=M","Days=A","Fill=P")</f>
        <v/>
      </c>
      <c r="VS4" s="9">
        <f>BDH(VS$1,"RETURN_COM_EQY",DataStart,DataEnd,"Per=M","Days=A","Fill=P")</f>
        <v/>
      </c>
      <c r="VU4" s="9">
        <f>BDH(VU$1,"RETURN_COM_EQY",DataStart,DataEnd,"Per=M","Days=A","Fill=P")</f>
        <v/>
      </c>
      <c r="VW4" s="9">
        <f>BDH(VW$1,"RETURN_COM_EQY",DataStart,DataEnd,"Per=M","Days=A","Fill=P")</f>
        <v/>
      </c>
      <c r="VY4" s="9">
        <f>BDH(VY$1,"RETURN_COM_EQY",DataStart,DataEnd,"Per=M","Days=A","Fill=P")</f>
        <v/>
      </c>
      <c r="WA4" s="9">
        <f>BDH(WA$1,"RETURN_COM_EQY",DataStart,DataEnd,"Per=M","Days=A","Fill=P")</f>
        <v/>
      </c>
      <c r="WC4" s="9">
        <f>BDH(WC$1,"RETURN_COM_EQY",DataStart,DataEnd,"Per=M","Days=A","Fill=P")</f>
        <v/>
      </c>
      <c r="WE4" s="9">
        <f>BDH(WE$1,"RETURN_COM_EQY",DataStart,DataEnd,"Per=M","Days=A","Fill=P")</f>
        <v/>
      </c>
      <c r="WG4" s="9">
        <f>BDH(WG$1,"RETURN_COM_EQY",DataStart,DataEnd,"Per=M","Days=A","Fill=P")</f>
        <v/>
      </c>
      <c r="WI4" s="9">
        <f>BDH(WI$1,"RETURN_COM_EQY",DataStart,DataEnd,"Per=M","Days=A","Fill=P")</f>
        <v/>
      </c>
      <c r="WK4" s="9">
        <f>BDH(WK$1,"RETURN_COM_EQY",DataStart,DataEnd,"Per=M","Days=A","Fill=P")</f>
        <v/>
      </c>
      <c r="WM4" s="9">
        <f>BDH(WM$1,"RETURN_COM_EQY",DataStart,DataEnd,"Per=M","Days=A","Fill=P")</f>
        <v/>
      </c>
      <c r="WO4" s="9">
        <f>BDH(WO$1,"RETURN_COM_EQY",DataStart,DataEnd,"Per=M","Days=A","Fill=P")</f>
        <v/>
      </c>
      <c r="WQ4" s="9">
        <f>BDH(WQ$1,"RETURN_COM_EQY",DataStart,DataEnd,"Per=M","Days=A","Fill=P")</f>
        <v/>
      </c>
      <c r="WS4" s="9">
        <f>BDH(WS$1,"RETURN_COM_EQY",DataStart,DataEnd,"Per=M","Days=A","Fill=P")</f>
        <v/>
      </c>
      <c r="WU4" s="9">
        <f>BDH(WU$1,"RETURN_COM_EQY",DataStart,DataEnd,"Per=M","Days=A","Fill=P")</f>
        <v/>
      </c>
      <c r="WW4" s="9">
        <f>BDH(WW$1,"RETURN_COM_EQY",DataStart,DataEnd,"Per=M","Days=A","Fill=P")</f>
        <v/>
      </c>
      <c r="WY4" s="9">
        <f>BDH(WY$1,"RETURN_COM_EQY",DataStart,DataEnd,"Per=M","Days=A","Fill=P")</f>
        <v/>
      </c>
      <c r="XA4" s="9">
        <f>BDH(XA$1,"RETURN_COM_EQY",DataStart,DataEnd,"Per=M","Days=A","Fill=P")</f>
        <v/>
      </c>
      <c r="XC4" s="9">
        <f>BDH(XC$1,"RETURN_COM_EQY",DataStart,DataEnd,"Per=M","Days=A","Fill=P")</f>
        <v/>
      </c>
      <c r="XE4" s="9">
        <f>BDH(XE$1,"RETURN_COM_EQY",DataStart,DataEnd,"Per=M","Days=A","Fill=P")</f>
        <v/>
      </c>
      <c r="XG4" s="9">
        <f>BDH(XG$1,"RETURN_COM_EQY",DataStart,DataEnd,"Per=M","Days=A","Fill=P")</f>
        <v/>
      </c>
      <c r="XI4" s="9">
        <f>BDH(XI$1,"RETURN_COM_EQY",DataStart,DataEnd,"Per=M","Days=A","Fill=P")</f>
        <v/>
      </c>
      <c r="XK4" s="9">
        <f>BDH(XK$1,"RETURN_COM_EQY",DataStart,DataEnd,"Per=M","Days=A","Fill=P")</f>
        <v/>
      </c>
      <c r="XM4" s="9">
        <f>BDH(XM$1,"RETURN_COM_EQY",DataStart,DataEnd,"Per=M","Days=A","Fill=P")</f>
        <v/>
      </c>
      <c r="XO4" s="9">
        <f>BDH(XO$1,"RETURN_COM_EQY",DataStart,DataEnd,"Per=M","Days=A","Fill=P")</f>
        <v/>
      </c>
      <c r="XQ4" s="9">
        <f>BDH(XQ$1,"RETURN_COM_EQY",DataStart,DataEnd,"Per=M","Days=A","Fill=P")</f>
        <v/>
      </c>
      <c r="XS4" s="9">
        <f>BDH(XS$1,"RETURN_COM_EQY",DataStart,DataEnd,"Per=M","Days=A","Fill=P")</f>
        <v/>
      </c>
      <c r="XU4" s="9">
        <f>BDH(XU$1,"RETURN_COM_EQY",DataStart,DataEnd,"Per=M","Days=A","Fill=P")</f>
        <v/>
      </c>
      <c r="XW4" s="9">
        <f>BDH(XW$1,"RETURN_COM_EQY",DataStart,DataEnd,"Per=M","Days=A","Fill=P")</f>
        <v/>
      </c>
      <c r="XY4" s="9">
        <f>BDH(XY$1,"RETURN_COM_EQY",DataStart,DataEnd,"Per=M","Days=A","Fill=P")</f>
        <v/>
      </c>
      <c r="YA4" s="9">
        <f>BDH(YA$1,"RETURN_COM_EQY",DataStart,DataEnd,"Per=M","Days=A","Fill=P")</f>
        <v/>
      </c>
      <c r="YC4" s="9">
        <f>BDH(YC$1,"RETURN_COM_EQY",DataStart,DataEnd,"Per=M","Days=A","Fill=P")</f>
        <v/>
      </c>
      <c r="YE4" s="9">
        <f>BDH(YE$1,"RETURN_COM_EQY",DataStart,DataEnd,"Per=M","Days=A","Fill=P")</f>
        <v/>
      </c>
      <c r="YG4" s="9">
        <f>BDH(YG$1,"RETURN_COM_EQY",DataStart,DataEnd,"Per=M","Days=A","Fill=P")</f>
        <v/>
      </c>
      <c r="YI4" s="9">
        <f>BDH(YI$1,"RETURN_COM_EQY",DataStart,DataEnd,"Per=M","Days=A","Fill=P")</f>
        <v/>
      </c>
      <c r="YK4" s="9">
        <f>BDH(YK$1,"RETURN_COM_EQY",DataStart,DataEnd,"Per=M","Days=A","Fill=P")</f>
        <v/>
      </c>
      <c r="YM4" s="9">
        <f>BDH(YM$1,"RETURN_COM_EQY",DataStart,DataEnd,"Per=M","Days=A","Fill=P")</f>
        <v/>
      </c>
      <c r="YO4" s="9">
        <f>BDH(YO$1,"RETURN_COM_EQY",DataStart,DataEnd,"Per=M","Days=A","Fill=P")</f>
        <v/>
      </c>
      <c r="YQ4" s="9">
        <f>BDH(YQ$1,"RETURN_COM_EQY",DataStart,DataEnd,"Per=M","Days=A","Fill=P")</f>
        <v/>
      </c>
      <c r="YS4" s="9">
        <f>BDH(YS$1,"RETURN_COM_EQY",DataStart,DataEnd,"Per=M","Days=A","Fill=P")</f>
        <v/>
      </c>
      <c r="YU4" s="9">
        <f>BDH(YU$1,"RETURN_COM_EQY",DataStart,DataEnd,"Per=M","Days=A","Fill=P")</f>
        <v/>
      </c>
      <c r="YW4" s="9">
        <f>BDH(YW$1,"RETURN_COM_EQY",DataStart,DataEnd,"Per=M","Days=A","Fill=P")</f>
        <v/>
      </c>
      <c r="YY4" s="9">
        <f>BDH(YY$1,"RETURN_COM_EQY",DataStart,DataEnd,"Per=M","Days=A","Fill=P")</f>
        <v/>
      </c>
      <c r="ZA4" s="9">
        <f>BDH(ZA$1,"RETURN_COM_EQY",DataStart,DataEnd,"Per=M","Days=A","Fill=P")</f>
        <v/>
      </c>
      <c r="ZC4" s="9">
        <f>BDH(ZC$1,"RETURN_COM_EQY",DataStart,DataEnd,"Per=M","Days=A","Fill=P")</f>
        <v/>
      </c>
      <c r="ZE4" s="9">
        <f>BDH(ZE$1,"RETURN_COM_EQY",DataStart,DataEnd,"Per=M","Days=A","Fill=P")</f>
        <v/>
      </c>
      <c r="ZG4" s="9">
        <f>BDH(ZG$1,"RETURN_COM_EQY",DataStart,DataEnd,"Per=M","Days=A","Fill=P")</f>
        <v/>
      </c>
      <c r="ZI4" s="9">
        <f>BDH(ZI$1,"RETURN_COM_EQY",DataStart,DataEnd,"Per=M","Days=A","Fill=P")</f>
        <v/>
      </c>
      <c r="ZK4" s="9">
        <f>BDH(ZK$1,"RETURN_COM_EQY",DataStart,DataEnd,"Per=M","Days=A","Fill=P")</f>
        <v/>
      </c>
      <c r="ZM4" s="9">
        <f>BDH(ZM$1,"RETURN_COM_EQY",DataStart,DataEnd,"Per=M","Days=A","Fill=P")</f>
        <v/>
      </c>
      <c r="ZO4" s="9">
        <f>BDH(ZO$1,"RETURN_COM_EQY",DataStart,DataEnd,"Per=M","Days=A","Fill=P")</f>
        <v/>
      </c>
      <c r="ZQ4" s="9">
        <f>BDH(ZQ$1,"RETURN_COM_EQY",DataStart,DataEnd,"Per=M","Days=A","Fill=P")</f>
        <v/>
      </c>
      <c r="ZS4" s="9">
        <f>BDH(ZS$1,"RETURN_COM_EQY",DataStart,DataEnd,"Per=M","Days=A","Fill=P")</f>
        <v/>
      </c>
      <c r="ZU4" s="9">
        <f>BDH(ZU$1,"RETURN_COM_EQY",DataStart,DataEnd,"Per=M","Days=A","Fill=P")</f>
        <v/>
      </c>
      <c r="ZW4" s="9">
        <f>BDH(ZW$1,"RETURN_COM_EQY",DataStart,DataEnd,"Per=M","Days=A","Fill=P")</f>
        <v/>
      </c>
      <c r="ZY4" s="9">
        <f>BDH(ZY$1,"RETURN_COM_EQY",DataStart,DataEnd,"Per=M","Days=A","Fill=P")</f>
        <v/>
      </c>
      <c r="AAA4" s="9">
        <f>BDH(AAA$1,"RETURN_COM_EQY",DataStart,DataEnd,"Per=M","Days=A","Fill=P")</f>
        <v/>
      </c>
      <c r="AAC4" s="9">
        <f>BDH(AAC$1,"RETURN_COM_EQY",DataStart,DataEnd,"Per=M","Days=A","Fill=P")</f>
        <v/>
      </c>
      <c r="AAE4" s="9">
        <f>BDH(AAE$1,"RETURN_COM_EQY",DataStart,DataEnd,"Per=M","Days=A","Fill=P")</f>
        <v/>
      </c>
      <c r="AAG4" s="9">
        <f>BDH(AAG$1,"RETURN_COM_EQY",DataStart,DataEnd,"Per=M","Days=A","Fill=P")</f>
        <v/>
      </c>
      <c r="AAI4" s="9">
        <f>BDH(AAI$1,"RETURN_COM_EQY",DataStart,DataEnd,"Per=M","Days=A","Fill=P")</f>
        <v/>
      </c>
      <c r="AAK4" s="9">
        <f>BDH(AAK$1,"RETURN_COM_EQY",DataStart,DataEnd,"Per=M","Days=A","Fill=P")</f>
        <v/>
      </c>
      <c r="AAM4" s="9">
        <f>BDH(AAM$1,"RETURN_COM_EQY",DataStart,DataEnd,"Per=M","Days=A","Fill=P")</f>
        <v/>
      </c>
      <c r="AAO4" s="9">
        <f>BDH(AAO$1,"RETURN_COM_EQY",DataStart,DataEnd,"Per=M","Days=A","Fill=P")</f>
        <v/>
      </c>
      <c r="AAQ4" s="9">
        <f>BDH(AAQ$1,"RETURN_COM_EQY",DataStart,DataEnd,"Per=M","Days=A","Fill=P")</f>
        <v/>
      </c>
      <c r="AAS4" s="9">
        <f>BDH(AAS$1,"RETURN_COM_EQY",DataStart,DataEnd,"Per=M","Days=A","Fill=P")</f>
        <v/>
      </c>
      <c r="AAU4" s="9">
        <f>BDH(AAU$1,"RETURN_COM_EQY",DataStart,DataEnd,"Per=M","Days=A","Fill=P")</f>
        <v/>
      </c>
      <c r="AAW4" s="9">
        <f>BDH(AAW$1,"RETURN_COM_EQY",DataStart,DataEnd,"Per=M","Days=A","Fill=P")</f>
        <v/>
      </c>
      <c r="AAY4" s="9">
        <f>BDH(AAY$1,"RETURN_COM_EQY",DataStart,DataEnd,"Per=M","Days=A","Fill=P")</f>
        <v/>
      </c>
      <c r="ABA4" s="9">
        <f>BDH(ABA$1,"RETURN_COM_EQY",DataStart,DataEnd,"Per=M","Days=A","Fill=P")</f>
        <v/>
      </c>
      <c r="ABC4" s="9">
        <f>BDH(ABC$1,"RETURN_COM_EQY",DataStart,DataEnd,"Per=M","Days=A","Fill=P")</f>
        <v/>
      </c>
      <c r="ABE4" s="9">
        <f>BDH(ABE$1,"RETURN_COM_EQY",DataStart,DataEnd,"Per=M","Days=A","Fill=P")</f>
        <v/>
      </c>
      <c r="ABG4" s="9">
        <f>BDH(ABG$1,"RETURN_COM_EQY",DataStart,DataEnd,"Per=M","Days=A","Fill=P")</f>
        <v/>
      </c>
      <c r="ABI4" s="9">
        <f>BDH(ABI$1,"RETURN_COM_EQY",DataStart,DataEnd,"Per=M","Days=A","Fill=P")</f>
        <v/>
      </c>
      <c r="ABK4" s="9">
        <f>BDH(ABK$1,"RETURN_COM_EQY",DataStart,DataEnd,"Per=M","Days=A","Fill=P")</f>
        <v/>
      </c>
      <c r="ABM4" s="9">
        <f>BDH(ABM$1,"RETURN_COM_EQY",DataStart,DataEnd,"Per=M","Days=A","Fill=P")</f>
        <v/>
      </c>
      <c r="ABO4" s="9">
        <f>BDH(ABO$1,"RETURN_COM_EQY",DataStart,DataEnd,"Per=M","Days=A","Fill=P")</f>
        <v/>
      </c>
      <c r="ABQ4" s="9">
        <f>BDH(ABQ$1,"RETURN_COM_EQY",DataStart,DataEnd,"Per=M","Days=A","Fill=P")</f>
        <v/>
      </c>
      <c r="ABS4" s="9">
        <f>BDH(ABS$1,"RETURN_COM_EQY",DataStart,DataEnd,"Per=M","Days=A","Fill=P")</f>
        <v/>
      </c>
      <c r="ABU4" s="9">
        <f>BDH(ABU$1,"RETURN_COM_EQY",DataStart,DataEnd,"Per=M","Days=A","Fill=P")</f>
        <v/>
      </c>
      <c r="ABW4" s="9">
        <f>BDH(ABW$1,"RETURN_COM_EQY",DataStart,DataEnd,"Per=M","Days=A","Fill=P")</f>
        <v/>
      </c>
      <c r="ABY4" s="9">
        <f>BDH(ABY$1,"RETURN_COM_EQY",DataStart,DataEnd,"Per=M","Days=A","Fill=P")</f>
        <v/>
      </c>
      <c r="ACA4" s="9">
        <f>BDH(ACA$1,"RETURN_COM_EQY",DataStart,DataEnd,"Per=M","Days=A","Fill=P")</f>
        <v/>
      </c>
      <c r="ACC4" s="9">
        <f>BDH(ACC$1,"RETURN_COM_EQY",DataStart,DataEnd,"Per=M","Days=A","Fill=P")</f>
        <v/>
      </c>
      <c r="ACE4" s="9">
        <f>BDH(ACE$1,"RETURN_COM_EQY",DataStart,DataEnd,"Per=M","Days=A","Fill=P")</f>
        <v/>
      </c>
      <c r="ACG4" s="9">
        <f>BDH(ACG$1,"RETURN_COM_EQY",DataStart,DataEnd,"Per=M","Days=A","Fill=P")</f>
        <v/>
      </c>
      <c r="ACI4" s="9">
        <f>BDH(ACI$1,"RETURN_COM_EQY",DataStart,DataEnd,"Per=M","Days=A","Fill=P")</f>
        <v/>
      </c>
      <c r="ACK4" s="9">
        <f>BDH(ACK$1,"RETURN_COM_EQY",DataStart,DataEnd,"Per=M","Days=A","Fill=P")</f>
        <v/>
      </c>
      <c r="ACM4" s="9">
        <f>BDH(ACM$1,"RETURN_COM_EQY",DataStart,DataEnd,"Per=M","Days=A","Fill=P")</f>
        <v/>
      </c>
      <c r="ACO4" s="9">
        <f>BDH(ACO$1,"RETURN_COM_EQY",DataStart,DataEnd,"Per=M","Days=A","Fill=P")</f>
        <v/>
      </c>
      <c r="ACQ4" s="9">
        <f>BDH(ACQ$1,"RETURN_COM_EQY",DataStart,DataEnd,"Per=M","Days=A","Fill=P")</f>
        <v/>
      </c>
      <c r="ACS4" s="9">
        <f>BDH(ACS$1,"RETURN_COM_EQY",DataStart,DataEnd,"Per=M","Days=A","Fill=P")</f>
        <v/>
      </c>
      <c r="ACU4" s="9">
        <f>BDH(ACU$1,"RETURN_COM_EQY",DataStart,DataEnd,"Per=M","Days=A","Fill=P")</f>
        <v/>
      </c>
      <c r="ACW4" s="9">
        <f>BDH(ACW$1,"RETURN_COM_EQY",DataStart,DataEnd,"Per=M","Days=A","Fill=P")</f>
        <v/>
      </c>
      <c r="ACY4" s="9">
        <f>BDH(ACY$1,"RETURN_COM_EQY",DataStart,DataEnd,"Per=M","Days=A","Fill=P")</f>
        <v/>
      </c>
      <c r="ADA4" s="9">
        <f>BDH(ADA$1,"RETURN_COM_EQY",DataStart,DataEnd,"Per=M","Days=A","Fill=P")</f>
        <v/>
      </c>
      <c r="ADC4" s="9">
        <f>BDH(ADC$1,"RETURN_COM_EQY",DataStart,DataEnd,"Per=M","Days=A","Fill=P")</f>
        <v/>
      </c>
      <c r="ADE4" s="9">
        <f>BDH(ADE$1,"RETURN_COM_EQY",DataStart,DataEnd,"Per=M","Days=A","Fill=P")</f>
        <v/>
      </c>
      <c r="ADG4" s="9">
        <f>BDH(ADG$1,"RETURN_COM_EQY",DataStart,DataEnd,"Per=M","Days=A","Fill=P")</f>
        <v/>
      </c>
      <c r="ADI4" s="9">
        <f>BDH(ADI$1,"RETURN_COM_EQY",DataStart,DataEnd,"Per=M","Days=A","Fill=P")</f>
        <v/>
      </c>
      <c r="ADK4" s="9">
        <f>BDH(ADK$1,"RETURN_COM_EQY",DataStart,DataEnd,"Per=M","Days=A","Fill=P")</f>
        <v/>
      </c>
      <c r="ADM4" s="9">
        <f>BDH(ADM$1,"RETURN_COM_EQY",DataStart,DataEnd,"Per=M","Days=A","Fill=P")</f>
        <v/>
      </c>
      <c r="ADO4" s="9">
        <f>BDH(ADO$1,"RETURN_COM_EQY",DataStart,DataEnd,"Per=M","Days=A","Fill=P")</f>
        <v/>
      </c>
      <c r="ADQ4" s="9">
        <f>BDH(ADQ$1,"RETURN_COM_EQY",DataStart,DataEnd,"Per=M","Days=A","Fill=P")</f>
        <v/>
      </c>
      <c r="ADS4" s="9">
        <f>BDH(ADS$1,"RETURN_COM_EQY",DataStart,DataEnd,"Per=M","Days=A","Fill=P")</f>
        <v/>
      </c>
      <c r="ADU4" s="9">
        <f>BDH(ADU$1,"RETURN_COM_EQY",DataStart,DataEnd,"Per=M","Days=A","Fill=P")</f>
        <v/>
      </c>
      <c r="ADW4" s="9">
        <f>BDH(ADW$1,"RETURN_COM_EQY",DataStart,DataEnd,"Per=M","Days=A","Fill=P")</f>
        <v/>
      </c>
      <c r="ADY4" s="9">
        <f>BDH(ADY$1,"RETURN_COM_EQY",DataStart,DataEnd,"Per=M","Days=A","Fill=P")</f>
        <v/>
      </c>
      <c r="AEA4" s="9">
        <f>BDH(AEA$1,"RETURN_COM_EQY",DataStart,DataEnd,"Per=M","Days=A","Fill=P")</f>
        <v/>
      </c>
      <c r="AEC4" s="9">
        <f>BDH(AEC$1,"RETURN_COM_EQY",DataStart,DataEnd,"Per=M","Days=A","Fill=P")</f>
        <v/>
      </c>
      <c r="AEE4" s="9">
        <f>BDH(AEE$1,"RETURN_COM_EQY",DataStart,DataEnd,"Per=M","Days=A","Fill=P")</f>
        <v/>
      </c>
      <c r="AEG4" s="9">
        <f>BDH(AEG$1,"RETURN_COM_EQY",DataStart,DataEnd,"Per=M","Days=A","Fill=P")</f>
        <v/>
      </c>
      <c r="AEI4" s="9">
        <f>BDH(AEI$1,"RETURN_COM_EQY",DataStart,DataEnd,"Per=M","Days=A","Fill=P")</f>
        <v/>
      </c>
      <c r="AEK4" s="9">
        <f>BDH(AEK$1,"RETURN_COM_EQY",DataStart,DataEnd,"Per=M","Days=A","Fill=P")</f>
        <v/>
      </c>
      <c r="AEM4" s="9">
        <f>BDH(AEM$1,"RETURN_COM_EQY",DataStart,DataEnd,"Per=M","Days=A","Fill=P")</f>
        <v/>
      </c>
      <c r="AEO4" s="9">
        <f>BDH(AEO$1,"RETURN_COM_EQY",DataStart,DataEnd,"Per=M","Days=A","Fill=P")</f>
        <v/>
      </c>
      <c r="AEQ4" s="9">
        <f>BDH(AEQ$1,"RETURN_COM_EQY",DataStart,DataEnd,"Per=M","Days=A","Fill=P")</f>
        <v/>
      </c>
      <c r="AES4" s="9">
        <f>BDH(AES$1,"RETURN_COM_EQY",DataStart,DataEnd,"Per=M","Days=A","Fill=P")</f>
        <v/>
      </c>
      <c r="AEU4" s="9">
        <f>BDH(AEU$1,"RETURN_COM_EQY",DataStart,DataEnd,"Per=M","Days=A","Fill=P")</f>
        <v/>
      </c>
      <c r="AEW4" s="9">
        <f>BDH(AEW$1,"RETURN_COM_EQY",DataStart,DataEnd,"Per=M","Days=A","Fill=P")</f>
        <v/>
      </c>
      <c r="AEY4" s="9">
        <f>BDH(AEY$1,"RETURN_COM_EQY",DataStart,DataEnd,"Per=M","Days=A","Fill=P")</f>
        <v/>
      </c>
      <c r="AFA4" s="9">
        <f>BDH(AFA$1,"RETURN_COM_EQY",DataStart,DataEnd,"Per=M","Days=A","Fill=P")</f>
        <v/>
      </c>
      <c r="AFC4" s="9">
        <f>BDH(AFC$1,"RETURN_COM_EQY",DataStart,DataEnd,"Per=M","Days=A","Fill=P")</f>
        <v/>
      </c>
      <c r="AFE4" s="9">
        <f>BDH(AFE$1,"RETURN_COM_EQY",DataStart,DataEnd,"Per=M","Days=A","Fill=P")</f>
        <v/>
      </c>
      <c r="AFG4" s="9">
        <f>BDH(AFG$1,"RETURN_COM_EQY",DataStart,DataEnd,"Per=M","Days=A","Fill=P")</f>
        <v/>
      </c>
      <c r="AFI4" s="9">
        <f>BDH(AFI$1,"RETURN_COM_EQY",DataStart,DataEnd,"Per=M","Days=A","Fill=P")</f>
        <v/>
      </c>
      <c r="AFK4" s="9">
        <f>BDH(AFK$1,"RETURN_COM_EQY",DataStart,DataEnd,"Per=M","Days=A","Fill=P")</f>
        <v/>
      </c>
      <c r="AFM4" s="9">
        <f>BDH(AFM$1,"RETURN_COM_EQY",DataStart,DataEnd,"Per=M","Days=A","Fill=P")</f>
        <v/>
      </c>
      <c r="AFO4" s="9">
        <f>BDH(AFO$1,"RETURN_COM_EQY",DataStart,DataEnd,"Per=M","Days=A","Fill=P")</f>
        <v/>
      </c>
      <c r="AFQ4" s="9">
        <f>BDH(AFQ$1,"RETURN_COM_EQY",DataStart,DataEnd,"Per=M","Days=A","Fill=P")</f>
        <v/>
      </c>
      <c r="AFS4" s="9">
        <f>BDH(AFS$1,"RETURN_COM_EQY",DataStart,DataEnd,"Per=M","Days=A","Fill=P")</f>
        <v/>
      </c>
      <c r="AFU4" s="9">
        <f>BDH(AFU$1,"RETURN_COM_EQY",DataStart,DataEnd,"Per=M","Days=A","Fill=P")</f>
        <v/>
      </c>
      <c r="AFW4" s="9">
        <f>BDH(AFW$1,"RETURN_COM_EQY",DataStart,DataEnd,"Per=M","Days=A","Fill=P")</f>
        <v/>
      </c>
      <c r="AFY4" s="9">
        <f>BDH(AFY$1,"RETURN_COM_EQY",DataStart,DataEnd,"Per=M","Days=A","Fill=P")</f>
        <v/>
      </c>
      <c r="AGA4" s="9">
        <f>BDH(AGA$1,"RETURN_COM_EQY",DataStart,DataEnd,"Per=M","Days=A","Fill=P")</f>
        <v/>
      </c>
      <c r="AGC4" s="9">
        <f>BDH(AGC$1,"RETURN_COM_EQY",DataStart,DataEnd,"Per=M","Days=A","Fill=P")</f>
        <v/>
      </c>
      <c r="AGE4" s="9">
        <f>BDH(AGE$1,"RETURN_COM_EQY",DataStart,DataEnd,"Per=M","Days=A","Fill=P")</f>
        <v/>
      </c>
      <c r="AGG4" s="9">
        <f>BDH(AGG$1,"RETURN_COM_EQY",DataStart,DataEnd,"Per=M","Days=A","Fill=P")</f>
        <v/>
      </c>
      <c r="AGI4" s="9">
        <f>BDH(AGI$1,"RETURN_COM_EQY",DataStart,DataEnd,"Per=M","Days=A","Fill=P")</f>
        <v/>
      </c>
      <c r="AGK4" s="9">
        <f>BDH(AGK$1,"RETURN_COM_EQY",DataStart,DataEnd,"Per=M","Days=A","Fill=P")</f>
        <v/>
      </c>
      <c r="AGM4" s="9">
        <f>BDH(AGM$1,"RETURN_COM_EQY",DataStart,DataEnd,"Per=M","Days=A","Fill=P")</f>
        <v/>
      </c>
      <c r="AGO4" s="9">
        <f>BDH(AGO$1,"RETURN_COM_EQY",DataStart,DataEnd,"Per=M","Days=A","Fill=P")</f>
        <v/>
      </c>
      <c r="AGQ4" s="9">
        <f>BDH(AGQ$1,"RETURN_COM_EQY",DataStart,DataEnd,"Per=M","Days=A","Fill=P")</f>
        <v/>
      </c>
      <c r="AGS4" s="9">
        <f>BDH(AGS$1,"RETURN_COM_EQY",DataStart,DataEnd,"Per=M","Days=A","Fill=P")</f>
        <v/>
      </c>
      <c r="AGU4" s="9">
        <f>BDH(AGU$1,"RETURN_COM_EQY",DataStart,DataEnd,"Per=M","Days=A","Fill=P")</f>
        <v/>
      </c>
      <c r="AGW4" s="9">
        <f>BDH(AGW$1,"RETURN_COM_EQY",DataStart,DataEnd,"Per=M","Days=A","Fill=P")</f>
        <v/>
      </c>
      <c r="AGY4" s="9">
        <f>BDH(AGY$1,"RETURN_COM_EQY",DataStart,DataEnd,"Per=M","Days=A","Fill=P")</f>
        <v/>
      </c>
      <c r="AHA4" s="9">
        <f>BDH(AHA$1,"RETURN_COM_EQY",DataStart,DataEnd,"Per=M","Days=A","Fill=P")</f>
        <v/>
      </c>
      <c r="AHC4" s="9">
        <f>BDH(AHC$1,"RETURN_COM_EQY",DataStart,DataEnd,"Per=M","Days=A","Fill=P")</f>
        <v/>
      </c>
      <c r="AHE4" s="9">
        <f>BDH(AHE$1,"RETURN_COM_EQY",DataStart,DataEnd,"Per=M","Days=A","Fill=P")</f>
        <v/>
      </c>
      <c r="AHG4" s="9">
        <f>BDH(AHG$1,"RETURN_COM_EQY",DataStart,DataEnd,"Per=M","Days=A","Fill=P")</f>
        <v/>
      </c>
      <c r="AHI4" s="9">
        <f>BDH(AHI$1,"RETURN_COM_EQY",DataStart,DataEnd,"Per=M","Days=A","Fill=P")</f>
        <v/>
      </c>
      <c r="AHK4" s="9">
        <f>BDH(AHK$1,"RETURN_COM_EQY",DataStart,DataEnd,"Per=M","Days=A","Fill=P")</f>
        <v/>
      </c>
      <c r="AHM4" s="9">
        <f>BDH(AHM$1,"RETURN_COM_EQY",DataStart,DataEnd,"Per=M","Days=A","Fill=P")</f>
        <v/>
      </c>
      <c r="AHO4" s="9">
        <f>BDH(AHO$1,"RETURN_COM_EQY",DataStart,DataEnd,"Per=M","Days=A","Fill=P")</f>
        <v/>
      </c>
      <c r="AHQ4" s="9">
        <f>BDH(AHQ$1,"RETURN_COM_EQY",DataStart,DataEnd,"Per=M","Days=A","Fill=P")</f>
        <v/>
      </c>
      <c r="AHS4" s="9">
        <f>BDH(AHS$1,"RETURN_COM_EQY",DataStart,DataEnd,"Per=M","Days=A","Fill=P")</f>
        <v/>
      </c>
      <c r="AHU4" s="9">
        <f>BDH(AHU$1,"RETURN_COM_EQY",DataStart,DataEnd,"Per=M","Days=A","Fill=P")</f>
        <v/>
      </c>
      <c r="AHW4" s="9">
        <f>BDH(AHW$1,"RETURN_COM_EQY",DataStart,DataEnd,"Per=M","Days=A","Fill=P")</f>
        <v/>
      </c>
      <c r="AHY4" s="9">
        <f>BDH(AHY$1,"RETURN_COM_EQY",DataStart,DataEnd,"Per=M","Days=A","Fill=P")</f>
        <v/>
      </c>
      <c r="AIA4" s="9">
        <f>BDH(AIA$1,"RETURN_COM_EQY",DataStart,DataEnd,"Per=M","Days=A","Fill=P")</f>
        <v/>
      </c>
      <c r="AIC4" s="9">
        <f>BDH(AIC$1,"RETURN_COM_EQY",DataStart,DataEnd,"Per=M","Days=A","Fill=P")</f>
        <v/>
      </c>
      <c r="AIE4" s="9">
        <f>BDH(AIE$1,"RETURN_COM_EQY",DataStart,DataEnd,"Per=M","Days=A","Fill=P")</f>
        <v/>
      </c>
      <c r="AIG4" s="9">
        <f>BDH(AIG$1,"RETURN_COM_EQY",DataStart,DataEnd,"Per=M","Days=A","Fill=P")</f>
        <v/>
      </c>
      <c r="AII4" s="9">
        <f>BDH(AII$1,"RETURN_COM_EQY",DataStart,DataEnd,"Per=M","Days=A","Fill=P")</f>
        <v/>
      </c>
      <c r="AIK4" s="9">
        <f>BDH(AIK$1,"RETURN_COM_EQY",DataStart,DataEnd,"Per=M","Days=A","Fill=P")</f>
        <v/>
      </c>
      <c r="AIM4" s="9">
        <f>BDH(AIM$1,"RETURN_COM_EQY",DataStart,DataEnd,"Per=M","Days=A","Fill=P")</f>
        <v/>
      </c>
      <c r="AIO4" s="9">
        <f>BDH(AIO$1,"RETURN_COM_EQY",DataStart,DataEnd,"Per=M","Days=A","Fill=P")</f>
        <v/>
      </c>
      <c r="AIQ4" s="9">
        <f>BDH(AIQ$1,"RETURN_COM_EQY",DataStart,DataEnd,"Per=M","Days=A","Fill=P")</f>
        <v/>
      </c>
      <c r="AIS4" s="9">
        <f>BDH(AIS$1,"RETURN_COM_EQY",DataStart,DataEnd,"Per=M","Days=A","Fill=P")</f>
        <v/>
      </c>
      <c r="AIU4" s="9">
        <f>BDH(AIU$1,"RETURN_COM_EQY",DataStart,DataEnd,"Per=M","Days=A","Fill=P")</f>
        <v/>
      </c>
      <c r="AIW4" s="9">
        <f>BDH(AIW$1,"RETURN_COM_EQY",DataStart,DataEnd,"Per=M","Days=A","Fill=P")</f>
        <v/>
      </c>
      <c r="AIY4" s="9">
        <f>BDH(AIY$1,"RETURN_COM_EQY",DataStart,DataEnd,"Per=M","Days=A","Fill=P")</f>
        <v/>
      </c>
      <c r="AJA4" s="9">
        <f>BDH(AJA$1,"RETURN_COM_EQY",DataStart,DataEnd,"Per=M","Days=A","Fill=P")</f>
        <v/>
      </c>
      <c r="AJC4" s="9">
        <f>BDH(AJC$1,"RETURN_COM_EQY",DataStart,DataEnd,"Per=M","Days=A","Fill=P")</f>
        <v/>
      </c>
      <c r="AJE4" s="9">
        <f>BDH(AJE$1,"RETURN_COM_EQY",DataStart,DataEnd,"Per=M","Days=A","Fill=P")</f>
        <v/>
      </c>
      <c r="AJG4" s="9">
        <f>BDH(AJG$1,"RETURN_COM_EQY",DataStart,DataEnd,"Per=M","Days=A","Fill=P")</f>
        <v/>
      </c>
      <c r="AJI4" s="9">
        <f>BDH(AJI$1,"RETURN_COM_EQY",DataStart,DataEnd,"Per=M","Days=A","Fill=P")</f>
        <v/>
      </c>
      <c r="AJK4" s="9">
        <f>BDH(AJK$1,"RETURN_COM_EQY",DataStart,DataEnd,"Per=M","Days=A","Fill=P")</f>
        <v/>
      </c>
      <c r="AJM4" s="9">
        <f>BDH(AJM$1,"RETURN_COM_EQY",DataStart,DataEnd,"Per=M","Days=A","Fill=P")</f>
        <v/>
      </c>
      <c r="AJO4" s="9">
        <f>BDH(AJO$1,"RETURN_COM_EQY",DataStart,DataEnd,"Per=M","Days=A","Fill=P")</f>
        <v/>
      </c>
      <c r="AJQ4" s="9">
        <f>BDH(AJQ$1,"RETURN_COM_EQY",DataStart,DataEnd,"Per=M","Days=A","Fill=P")</f>
        <v/>
      </c>
      <c r="AJS4" s="9">
        <f>BDH(AJS$1,"RETURN_COM_EQY",DataStart,DataEnd,"Per=M","Days=A","Fill=P")</f>
        <v/>
      </c>
      <c r="AJU4" s="9">
        <f>BDH(AJU$1,"RETURN_COM_EQY",DataStart,DataEnd,"Per=M","Days=A","Fill=P")</f>
        <v/>
      </c>
      <c r="AJW4" s="9">
        <f>BDH(AJW$1,"RETURN_COM_EQY",DataStart,DataEnd,"Per=M","Days=A","Fill=P")</f>
        <v/>
      </c>
      <c r="AJY4" s="9">
        <f>BDH(AJY$1,"RETURN_COM_EQY",DataStart,DataEnd,"Per=M","Days=A","Fill=P")</f>
        <v/>
      </c>
      <c r="AKA4" s="9">
        <f>BDH(AKA$1,"RETURN_COM_EQY",DataStart,DataEnd,"Per=M","Days=A","Fill=P")</f>
        <v/>
      </c>
      <c r="AKC4" s="9">
        <f>BDH(AKC$1,"RETURN_COM_EQY",DataStart,DataEnd,"Per=M","Days=A","Fill=P")</f>
        <v/>
      </c>
      <c r="AKE4" s="9">
        <f>BDH(AKE$1,"RETURN_COM_EQY",DataStart,DataEnd,"Per=M","Days=A","Fill=P")</f>
        <v/>
      </c>
      <c r="AKG4" s="9">
        <f>BDH(AKG$1,"RETURN_COM_EQY",DataStart,DataEnd,"Per=M","Days=A","Fill=P")</f>
        <v/>
      </c>
      <c r="AKI4" s="9">
        <f>BDH(AKI$1,"RETURN_COM_EQY",DataStart,DataEnd,"Per=M","Days=A","Fill=P")</f>
        <v/>
      </c>
      <c r="AKK4" s="9">
        <f>BDH(AKK$1,"RETURN_COM_EQY",DataStart,DataEnd,"Per=M","Days=A","Fill=P")</f>
        <v/>
      </c>
      <c r="AKM4" s="9">
        <f>BDH(AKM$1,"RETURN_COM_EQY",DataStart,DataEnd,"Per=M","Days=A","Fill=P")</f>
        <v/>
      </c>
      <c r="AKO4" s="9">
        <f>BDH(AKO$1,"RETURN_COM_EQY",DataStart,DataEnd,"Per=M","Days=A","Fill=P")</f>
        <v/>
      </c>
      <c r="AKQ4" s="9">
        <f>BDH(AKQ$1,"RETURN_COM_EQY",DataStart,DataEnd,"Per=M","Days=A","Fill=P")</f>
        <v/>
      </c>
      <c r="AKS4" s="9">
        <f>BDH(AKS$1,"RETURN_COM_EQY",DataStart,DataEnd,"Per=M","Days=A","Fill=P")</f>
        <v/>
      </c>
      <c r="AKU4" s="9">
        <f>BDH(AKU$1,"RETURN_COM_EQY",DataStart,DataEnd,"Per=M","Days=A","Fill=P")</f>
        <v/>
      </c>
      <c r="AKW4" s="9">
        <f>BDH(AKW$1,"RETURN_COM_EQY",DataStart,DataEnd,"Per=M","Days=A","Fill=P")</f>
        <v/>
      </c>
      <c r="AKY4" s="9">
        <f>BDH(AKY$1,"RETURN_COM_EQY",DataStart,DataEnd,"Per=M","Days=A","Fill=P")</f>
        <v/>
      </c>
      <c r="ALA4" s="9">
        <f>BDH(ALA$1,"RETURN_COM_EQY",DataStart,DataEnd,"Per=M","Days=A","Fill=P")</f>
        <v/>
      </c>
      <c r="ALC4" s="9">
        <f>BDH(ALC$1,"RETURN_COM_EQY",DataStart,DataEnd,"Per=M","Days=A","Fill=P")</f>
        <v/>
      </c>
      <c r="ALE4" s="9">
        <f>BDH(ALE$1,"RETURN_COM_EQY",DataStart,DataEnd,"Per=M","Days=A","Fill=P")</f>
        <v/>
      </c>
      <c r="ALG4" s="9">
        <f>BDH(ALG$1,"RETURN_COM_EQY",DataStart,DataEnd,"Per=M","Days=A","Fill=P")</f>
        <v/>
      </c>
      <c r="ALI4" s="9">
        <f>BDH(ALI$1,"RETURN_COM_EQY",DataStart,DataEnd,"Per=M","Days=A","Fill=P")</f>
        <v/>
      </c>
      <c r="ALK4" s="9">
        <f>BDH(ALK$1,"RETURN_COM_EQY",DataStart,DataEnd,"Per=M","Days=A","Fill=P")</f>
        <v/>
      </c>
      <c r="ALM4" s="9">
        <f>BDH(ALM$1,"RETURN_COM_EQY",DataStart,DataEnd,"Per=M","Days=A","Fill=P")</f>
        <v/>
      </c>
      <c r="ALO4" s="9">
        <f>BDH(ALO$1,"RETURN_COM_EQY",DataStart,DataEnd,"Per=M","Days=A","Fill=P")</f>
        <v/>
      </c>
      <c r="ALQ4" s="9">
        <f>BDH(ALQ$1,"RETURN_COM_EQY",DataStart,DataEnd,"Per=M","Days=A","Fill=P")</f>
        <v/>
      </c>
      <c r="ALS4" s="9">
        <f>BDH(ALS$1,"RETURN_COM_EQY",DataStart,DataEnd,"Per=M","Days=A","Fill=P")</f>
        <v/>
      </c>
      <c r="ALU4" s="9">
        <f>BDH(ALU$1,"RETURN_COM_EQY",DataStart,DataEnd,"Per=M","Days=A","Fill=P")</f>
        <v/>
      </c>
      <c r="ALW4" s="9">
        <f>BDH(ALW$1,"RETURN_COM_EQY",DataStart,DataEnd,"Per=M","Days=A","Fill=P")</f>
        <v/>
      </c>
      <c r="ALY4" s="9">
        <f>BDH(ALY$1,"RETURN_COM_EQY",DataStart,DataEnd,"Per=M","Days=A","Fill=P")</f>
        <v/>
      </c>
      <c r="AMA4" s="9">
        <f>BDH(AMA$1,"RETURN_COM_EQY",DataStart,DataEnd,"Per=M","Days=A","Fill=P")</f>
        <v/>
      </c>
      <c r="AMC4" s="9">
        <f>BDH(AMC$1,"RETURN_COM_EQY",DataStart,DataEnd,"Per=M","Days=A","Fill=P")</f>
        <v/>
      </c>
      <c r="AME4" s="9">
        <f>BDH(AME$1,"RETURN_COM_EQY",DataStart,DataEnd,"Per=M","Days=A","Fill=P")</f>
        <v/>
      </c>
      <c r="AMG4" s="9">
        <f>BDH(AMG$1,"RETURN_COM_EQY",DataStart,DataEnd,"Per=M","Days=A","Fill=P")</f>
        <v/>
      </c>
      <c r="AMI4" s="9">
        <f>BDH(AMI$1,"RETURN_COM_EQY",DataStart,DataEnd,"Per=M","Days=A","Fill=P")</f>
        <v/>
      </c>
      <c r="AMK4" s="9">
        <f>BDH(AMK$1,"RETURN_COM_EQY",DataStart,DataEnd,"Per=M","Days=A","Fill=P")</f>
        <v/>
      </c>
      <c r="AMM4" s="9">
        <f>BDH(AMM$1,"RETURN_COM_EQY",DataStart,DataEnd,"Per=M","Days=A","Fill=P")</f>
        <v/>
      </c>
      <c r="AMO4" s="9">
        <f>BDH(AMO$1,"RETURN_COM_EQY",DataStart,DataEnd,"Per=M","Days=A","Fill=P")</f>
        <v/>
      </c>
      <c r="AMQ4" s="9">
        <f>BDH(AMQ$1,"RETURN_COM_EQY",DataStart,DataEnd,"Per=M","Days=A","Fill=P")</f>
        <v/>
      </c>
      <c r="AMS4" s="9">
        <f>BDH(AMS$1,"RETURN_COM_EQY",DataStart,DataEnd,"Per=M","Days=A","Fill=P")</f>
        <v/>
      </c>
      <c r="AMU4" s="9">
        <f>BDH(AMU$1,"RETURN_COM_EQY",DataStart,DataEnd,"Per=M","Days=A","Fill=P")</f>
        <v/>
      </c>
      <c r="AMW4" s="9">
        <f>BDH(AMW$1,"RETURN_COM_EQY",DataStart,DataEnd,"Per=M","Days=A","Fill=P")</f>
        <v/>
      </c>
      <c r="AMY4" s="9">
        <f>BDH(AMY$1,"RETURN_COM_EQY",DataStart,DataEnd,"Per=M","Days=A","Fill=P")</f>
        <v/>
      </c>
      <c r="ANA4" s="9">
        <f>BDH(ANA$1,"RETURN_COM_EQY",DataStart,DataEnd,"Per=M","Days=A","Fill=P")</f>
        <v/>
      </c>
      <c r="ANC4" s="9">
        <f>BDH(ANC$1,"RETURN_COM_EQY",DataStart,DataEnd,"Per=M","Days=A","Fill=P")</f>
        <v/>
      </c>
      <c r="ANE4" s="9">
        <f>BDH(ANE$1,"RETURN_COM_EQY",DataStart,DataEnd,"Per=M","Days=A","Fill=P")</f>
        <v/>
      </c>
      <c r="ANG4" s="9">
        <f>BDH(ANG$1,"RETURN_COM_EQY",DataStart,DataEnd,"Per=M","Days=A","Fill=P")</f>
        <v/>
      </c>
      <c r="ANI4" s="9">
        <f>BDH(ANI$1,"RETURN_COM_EQY",DataStart,DataEnd,"Per=M","Days=A","Fill=P")</f>
        <v/>
      </c>
      <c r="ANK4" s="9">
        <f>BDH(ANK$1,"RETURN_COM_EQY",DataStart,DataEnd,"Per=M","Days=A","Fill=P")</f>
        <v/>
      </c>
      <c r="ANM4" s="9">
        <f>BDH(ANM$1,"RETURN_COM_EQY",DataStart,DataEnd,"Per=M","Days=A","Fill=P")</f>
        <v/>
      </c>
      <c r="ANO4" s="9">
        <f>BDH(ANO$1,"RETURN_COM_EQY",DataStart,DataEnd,"Per=M","Days=A","Fill=P")</f>
        <v/>
      </c>
      <c r="ANQ4" s="9">
        <f>BDH(ANQ$1,"RETURN_COM_EQY",DataStart,DataEnd,"Per=M","Days=A","Fill=P")</f>
        <v/>
      </c>
      <c r="ANS4" s="9">
        <f>BDH(ANS$1,"RETURN_COM_EQY",DataStart,DataEnd,"Per=M","Days=A","Fill=P")</f>
        <v/>
      </c>
      <c r="ANU4" s="9">
        <f>BDH(ANU$1,"RETURN_COM_EQY",DataStart,DataEnd,"Per=M","Days=A","Fill=P")</f>
        <v/>
      </c>
      <c r="ANW4" s="9">
        <f>BDH(ANW$1,"RETURN_COM_EQY",DataStart,DataEnd,"Per=M","Days=A","Fill=P")</f>
        <v/>
      </c>
      <c r="ANY4" s="9">
        <f>BDH(ANY$1,"RETURN_COM_EQY",DataStart,DataEnd,"Per=M","Days=A","Fill=P")</f>
        <v/>
      </c>
      <c r="AOA4" s="9">
        <f>BDH(AOA$1,"RETURN_COM_EQY",DataStart,DataEnd,"Per=M","Days=A","Fill=P")</f>
        <v/>
      </c>
      <c r="AOC4" s="9">
        <f>BDH(AOC$1,"RETURN_COM_EQY",DataStart,DataEnd,"Per=M","Days=A","Fill=P")</f>
        <v/>
      </c>
      <c r="AOE4" s="9">
        <f>BDH(AOE$1,"RETURN_COM_EQY",DataStart,DataEnd,"Per=M","Days=A","Fill=P")</f>
        <v/>
      </c>
      <c r="AOG4" s="9">
        <f>BDH(AOG$1,"RETURN_COM_EQY",DataStart,DataEnd,"Per=M","Days=A","Fill=P")</f>
        <v/>
      </c>
      <c r="AOI4" s="9">
        <f>BDH(AOI$1,"RETURN_COM_EQY",DataStart,DataEnd,"Per=M","Days=A","Fill=P")</f>
        <v/>
      </c>
      <c r="AOK4" s="9">
        <f>BDH(AOK$1,"RETURN_COM_EQY",DataStart,DataEnd,"Per=M","Days=A","Fill=P")</f>
        <v/>
      </c>
      <c r="AOM4" s="9">
        <f>BDH(AOM$1,"RETURN_COM_EQY",DataStart,DataEnd,"Per=M","Days=A","Fill=P")</f>
        <v/>
      </c>
      <c r="AOO4" s="9">
        <f>BDH(AOO$1,"RETURN_COM_EQY",DataStart,DataEnd,"Per=M","Days=A","Fill=P")</f>
        <v/>
      </c>
      <c r="AOQ4" s="9">
        <f>BDH(AOQ$1,"RETURN_COM_EQY",DataStart,DataEnd,"Per=M","Days=A","Fill=P")</f>
        <v/>
      </c>
      <c r="AOS4" s="9">
        <f>BDH(AOS$1,"RETURN_COM_EQY",DataStart,DataEnd,"Per=M","Days=A","Fill=P")</f>
        <v/>
      </c>
      <c r="AOU4" s="9">
        <f>BDH(AOU$1,"RETURN_COM_EQY",DataStart,DataEnd,"Per=M","Days=A","Fill=P")</f>
        <v/>
      </c>
      <c r="AOW4" s="9">
        <f>BDH(AOW$1,"RETURN_COM_EQY",DataStart,DataEnd,"Per=M","Days=A","Fill=P")</f>
        <v/>
      </c>
      <c r="AOY4" s="9">
        <f>BDH(AOY$1,"RETURN_COM_EQY",DataStart,DataEnd,"Per=M","Days=A","Fill=P")</f>
        <v/>
      </c>
      <c r="APA4" s="9">
        <f>BDH(APA$1,"RETURN_COM_EQY",DataStart,DataEnd,"Per=M","Days=A","Fill=P")</f>
        <v/>
      </c>
      <c r="APC4" s="9">
        <f>BDH(APC$1,"RETURN_COM_EQY",DataStart,DataEnd,"Per=M","Days=A","Fill=P")</f>
        <v/>
      </c>
      <c r="APE4" s="9">
        <f>BDH(APE$1,"RETURN_COM_EQY",DataStart,DataEnd,"Per=M","Days=A","Fill=P")</f>
        <v/>
      </c>
      <c r="APG4" s="9">
        <f>BDH(APG$1,"RETURN_COM_EQY",DataStart,DataEnd,"Per=M","Days=A","Fill=P")</f>
        <v/>
      </c>
      <c r="API4" s="9">
        <f>BDH(API$1,"RETURN_COM_EQY",DataStart,DataEnd,"Per=M","Days=A","Fill=P")</f>
        <v/>
      </c>
      <c r="APK4" s="9">
        <f>BDH(APK$1,"RETURN_COM_EQY",DataStart,DataEnd,"Per=M","Days=A","Fill=P")</f>
        <v/>
      </c>
      <c r="APM4" s="9">
        <f>BDH(APM$1,"RETURN_COM_EQY",DataStart,DataEnd,"Per=M","Days=A","Fill=P")</f>
        <v/>
      </c>
      <c r="APO4" s="9">
        <f>BDH(APO$1,"RETURN_COM_EQY",DataStart,DataEnd,"Per=M","Days=A","Fill=P")</f>
        <v/>
      </c>
      <c r="APQ4" s="9">
        <f>BDH(APQ$1,"RETURN_COM_EQY",DataStart,DataEnd,"Per=M","Days=A","Fill=P")</f>
        <v/>
      </c>
      <c r="APS4" s="9">
        <f>BDH(APS$1,"RETURN_COM_EQY",DataStart,DataEnd,"Per=M","Days=A","Fill=P")</f>
        <v/>
      </c>
      <c r="APU4" s="9">
        <f>BDH(APU$1,"RETURN_COM_EQY",DataStart,DataEnd,"Per=M","Days=A","Fill=P")</f>
        <v/>
      </c>
      <c r="APW4" s="9">
        <f>BDH(APW$1,"RETURN_COM_EQY",DataStart,DataEnd,"Per=M","Days=A","Fill=P")</f>
        <v/>
      </c>
      <c r="APY4" s="9">
        <f>BDH(APY$1,"RETURN_COM_EQY",DataStart,DataEnd,"Per=M","Days=A","Fill=P")</f>
        <v/>
      </c>
      <c r="AQA4" s="9">
        <f>BDH(AQA$1,"RETURN_COM_EQY",DataStart,DataEnd,"Per=M","Days=A","Fill=P")</f>
        <v/>
      </c>
      <c r="AQC4" s="9">
        <f>BDH(AQC$1,"RETURN_COM_EQY",DataStart,DataEnd,"Per=M","Days=A","Fill=P")</f>
        <v/>
      </c>
      <c r="AQE4" s="9">
        <f>BDH(AQE$1,"RETURN_COM_EQY",DataStart,DataEnd,"Per=M","Days=A","Fill=P")</f>
        <v/>
      </c>
      <c r="AQG4" s="9">
        <f>BDH(AQG$1,"RETURN_COM_EQY",DataStart,DataEnd,"Per=M","Days=A","Fill=P")</f>
        <v/>
      </c>
      <c r="AQI4" s="9">
        <f>BDH(AQI$1,"RETURN_COM_EQY",DataStart,DataEnd,"Per=M","Days=A","Fill=P")</f>
        <v/>
      </c>
      <c r="AQK4" s="9">
        <f>BDH(AQK$1,"RETURN_COM_EQY",DataStart,DataEnd,"Per=M","Days=A","Fill=P")</f>
        <v/>
      </c>
      <c r="AQM4" s="9">
        <f>BDH(AQM$1,"RETURN_COM_EQY",DataStart,DataEnd,"Per=M","Days=A","Fill=P")</f>
        <v/>
      </c>
      <c r="AQO4" s="9">
        <f>BDH(AQO$1,"RETURN_COM_EQY",DataStart,DataEnd,"Per=M","Days=A","Fill=P")</f>
        <v/>
      </c>
      <c r="AQQ4" s="9">
        <f>BDH(AQQ$1,"RETURN_COM_EQY",DataStart,DataEnd,"Per=M","Days=A","Fill=P")</f>
        <v/>
      </c>
      <c r="AQS4" s="9">
        <f>BDH(AQS$1,"RETURN_COM_EQY",DataStart,DataEnd,"Per=M","Days=A","Fill=P")</f>
        <v/>
      </c>
      <c r="AQU4" s="9">
        <f>BDH(AQU$1,"RETURN_COM_EQY",DataStart,DataEnd,"Per=M","Days=A","Fill=P")</f>
        <v/>
      </c>
      <c r="AQW4" s="9">
        <f>BDH(AQW$1,"RETURN_COM_EQY",DataStart,DataEnd,"Per=M","Days=A","Fill=P")</f>
        <v/>
      </c>
      <c r="AQY4" s="9">
        <f>BDH(AQY$1,"RETURN_COM_EQY",DataStart,DataEnd,"Per=M","Days=A","Fill=P")</f>
        <v/>
      </c>
      <c r="ARA4" s="9">
        <f>BDH(ARA$1,"RETURN_COM_EQY",DataStart,DataEnd,"Per=M","Days=A","Fill=P")</f>
        <v/>
      </c>
      <c r="ARC4" s="9">
        <f>BDH(ARC$1,"RETURN_COM_EQY",DataStart,DataEnd,"Per=M","Days=A","Fill=P")</f>
        <v/>
      </c>
      <c r="ARE4" s="9">
        <f>BDH(ARE$1,"RETURN_COM_EQY",DataStart,DataEnd,"Per=M","Days=A","Fill=P")</f>
        <v/>
      </c>
      <c r="ARG4" s="9">
        <f>BDH(ARG$1,"RETURN_COM_EQY",DataStart,DataEnd,"Per=M","Days=A","Fill=P")</f>
        <v/>
      </c>
      <c r="ARI4" s="9">
        <f>BDH(ARI$1,"RETURN_COM_EQY",DataStart,DataEnd,"Per=M","Days=A","Fill=P")</f>
        <v/>
      </c>
      <c r="ARK4" s="9">
        <f>BDH(ARK$1,"RETURN_COM_EQY",DataStart,DataEnd,"Per=M","Days=A","Fill=P")</f>
        <v/>
      </c>
      <c r="ARM4" s="9">
        <f>BDH(ARM$1,"RETURN_COM_EQY",DataStart,DataEnd,"Per=M","Days=A","Fill=P")</f>
        <v/>
      </c>
      <c r="ARO4" s="9">
        <f>BDH(ARO$1,"RETURN_COM_EQY",DataStart,DataEnd,"Per=M","Days=A","Fill=P")</f>
        <v/>
      </c>
      <c r="ARQ4" s="9">
        <f>BDH(ARQ$1,"RETURN_COM_EQY",DataStart,DataEnd,"Per=M","Days=A","Fill=P")</f>
        <v/>
      </c>
      <c r="ARS4" s="9">
        <f>BDH(ARS$1,"RETURN_COM_EQY",DataStart,DataEnd,"Per=M","Days=A","Fill=P")</f>
        <v/>
      </c>
      <c r="ARU4" s="9">
        <f>BDH(ARU$1,"RETURN_COM_EQY",DataStart,DataEnd,"Per=M","Days=A","Fill=P")</f>
        <v/>
      </c>
      <c r="ARW4" s="9">
        <f>BDH(ARW$1,"RETURN_COM_EQY",DataStart,DataEnd,"Per=M","Days=A","Fill=P")</f>
        <v/>
      </c>
      <c r="ARY4" s="9">
        <f>BDH(ARY$1,"RETURN_COM_EQY",DataStart,DataEnd,"Per=M","Days=A","Fill=P")</f>
        <v/>
      </c>
      <c r="ASA4" s="9">
        <f>BDH(ASA$1,"RETURN_COM_EQY",DataStart,DataEnd,"Per=M","Days=A","Fill=P")</f>
        <v/>
      </c>
      <c r="ASC4" s="9">
        <f>BDH(ASC$1,"RETURN_COM_EQY",DataStart,DataEnd,"Per=M","Days=A","Fill=P")</f>
        <v/>
      </c>
      <c r="ASE4" s="9">
        <f>BDH(ASE$1,"RETURN_COM_EQY",DataStart,DataEnd,"Per=M","Days=A","Fill=P")</f>
        <v/>
      </c>
      <c r="ASG4" s="9">
        <f>BDH(ASG$1,"RETURN_COM_EQY",DataStart,DataEnd,"Per=M","Days=A","Fill=P")</f>
        <v/>
      </c>
      <c r="ASI4" s="9">
        <f>BDH(ASI$1,"RETURN_COM_EQY",DataStart,DataEnd,"Per=M","Days=A","Fill=P")</f>
        <v/>
      </c>
      <c r="ASK4" s="9">
        <f>BDH(ASK$1,"RETURN_COM_EQY",DataStart,DataEnd,"Per=M","Days=A","Fill=P")</f>
        <v/>
      </c>
      <c r="ASM4" s="9">
        <f>BDH(ASM$1,"RETURN_COM_EQY",DataStart,DataEnd,"Per=M","Days=A","Fill=P")</f>
        <v/>
      </c>
      <c r="ASO4" s="9">
        <f>BDH(ASO$1,"RETURN_COM_EQY",DataStart,DataEnd,"Per=M","Days=A","Fill=P")</f>
        <v/>
      </c>
      <c r="ASQ4" s="9">
        <f>BDH(ASQ$1,"RETURN_COM_EQY",DataStart,DataEnd,"Per=M","Days=A","Fill=P")</f>
        <v/>
      </c>
      <c r="ASS4" s="9">
        <f>BDH(ASS$1,"RETURN_COM_EQY",DataStart,DataEnd,"Per=M","Days=A","Fill=P")</f>
        <v/>
      </c>
      <c r="ASU4" s="9">
        <f>BDH(ASU$1,"RETURN_COM_EQY",DataStart,DataEnd,"Per=M","Days=A","Fill=P")</f>
        <v/>
      </c>
      <c r="ASW4" s="9">
        <f>BDH(ASW$1,"RETURN_COM_EQY",DataStart,DataEnd,"Per=M","Days=A","Fill=P")</f>
        <v/>
      </c>
      <c r="ASY4" s="9">
        <f>BDH(ASY$1,"RETURN_COM_EQY",DataStart,DataEnd,"Per=M","Days=A","Fill=P")</f>
        <v/>
      </c>
      <c r="ATA4" s="9">
        <f>BDH(ATA$1,"RETURN_COM_EQY",DataStart,DataEnd,"Per=M","Days=A","Fill=P")</f>
        <v/>
      </c>
      <c r="ATC4" s="9">
        <f>BDH(ATC$1,"RETURN_COM_EQY",DataStart,DataEnd,"Per=M","Days=A","Fill=P")</f>
        <v/>
      </c>
      <c r="ATE4" s="9">
        <f>BDH(ATE$1,"RETURN_COM_EQY",DataStart,DataEnd,"Per=M","Days=A","Fill=P")</f>
        <v/>
      </c>
      <c r="ATG4" s="9">
        <f>BDH(ATG$1,"RETURN_COM_EQY",DataStart,DataEnd,"Per=M","Days=A","Fill=P")</f>
        <v/>
      </c>
      <c r="ATI4" s="9">
        <f>BDH(ATI$1,"RETURN_COM_EQY",DataStart,DataEnd,"Per=M","Days=A","Fill=P")</f>
        <v/>
      </c>
      <c r="ATK4" s="9">
        <f>BDH(ATK$1,"RETURN_COM_EQY",DataStart,DataEnd,"Per=M","Days=A","Fill=P")</f>
        <v/>
      </c>
      <c r="ATM4" s="9">
        <f>BDH(ATM$1,"RETURN_COM_EQY",DataStart,DataEnd,"Per=M","Days=A","Fill=P")</f>
        <v/>
      </c>
      <c r="ATO4" s="9">
        <f>BDH(ATO$1,"RETURN_COM_EQY",DataStart,DataEnd,"Per=M","Days=A","Fill=P")</f>
        <v/>
      </c>
      <c r="ATQ4" s="9">
        <f>BDH(ATQ$1,"RETURN_COM_EQY",DataStart,DataEnd,"Per=M","Days=A","Fill=P")</f>
        <v/>
      </c>
      <c r="ATS4" s="9">
        <f>BDH(ATS$1,"RETURN_COM_EQY",DataStart,DataEnd,"Per=M","Days=A","Fill=P")</f>
        <v/>
      </c>
      <c r="ATU4" s="9">
        <f>BDH(ATU$1,"RETURN_COM_EQY",DataStart,DataEnd,"Per=M","Days=A","Fill=P")</f>
        <v/>
      </c>
      <c r="ATW4" s="9">
        <f>BDH(ATW$1,"RETURN_COM_EQY",DataStart,DataEnd,"Per=M","Days=A","Fill=P")</f>
        <v/>
      </c>
      <c r="ATY4" s="9">
        <f>BDH(ATY$1,"RETURN_COM_EQY",DataStart,DataEnd,"Per=M","Days=A","Fill=P")</f>
        <v/>
      </c>
      <c r="AUA4" s="9">
        <f>BDH(AUA$1,"RETURN_COM_EQY",DataStart,DataEnd,"Per=M","Days=A","Fill=P")</f>
        <v/>
      </c>
      <c r="AUC4" s="9">
        <f>BDH(AUC$1,"RETURN_COM_EQY",DataStart,DataEnd,"Per=M","Days=A","Fill=P")</f>
        <v/>
      </c>
      <c r="AUE4" s="9">
        <f>BDH(AUE$1,"RETURN_COM_EQY",DataStart,DataEnd,"Per=M","Days=A","Fill=P")</f>
        <v/>
      </c>
      <c r="AUG4" s="9">
        <f>BDH(AUG$1,"RETURN_COM_EQY",DataStart,DataEnd,"Per=M","Days=A","Fill=P")</f>
        <v/>
      </c>
      <c r="AUI4" s="9">
        <f>BDH(AUI$1,"RETURN_COM_EQY",DataStart,DataEnd,"Per=M","Days=A","Fill=P")</f>
        <v/>
      </c>
      <c r="AUK4" s="9">
        <f>BDH(AUK$1,"RETURN_COM_EQY",DataStart,DataEnd,"Per=M","Days=A","Fill=P")</f>
        <v/>
      </c>
      <c r="AUM4" s="9">
        <f>BDH(AUM$1,"RETURN_COM_EQY",DataStart,DataEnd,"Per=M","Days=A","Fill=P")</f>
        <v/>
      </c>
      <c r="AUO4" s="9">
        <f>BDH(AUO$1,"RETURN_COM_EQY",DataStart,DataEnd,"Per=M","Days=A","Fill=P")</f>
        <v/>
      </c>
      <c r="AUQ4" s="9">
        <f>BDH(AUQ$1,"RETURN_COM_EQY",DataStart,DataEnd,"Per=M","Days=A","Fill=P")</f>
        <v/>
      </c>
      <c r="AUS4" s="9">
        <f>BDH(AUS$1,"RETURN_COM_EQY",DataStart,DataEnd,"Per=M","Days=A","Fill=P")</f>
        <v/>
      </c>
      <c r="AUU4" s="9">
        <f>BDH(AUU$1,"RETURN_COM_EQY",DataStart,DataEnd,"Per=M","Days=A","Fill=P")</f>
        <v/>
      </c>
      <c r="AUW4" s="9">
        <f>BDH(AUW$1,"RETURN_COM_EQY",DataStart,DataEnd,"Per=M","Days=A","Fill=P")</f>
        <v/>
      </c>
      <c r="AUY4" s="9">
        <f>BDH(AUY$1,"RETURN_COM_EQY",DataStart,DataEnd,"Per=M","Days=A","Fill=P")</f>
        <v/>
      </c>
      <c r="AVA4" s="9">
        <f>BDH(AVA$1,"RETURN_COM_EQY",DataStart,DataEnd,"Per=M","Days=A","Fill=P")</f>
        <v/>
      </c>
      <c r="AVC4" s="9">
        <f>BDH(AVC$1,"RETURN_COM_EQY",DataStart,DataEnd,"Per=M","Days=A","Fill=P")</f>
        <v/>
      </c>
      <c r="AVE4" s="9">
        <f>BDH(AVE$1,"RETURN_COM_EQY",DataStart,DataEnd,"Per=M","Days=A","Fill=P")</f>
        <v/>
      </c>
      <c r="AVG4" s="9">
        <f>BDH(AVG$1,"RETURN_COM_EQY",DataStart,DataEnd,"Per=M","Days=A","Fill=P")</f>
        <v/>
      </c>
      <c r="AVI4" s="9">
        <f>BDH(AVI$1,"RETURN_COM_EQY",DataStart,DataEnd,"Per=M","Days=A","Fill=P")</f>
        <v/>
      </c>
      <c r="AVK4" s="9">
        <f>BDH(AVK$1,"RETURN_COM_EQY",DataStart,DataEnd,"Per=M","Days=A","Fill=P")</f>
        <v/>
      </c>
      <c r="AVM4" s="9">
        <f>BDH(AVM$1,"RETURN_COM_EQY",DataStart,DataEnd,"Per=M","Days=A","Fill=P")</f>
        <v/>
      </c>
      <c r="AVO4" s="9">
        <f>BDH(AVO$1,"RETURN_COM_EQY",DataStart,DataEnd,"Per=M","Days=A","Fill=P")</f>
        <v/>
      </c>
      <c r="AVQ4" s="9">
        <f>BDH(AVQ$1,"RETURN_COM_EQY",DataStart,DataEnd,"Per=M","Days=A","Fill=P")</f>
        <v/>
      </c>
      <c r="AVS4" s="9">
        <f>BDH(AVS$1,"RETURN_COM_EQY",DataStart,DataEnd,"Per=M","Days=A","Fill=P")</f>
        <v/>
      </c>
      <c r="AVU4" s="9">
        <f>BDH(AVU$1,"RETURN_COM_EQY",DataStart,DataEnd,"Per=M","Days=A","Fill=P")</f>
        <v/>
      </c>
      <c r="AVW4" s="9">
        <f>BDH(AVW$1,"RETURN_COM_EQY",DataStart,DataEnd,"Per=M","Days=A","Fill=P")</f>
        <v/>
      </c>
      <c r="AVY4" s="9">
        <f>BDH(AVY$1,"RETURN_COM_EQY",DataStart,DataEnd,"Per=M","Days=A","Fill=P")</f>
        <v/>
      </c>
      <c r="AWA4" s="9">
        <f>BDH(AWA$1,"RETURN_COM_EQY",DataStart,DataEnd,"Per=M","Days=A","Fill=P")</f>
        <v/>
      </c>
      <c r="AWC4" s="9">
        <f>BDH(AWC$1,"RETURN_COM_EQY",DataStart,DataEnd,"Per=M","Days=A","Fill=P")</f>
        <v/>
      </c>
      <c r="AWE4" s="9">
        <f>BDH(AWE$1,"RETURN_COM_EQY",DataStart,DataEnd,"Per=M","Days=A","Fill=P")</f>
        <v/>
      </c>
      <c r="AWG4" s="9">
        <f>BDH(AWG$1,"RETURN_COM_EQY",DataStart,DataEnd,"Per=M","Days=A","Fill=P")</f>
        <v/>
      </c>
      <c r="AWI4" s="9">
        <f>BDH(AWI$1,"RETURN_COM_EQY",DataStart,DataEnd,"Per=M","Days=A","Fill=P")</f>
        <v/>
      </c>
      <c r="AWK4" s="9">
        <f>BDH(AWK$1,"RETURN_COM_EQY",DataStart,DataEnd,"Per=M","Days=A","Fill=P")</f>
        <v/>
      </c>
      <c r="AWM4" s="9">
        <f>BDH(AWM$1,"RETURN_COM_EQY",DataStart,DataEnd,"Per=M","Days=A","Fill=P")</f>
        <v/>
      </c>
      <c r="AWO4" s="9">
        <f>BDH(AWO$1,"RETURN_COM_EQY",DataStart,DataEnd,"Per=M","Days=A","Fill=P")</f>
        <v/>
      </c>
      <c r="AWQ4" s="9">
        <f>BDH(AWQ$1,"RETURN_COM_EQY",DataStart,DataEnd,"Per=M","Days=A","Fill=P")</f>
        <v/>
      </c>
      <c r="AWS4" s="9">
        <f>BDH(AWS$1,"RETURN_COM_EQY",DataStart,DataEnd,"Per=M","Days=A","Fill=P")</f>
        <v/>
      </c>
      <c r="AWU4" s="9">
        <f>BDH(AWU$1,"RETURN_COM_EQY",DataStart,DataEnd,"Per=M","Days=A","Fill=P")</f>
        <v/>
      </c>
      <c r="AWW4" s="9">
        <f>BDH(AWW$1,"RETURN_COM_EQY",DataStart,DataEnd,"Per=M","Days=A","Fill=P")</f>
        <v/>
      </c>
      <c r="AWY4" s="9">
        <f>BDH(AWY$1,"RETURN_COM_EQY",DataStart,DataEnd,"Per=M","Days=A","Fill=P")</f>
        <v/>
      </c>
      <c r="AXA4" s="9">
        <f>BDH(AXA$1,"RETURN_COM_EQY",DataStart,DataEnd,"Per=M","Days=A","Fill=P")</f>
        <v/>
      </c>
      <c r="AXC4" s="9">
        <f>BDH(AXC$1,"RETURN_COM_EQY",DataStart,DataEnd,"Per=M","Days=A","Fill=P")</f>
        <v/>
      </c>
      <c r="AXE4" s="9">
        <f>BDH(AXE$1,"RETURN_COM_EQY",DataStart,DataEnd,"Per=M","Days=A","Fill=P")</f>
        <v/>
      </c>
      <c r="AXG4" s="9">
        <f>BDH(AXG$1,"RETURN_COM_EQY",DataStart,DataEnd,"Per=M","Days=A","Fill=P")</f>
        <v/>
      </c>
      <c r="AXI4" s="9">
        <f>BDH(AXI$1,"RETURN_COM_EQY",DataStart,DataEnd,"Per=M","Days=A","Fill=P")</f>
        <v/>
      </c>
      <c r="AXK4" s="9">
        <f>BDH(AXK$1,"RETURN_COM_EQY",DataStart,DataEnd,"Per=M","Days=A","Fill=P")</f>
        <v/>
      </c>
      <c r="AXM4" s="9">
        <f>BDH(AXM$1,"RETURN_COM_EQY",DataStart,DataEnd,"Per=M","Days=A","Fill=P")</f>
        <v/>
      </c>
      <c r="AXO4" s="9">
        <f>BDH(AXO$1,"RETURN_COM_EQY",DataStart,DataEnd,"Per=M","Days=A","Fill=P")</f>
        <v/>
      </c>
      <c r="AXQ4" s="9">
        <f>BDH(AXQ$1,"RETURN_COM_EQY",DataStart,DataEnd,"Per=M","Days=A","Fill=P")</f>
        <v/>
      </c>
      <c r="AXS4" s="9">
        <f>BDH(AXS$1,"RETURN_COM_EQY",DataStart,DataEnd,"Per=M","Days=A","Fill=P")</f>
        <v/>
      </c>
      <c r="AXU4" s="9">
        <f>BDH(AXU$1,"RETURN_COM_EQY",DataStart,DataEnd,"Per=M","Days=A","Fill=P")</f>
        <v/>
      </c>
      <c r="AXW4" s="9">
        <f>BDH(AXW$1,"RETURN_COM_EQY",DataStart,DataEnd,"Per=M","Days=A","Fill=P")</f>
        <v/>
      </c>
      <c r="AXY4" s="9">
        <f>BDH(AXY$1,"RETURN_COM_EQY",DataStart,DataEnd,"Per=M","Days=A","Fill=P")</f>
        <v/>
      </c>
      <c r="AYA4" s="9">
        <f>BDH(AYA$1,"RETURN_COM_EQY",DataStart,DataEnd,"Per=M","Days=A","Fill=P")</f>
        <v/>
      </c>
      <c r="AYC4" s="9">
        <f>BDH(AYC$1,"RETURN_COM_EQY",DataStart,DataEnd,"Per=M","Days=A","Fill=P")</f>
        <v/>
      </c>
      <c r="AYE4" s="9">
        <f>BDH(AYE$1,"RETURN_COM_EQY",DataStart,DataEnd,"Per=M","Days=A","Fill=P")</f>
        <v/>
      </c>
      <c r="AYG4" s="9">
        <f>BDH(AYG$1,"RETURN_COM_EQY",DataStart,DataEnd,"Per=M","Days=A","Fill=P")</f>
        <v/>
      </c>
      <c r="AYI4" s="9">
        <f>BDH(AYI$1,"RETURN_COM_EQY",DataStart,DataEnd,"Per=M","Days=A","Fill=P")</f>
        <v/>
      </c>
      <c r="AYK4" s="9">
        <f>BDH(AYK$1,"RETURN_COM_EQY",DataStart,DataEnd,"Per=M","Days=A","Fill=P")</f>
        <v/>
      </c>
      <c r="AYM4" s="9">
        <f>BDH(AYM$1,"RETURN_COM_EQY",DataStart,DataEnd,"Per=M","Days=A","Fill=P")</f>
        <v/>
      </c>
      <c r="AYO4" s="9">
        <f>BDH(AYO$1,"RETURN_COM_EQY",DataStart,DataEnd,"Per=M","Days=A","Fill=P")</f>
        <v/>
      </c>
      <c r="AYQ4" s="9">
        <f>BDH(AYQ$1,"RETURN_COM_EQY",DataStart,DataEnd,"Per=M","Days=A","Fill=P")</f>
        <v/>
      </c>
      <c r="AYS4" s="9">
        <f>BDH(AYS$1,"RETURN_COM_EQY",DataStart,DataEnd,"Per=M","Days=A","Fill=P")</f>
        <v/>
      </c>
      <c r="AYU4" s="9">
        <f>BDH(AYU$1,"RETURN_COM_EQY",DataStart,DataEnd,"Per=M","Days=A","Fill=P")</f>
        <v/>
      </c>
      <c r="AYW4" s="9">
        <f>BDH(AYW$1,"RETURN_COM_EQY",DataStart,DataEnd,"Per=M","Days=A","Fill=P")</f>
        <v/>
      </c>
      <c r="AYY4" s="9">
        <f>BDH(AYY$1,"RETURN_COM_EQY",DataStart,DataEnd,"Per=M","Days=A","Fill=P")</f>
        <v/>
      </c>
      <c r="AZA4" s="9">
        <f>BDH(AZA$1,"RETURN_COM_EQY",DataStart,DataEnd,"Per=M","Days=A","Fill=P")</f>
        <v/>
      </c>
      <c r="AZC4" s="9">
        <f>BDH(AZC$1,"RETURN_COM_EQY",DataStart,DataEnd,"Per=M","Days=A","Fill=P")</f>
        <v/>
      </c>
      <c r="AZE4" s="9">
        <f>BDH(AZE$1,"RETURN_COM_EQY",DataStart,DataEnd,"Per=M","Days=A","Fill=P")</f>
        <v/>
      </c>
      <c r="AZG4" s="9">
        <f>BDH(AZG$1,"RETURN_COM_EQY",DataStart,DataEnd,"Per=M","Days=A","Fill=P")</f>
        <v/>
      </c>
      <c r="AZI4" s="9">
        <f>BDH(AZI$1,"RETURN_COM_EQY",DataStart,DataEnd,"Per=M","Days=A","Fill=P")</f>
        <v/>
      </c>
      <c r="AZK4" s="9">
        <f>BDH(AZK$1,"RETURN_COM_EQY",DataStart,DataEnd,"Per=M","Days=A","Fill=P")</f>
        <v/>
      </c>
      <c r="AZM4" s="9">
        <f>BDH(AZM$1,"RETURN_COM_EQY",DataStart,DataEnd,"Per=M","Days=A","Fill=P")</f>
        <v/>
      </c>
      <c r="AZO4" s="9">
        <f>BDH(AZO$1,"RETURN_COM_EQY",DataStart,DataEnd,"Per=M","Days=A","Fill=P")</f>
        <v/>
      </c>
      <c r="AZQ4" s="9">
        <f>BDH(AZQ$1,"RETURN_COM_EQY",DataStart,DataEnd,"Per=M","Days=A","Fill=P")</f>
        <v/>
      </c>
      <c r="AZS4" s="9">
        <f>BDH(AZS$1,"RETURN_COM_EQY",DataStart,DataEnd,"Per=M","Days=A","Fill=P")</f>
        <v/>
      </c>
      <c r="AZU4" s="9">
        <f>BDH(AZU$1,"RETURN_COM_EQY",DataStart,DataEnd,"Per=M","Days=A","Fill=P")</f>
        <v/>
      </c>
      <c r="AZW4" s="9">
        <f>BDH(AZW$1,"RETURN_COM_EQY",DataStart,DataEnd,"Per=M","Days=A","Fill=P")</f>
        <v/>
      </c>
      <c r="AZY4" s="9">
        <f>BDH(AZY$1,"RETURN_COM_EQY",DataStart,DataEnd,"Per=M","Days=A","Fill=P")</f>
        <v/>
      </c>
      <c r="BAA4" s="9">
        <f>BDH(BAA$1,"RETURN_COM_EQY",DataStart,DataEnd,"Per=M","Days=A","Fill=P")</f>
        <v/>
      </c>
      <c r="BAC4" s="9">
        <f>BDH(BAC$1,"RETURN_COM_EQY",DataStart,DataEnd,"Per=M","Days=A","Fill=P")</f>
        <v/>
      </c>
      <c r="BAE4" s="9">
        <f>BDH(BAE$1,"RETURN_COM_EQY",DataStart,DataEnd,"Per=M","Days=A","Fill=P")</f>
        <v/>
      </c>
      <c r="BAG4" s="9">
        <f>BDH(BAG$1,"RETURN_COM_EQY",DataStart,DataEnd,"Per=M","Days=A","Fill=P")</f>
        <v/>
      </c>
      <c r="BAI4" s="9">
        <f>BDH(BAI$1,"RETURN_COM_EQY",DataStart,DataEnd,"Per=M","Days=A","Fill=P")</f>
        <v/>
      </c>
      <c r="BAK4" s="9">
        <f>BDH(BAK$1,"RETURN_COM_EQY",DataStart,DataEnd,"Per=M","Days=A","Fill=P")</f>
        <v/>
      </c>
      <c r="BAM4" s="9">
        <f>BDH(BAM$1,"RETURN_COM_EQY",DataStart,DataEnd,"Per=M","Days=A","Fill=P")</f>
        <v/>
      </c>
      <c r="BAO4" s="9">
        <f>BDH(BAO$1,"RETURN_COM_EQY",DataStart,DataEnd,"Per=M","Days=A","Fill=P")</f>
        <v/>
      </c>
      <c r="BAQ4" s="9">
        <f>BDH(BAQ$1,"RETURN_COM_EQY",DataStart,DataEnd,"Per=M","Days=A","Fill=P")</f>
        <v/>
      </c>
      <c r="BAS4" s="9">
        <f>BDH(BAS$1,"RETURN_COM_EQY",DataStart,DataEnd,"Per=M","Days=A","Fill=P")</f>
        <v/>
      </c>
      <c r="BAU4" s="9">
        <f>BDH(BAU$1,"RETURN_COM_EQY",DataStart,DataEnd,"Per=M","Days=A","Fill=P")</f>
        <v/>
      </c>
      <c r="BAW4" s="9">
        <f>BDH(BAW$1,"RETURN_COM_EQY",DataStart,DataEnd,"Per=M","Days=A","Fill=P")</f>
        <v/>
      </c>
      <c r="BAY4" s="9">
        <f>BDH(BAY$1,"RETURN_COM_EQY",DataStart,DataEnd,"Per=M","Days=A","Fill=P")</f>
        <v/>
      </c>
      <c r="BBA4" s="9">
        <f>BDH(BBA$1,"RETURN_COM_EQY",DataStart,DataEnd,"Per=M","Days=A","Fill=P")</f>
        <v/>
      </c>
      <c r="BBC4" s="9">
        <f>BDH(BBC$1,"RETURN_COM_EQY",DataStart,DataEnd,"Per=M","Days=A","Fill=P")</f>
        <v/>
      </c>
      <c r="BBE4" s="9">
        <f>BDH(BBE$1,"RETURN_COM_EQY",DataStart,DataEnd,"Per=M","Days=A","Fill=P")</f>
        <v/>
      </c>
      <c r="BBG4" s="9">
        <f>BDH(BBG$1,"RETURN_COM_EQY",DataStart,DataEnd,"Per=M","Days=A","Fill=P")</f>
        <v/>
      </c>
      <c r="BBI4" s="9">
        <f>BDH(BBI$1,"RETURN_COM_EQY",DataStart,DataEnd,"Per=M","Days=A","Fill=P")</f>
        <v/>
      </c>
      <c r="BBK4" s="9">
        <f>BDH(BBK$1,"RETURN_COM_EQY",DataStart,DataEnd,"Per=M","Days=A","Fill=P")</f>
        <v/>
      </c>
      <c r="BBM4" s="9">
        <f>BDH(BBM$1,"RETURN_COM_EQY",DataStart,DataEnd,"Per=M","Days=A","Fill=P")</f>
        <v/>
      </c>
      <c r="BBO4" s="9">
        <f>BDH(BBO$1,"RETURN_COM_EQY",DataStart,DataEnd,"Per=M","Days=A","Fill=P")</f>
        <v/>
      </c>
      <c r="BBQ4" s="9">
        <f>BDH(BBQ$1,"RETURN_COM_EQY",DataStart,DataEnd,"Per=M","Days=A","Fill=P")</f>
        <v/>
      </c>
      <c r="BBS4" s="9">
        <f>BDH(BBS$1,"RETURN_COM_EQY",DataStart,DataEnd,"Per=M","Days=A","Fill=P")</f>
        <v/>
      </c>
      <c r="BBU4" s="9">
        <f>BDH(BBU$1,"RETURN_COM_EQY",DataStart,DataEnd,"Per=M","Days=A","Fill=P")</f>
        <v/>
      </c>
      <c r="BBW4" s="9">
        <f>BDH(BBW$1,"RETURN_COM_EQY",DataStart,DataEnd,"Per=M","Days=A","Fill=P")</f>
        <v/>
      </c>
      <c r="BBY4" s="9">
        <f>BDH(BBY$1,"RETURN_COM_EQY",DataStart,DataEnd,"Per=M","Days=A","Fill=P")</f>
        <v/>
      </c>
      <c r="BCA4" s="9">
        <f>BDH(BCA$1,"RETURN_COM_EQY",DataStart,DataEnd,"Per=M","Days=A","Fill=P")</f>
        <v/>
      </c>
      <c r="BCC4" s="9">
        <f>BDH(BCC$1,"RETURN_COM_EQY",DataStart,DataEnd,"Per=M","Days=A","Fill=P")</f>
        <v/>
      </c>
      <c r="BCE4" s="9">
        <f>BDH(BCE$1,"RETURN_COM_EQY",DataStart,DataEnd,"Per=M","Days=A","Fill=P")</f>
        <v/>
      </c>
      <c r="BCG4" s="9">
        <f>BDH(BCG$1,"RETURN_COM_EQY",DataStart,DataEnd,"Per=M","Days=A","Fill=P")</f>
        <v/>
      </c>
      <c r="BCI4" s="9">
        <f>BDH(BCI$1,"RETURN_COM_EQY",DataStart,DataEnd,"Per=M","Days=A","Fill=P")</f>
        <v/>
      </c>
      <c r="BCK4" s="9">
        <f>BDH(BCK$1,"RETURN_COM_EQY",DataStart,DataEnd,"Per=M","Days=A","Fill=P")</f>
        <v/>
      </c>
      <c r="BCM4" s="9">
        <f>BDH(BCM$1,"RETURN_COM_EQY",DataStart,DataEnd,"Per=M","Days=A","Fill=P")</f>
        <v/>
      </c>
      <c r="BCO4" s="9">
        <f>BDH(BCO$1,"RETURN_COM_EQY",DataStart,DataEnd,"Per=M","Days=A","Fill=P")</f>
        <v/>
      </c>
      <c r="BCQ4" s="9">
        <f>BDH(BCQ$1,"RETURN_COM_EQY",DataStart,DataEnd,"Per=M","Days=A","Fill=P")</f>
        <v/>
      </c>
      <c r="BCS4" s="9">
        <f>BDH(BCS$1,"RETURN_COM_EQY",DataStart,DataEnd,"Per=M","Days=A","Fill=P")</f>
        <v/>
      </c>
      <c r="BCU4" s="9">
        <f>BDH(BCU$1,"RETURN_COM_EQY",DataStart,DataEnd,"Per=M","Days=A","Fill=P")</f>
        <v/>
      </c>
      <c r="BCW4" s="9">
        <f>BDH(BCW$1,"RETURN_COM_EQY",DataStart,DataEnd,"Per=M","Days=A","Fill=P")</f>
        <v/>
      </c>
      <c r="BCY4" s="9">
        <f>BDH(BCY$1,"RETURN_COM_EQY",DataStart,DataEnd,"Per=M","Days=A","Fill=P")</f>
        <v/>
      </c>
      <c r="BDA4" s="9">
        <f>BDH(BDA$1,"RETURN_COM_EQY",DataStart,DataEnd,"Per=M","Days=A","Fill=P")</f>
        <v/>
      </c>
      <c r="BDC4" s="9">
        <f>BDH(BDC$1,"RETURN_COM_EQY",DataStart,DataEnd,"Per=M","Days=A","Fill=P")</f>
        <v/>
      </c>
      <c r="BDE4" s="9">
        <f>BDH(BDE$1,"RETURN_COM_EQY",DataStart,DataEnd,"Per=M","Days=A","Fill=P")</f>
        <v/>
      </c>
      <c r="BDG4" s="9">
        <f>BDH(BDG$1,"RETURN_COM_EQY",DataStart,DataEnd,"Per=M","Days=A","Fill=P")</f>
        <v/>
      </c>
      <c r="BDI4" s="9">
        <f>BDH(BDI$1,"RETURN_COM_EQY",DataStart,DataEnd,"Per=M","Days=A","Fill=P")</f>
        <v/>
      </c>
      <c r="BDK4" s="9">
        <f>BDH(BDK$1,"RETURN_COM_EQY",DataStart,DataEnd,"Per=M","Days=A","Fill=P")</f>
        <v/>
      </c>
      <c r="BDM4" s="9">
        <f>BDH(BDM$1,"RETURN_COM_EQY",DataStart,DataEnd,"Per=M","Days=A","Fill=P")</f>
        <v/>
      </c>
      <c r="BDO4" s="9">
        <f>BDH(BDO$1,"RETURN_COM_EQY",DataStart,DataEnd,"Per=M","Days=A","Fill=P")</f>
        <v/>
      </c>
      <c r="BDQ4" s="9">
        <f>BDH(BDQ$1,"RETURN_COM_EQY",DataStart,DataEnd,"Per=M","Days=A","Fill=P")</f>
        <v/>
      </c>
      <c r="BDS4" s="9">
        <f>BDH(BDS$1,"RETURN_COM_EQY",DataStart,DataEnd,"Per=M","Days=A","Fill=P")</f>
        <v/>
      </c>
      <c r="BDU4" s="9">
        <f>BDH(BDU$1,"RETURN_COM_EQY",DataStart,DataEnd,"Per=M","Days=A","Fill=P")</f>
        <v/>
      </c>
      <c r="BDW4" s="9">
        <f>BDH(BDW$1,"RETURN_COM_EQY",DataStart,DataEnd,"Per=M","Days=A","Fill=P")</f>
        <v/>
      </c>
      <c r="BDY4" s="9">
        <f>BDH(BDY$1,"RETURN_COM_EQY",DataStart,DataEnd,"Per=M","Days=A","Fill=P")</f>
        <v/>
      </c>
      <c r="BEA4" s="9">
        <f>BDH(BEA$1,"RETURN_COM_EQY",DataStart,DataEnd,"Per=M","Days=A","Fill=P")</f>
        <v/>
      </c>
      <c r="BEC4" s="9">
        <f>BDH(BEC$1,"RETURN_COM_EQY",DataStart,DataEnd,"Per=M","Days=A","Fill=P")</f>
        <v/>
      </c>
      <c r="BEE4" s="9">
        <f>BDH(BEE$1,"RETURN_COM_EQY",DataStart,DataEnd,"Per=M","Days=A","Fill=P")</f>
        <v/>
      </c>
      <c r="BEG4" s="9">
        <f>BDH(BEG$1,"RETURN_COM_EQY",DataStart,DataEnd,"Per=M","Days=A","Fill=P")</f>
        <v/>
      </c>
      <c r="BEI4" s="9">
        <f>BDH(BEI$1,"RETURN_COM_EQY",DataStart,DataEnd,"Per=M","Days=A","Fill=P")</f>
        <v/>
      </c>
      <c r="BEK4" s="9">
        <f>BDH(BEK$1,"RETURN_COM_EQY",DataStart,DataEnd,"Per=M","Days=A","Fill=P")</f>
        <v/>
      </c>
      <c r="BEM4" s="9">
        <f>BDH(BEM$1,"RETURN_COM_EQY",DataStart,DataEnd,"Per=M","Days=A","Fill=P")</f>
        <v/>
      </c>
      <c r="BEO4" s="9">
        <f>BDH(BEO$1,"RETURN_COM_EQY",DataStart,DataEnd,"Per=M","Days=A","Fill=P")</f>
        <v/>
      </c>
      <c r="BEQ4" s="9">
        <f>BDH(BEQ$1,"RETURN_COM_EQY",DataStart,DataEnd,"Per=M","Days=A","Fill=P")</f>
        <v/>
      </c>
      <c r="BES4" s="9">
        <f>BDH(BES$1,"RETURN_COM_EQY",DataStart,DataEnd,"Per=M","Days=A","Fill=P")</f>
        <v/>
      </c>
      <c r="BEU4" s="9">
        <f>BDH(BEU$1,"RETURN_COM_EQY",DataStart,DataEnd,"Per=M","Days=A","Fill=P")</f>
        <v/>
      </c>
      <c r="BEW4" s="9">
        <f>BDH(BEW$1,"RETURN_COM_EQY",DataStart,DataEnd,"Per=M","Days=A","Fill=P")</f>
        <v/>
      </c>
      <c r="BEY4" s="9">
        <f>BDH(BEY$1,"RETURN_COM_EQY",DataStart,DataEnd,"Per=M","Days=A","Fill=P")</f>
        <v/>
      </c>
      <c r="BFA4" s="9">
        <f>BDH(BFA$1,"RETURN_COM_EQY",DataStart,DataEnd,"Per=M","Days=A","Fill=P")</f>
        <v/>
      </c>
      <c r="BFC4" s="9">
        <f>BDH(BFC$1,"RETURN_COM_EQY",DataStart,DataEnd,"Per=M","Days=A","Fill=P")</f>
        <v/>
      </c>
      <c r="BFE4" s="9">
        <f>BDH(BFE$1,"RETURN_COM_EQY",DataStart,DataEnd,"Per=M","Days=A","Fill=P")</f>
        <v/>
      </c>
      <c r="BFG4" s="9">
        <f>BDH(BFG$1,"RETURN_COM_EQY",DataStart,DataEnd,"Per=M","Days=A","Fill=P")</f>
        <v/>
      </c>
      <c r="BFI4" s="9">
        <f>BDH(BFI$1,"RETURN_COM_EQY",DataStart,DataEnd,"Per=M","Days=A","Fill=P")</f>
        <v/>
      </c>
      <c r="BFK4" s="9">
        <f>BDH(BFK$1,"RETURN_COM_EQY",DataStart,DataEnd,"Per=M","Days=A","Fill=P")</f>
        <v/>
      </c>
      <c r="BFM4" s="9">
        <f>BDH(BFM$1,"RETURN_COM_EQY",DataStart,DataEnd,"Per=M","Days=A","Fill=P")</f>
        <v/>
      </c>
      <c r="BFO4" s="9">
        <f>BDH(BFO$1,"RETURN_COM_EQY",DataStart,DataEnd,"Per=M","Days=A","Fill=P")</f>
        <v/>
      </c>
      <c r="BFQ4" s="9">
        <f>BDH(BFQ$1,"RETURN_COM_EQY",DataStart,DataEnd,"Per=M","Days=A","Fill=P")</f>
        <v/>
      </c>
      <c r="BFS4" s="9">
        <f>BDH(BFS$1,"RETURN_COM_EQY",DataStart,DataEnd,"Per=M","Days=A","Fill=P")</f>
        <v/>
      </c>
      <c r="BFU4" s="9">
        <f>BDH(BFU$1,"RETURN_COM_EQY",DataStart,DataEnd,"Per=M","Days=A","Fill=P")</f>
        <v/>
      </c>
      <c r="BFW4" s="9">
        <f>BDH(BFW$1,"RETURN_COM_EQY",DataStart,DataEnd,"Per=M","Days=A","Fill=P")</f>
        <v/>
      </c>
      <c r="BFY4" s="9">
        <f>BDH(BFY$1,"RETURN_COM_EQY",DataStart,DataEnd,"Per=M","Days=A","Fill=P")</f>
        <v/>
      </c>
      <c r="BGA4" s="9">
        <f>BDH(BGA$1,"RETURN_COM_EQY",DataStart,DataEnd,"Per=M","Days=A","Fill=P")</f>
        <v/>
      </c>
      <c r="BGC4" s="9">
        <f>BDH(BGC$1,"RETURN_COM_EQY",DataStart,DataEnd,"Per=M","Days=A","Fill=P")</f>
        <v/>
      </c>
      <c r="BGE4" s="9">
        <f>BDH(BGE$1,"RETURN_COM_EQY",DataStart,DataEnd,"Per=M","Days=A","Fill=P")</f>
        <v/>
      </c>
      <c r="BGG4" s="9">
        <f>BDH(BGG$1,"RETURN_COM_EQY",DataStart,DataEnd,"Per=M","Days=A","Fill=P")</f>
        <v/>
      </c>
      <c r="BGI4" s="9">
        <f>BDH(BGI$1,"RETURN_COM_EQY",DataStart,DataEnd,"Per=M","Days=A","Fill=P")</f>
        <v/>
      </c>
      <c r="BGK4" s="9">
        <f>BDH(BGK$1,"RETURN_COM_EQY",DataStart,DataEnd,"Per=M","Days=A","Fill=P")</f>
        <v/>
      </c>
      <c r="BGM4" s="9">
        <f>BDH(BGM$1,"RETURN_COM_EQY",DataStart,DataEnd,"Per=M","Days=A","Fill=P")</f>
        <v/>
      </c>
      <c r="BGO4" s="9">
        <f>BDH(BGO$1,"RETURN_COM_EQY",DataStart,DataEnd,"Per=M","Days=A","Fill=P")</f>
        <v/>
      </c>
      <c r="BGQ4" s="9">
        <f>BDH(BGQ$1,"RETURN_COM_EQY",DataStart,DataEnd,"Per=M","Days=A","Fill=P")</f>
        <v/>
      </c>
      <c r="BGS4" s="9">
        <f>BDH(BGS$1,"RETURN_COM_EQY",DataStart,DataEnd,"Per=M","Days=A","Fill=P")</f>
        <v/>
      </c>
      <c r="BGU4" s="9">
        <f>BDH(BGU$1,"RETURN_COM_EQY",DataStart,DataEnd,"Per=M","Days=A","Fill=P")</f>
        <v/>
      </c>
      <c r="BGW4" s="9">
        <f>BDH(BGW$1,"RETURN_COM_EQY",DataStart,DataEnd,"Per=M","Days=A","Fill=P")</f>
        <v/>
      </c>
      <c r="BGY4" s="9">
        <f>BDH(BGY$1,"RETURN_COM_EQY",DataStart,DataEnd,"Per=M","Days=A","Fill=P")</f>
        <v/>
      </c>
      <c r="BHA4" s="9">
        <f>BDH(BHA$1,"RETURN_COM_EQY",DataStart,DataEnd,"Per=M","Days=A","Fill=P")</f>
        <v/>
      </c>
      <c r="BHC4" s="9">
        <f>BDH(BHC$1,"RETURN_COM_EQY",DataStart,DataEnd,"Per=M","Days=A","Fill=P")</f>
        <v/>
      </c>
      <c r="BHE4" s="9">
        <f>BDH(BHE$1,"RETURN_COM_EQY",DataStart,DataEnd,"Per=M","Days=A","Fill=P")</f>
        <v/>
      </c>
      <c r="BHG4" s="9">
        <f>BDH(BHG$1,"RETURN_COM_EQY",DataStart,DataEnd,"Per=M","Days=A","Fill=P")</f>
        <v/>
      </c>
      <c r="BHI4" s="9">
        <f>BDH(BHI$1,"RETURN_COM_EQY",DataStart,DataEnd,"Per=M","Days=A","Fill=P")</f>
        <v/>
      </c>
      <c r="BHK4" s="9">
        <f>BDH(BHK$1,"RETURN_COM_EQY",DataStart,DataEnd,"Per=M","Days=A","Fill=P")</f>
        <v/>
      </c>
      <c r="BHM4" s="9">
        <f>BDH(BHM$1,"RETURN_COM_EQY",DataStart,DataEnd,"Per=M","Days=A","Fill=P")</f>
        <v/>
      </c>
      <c r="BHO4" s="9">
        <f>BDH(BHO$1,"RETURN_COM_EQY",DataStart,DataEnd,"Per=M","Days=A","Fill=P")</f>
        <v/>
      </c>
      <c r="BHQ4" s="9">
        <f>BDH(BHQ$1,"RETURN_COM_EQY",DataStart,DataEnd,"Per=M","Days=A","Fill=P")</f>
        <v/>
      </c>
      <c r="BHS4" s="9">
        <f>BDH(BHS$1,"RETURN_COM_EQY",DataStart,DataEnd,"Per=M","Days=A","Fill=P")</f>
        <v/>
      </c>
      <c r="BHU4" s="9">
        <f>BDH(BHU$1,"RETURN_COM_EQY",DataStart,DataEnd,"Per=M","Days=A","Fill=P")</f>
        <v/>
      </c>
      <c r="BHW4" s="9">
        <f>BDH(BHW$1,"RETURN_COM_EQY",DataStart,DataEnd,"Per=M","Days=A","Fill=P")</f>
        <v/>
      </c>
      <c r="BHY4" s="9">
        <f>BDH(BHY$1,"RETURN_COM_EQY",DataStart,DataEnd,"Per=M","Days=A","Fill=P")</f>
        <v/>
      </c>
      <c r="BIA4" s="9">
        <f>BDH(BIA$1,"RETURN_COM_EQY",DataStart,DataEnd,"Per=M","Days=A","Fill=P")</f>
        <v/>
      </c>
      <c r="BIC4" s="9">
        <f>BDH(BIC$1,"RETURN_COM_EQY",DataStart,DataEnd,"Per=M","Days=A","Fill=P")</f>
        <v/>
      </c>
      <c r="BIE4" s="9">
        <f>BDH(BIE$1,"RETURN_COM_EQY",DataStart,DataEnd,"Per=M","Days=A","Fill=P")</f>
        <v/>
      </c>
      <c r="BIG4" s="9">
        <f>BDH(BIG$1,"RETURN_COM_EQY",DataStart,DataEnd,"Per=M","Days=A","Fill=P")</f>
        <v/>
      </c>
      <c r="BII4" s="9">
        <f>BDH(BII$1,"RETURN_COM_EQY",DataStart,DataEnd,"Per=M","Days=A","Fill=P")</f>
        <v/>
      </c>
      <c r="BIK4" s="9">
        <f>BDH(BIK$1,"RETURN_COM_EQY",DataStart,DataEnd,"Per=M","Days=A","Fill=P")</f>
        <v/>
      </c>
      <c r="BIM4" s="9">
        <f>BDH(BIM$1,"RETURN_COM_EQY",DataStart,DataEnd,"Per=M","Days=A","Fill=P")</f>
        <v/>
      </c>
      <c r="BIO4" s="9">
        <f>BDH(BIO$1,"RETURN_COM_EQY",DataStart,DataEnd,"Per=M","Days=A","Fill=P")</f>
        <v/>
      </c>
      <c r="BIQ4" s="9">
        <f>BDH(BIQ$1,"RETURN_COM_EQY",DataStart,DataEnd,"Per=M","Days=A","Fill=P")</f>
        <v/>
      </c>
      <c r="BIS4" s="9">
        <f>BDH(BIS$1,"RETURN_COM_EQY",DataStart,DataEnd,"Per=M","Days=A","Fill=P")</f>
        <v/>
      </c>
      <c r="BIU4" s="9">
        <f>BDH(BIU$1,"RETURN_COM_EQY",DataStart,DataEnd,"Per=M","Days=A","Fill=P")</f>
        <v/>
      </c>
      <c r="BIW4" s="9">
        <f>BDH(BIW$1,"RETURN_COM_EQY",DataStart,DataEnd,"Per=M","Days=A","Fill=P")</f>
        <v/>
      </c>
      <c r="BIY4" s="9">
        <f>BDH(BIY$1,"RETURN_COM_EQY",DataStart,DataEnd,"Per=M","Days=A","Fill=P")</f>
        <v/>
      </c>
      <c r="BJA4" s="9">
        <f>BDH(BJA$1,"RETURN_COM_EQY",DataStart,DataEnd,"Per=M","Days=A","Fill=P")</f>
        <v/>
      </c>
      <c r="BJC4" s="9">
        <f>BDH(BJC$1,"RETURN_COM_EQY",DataStart,DataEnd,"Per=M","Days=A","Fill=P")</f>
        <v/>
      </c>
      <c r="BJE4" s="9">
        <f>BDH(BJE$1,"RETURN_COM_EQY",DataStart,DataEnd,"Per=M","Days=A","Fill=P")</f>
        <v/>
      </c>
      <c r="BJG4" s="9">
        <f>BDH(BJG$1,"RETURN_COM_EQY",DataStart,DataEnd,"Per=M","Days=A","Fill=P")</f>
        <v/>
      </c>
      <c r="BJI4" s="9">
        <f>BDH(BJI$1,"RETURN_COM_EQY",DataStart,DataEnd,"Per=M","Days=A","Fill=P")</f>
        <v/>
      </c>
      <c r="BJK4" s="9">
        <f>BDH(BJK$1,"RETURN_COM_EQY",DataStart,DataEnd,"Per=M","Days=A","Fill=P")</f>
        <v/>
      </c>
      <c r="BJM4" s="9">
        <f>BDH(BJM$1,"RETURN_COM_EQY",DataStart,DataEnd,"Per=M","Days=A","Fill=P")</f>
        <v/>
      </c>
      <c r="BJO4" s="9">
        <f>BDH(BJO$1,"RETURN_COM_EQY",DataStart,DataEnd,"Per=M","Days=A","Fill=P")</f>
        <v/>
      </c>
      <c r="BJQ4" s="9">
        <f>BDH(BJQ$1,"RETURN_COM_EQY",DataStart,DataEnd,"Per=M","Days=A","Fill=P")</f>
        <v/>
      </c>
      <c r="BJS4" s="9">
        <f>BDH(BJS$1,"RETURN_COM_EQY",DataStart,DataEnd,"Per=M","Days=A","Fill=P")</f>
        <v/>
      </c>
      <c r="BJU4" s="9">
        <f>BDH(BJU$1,"RETURN_COM_EQY",DataStart,DataEnd,"Per=M","Days=A","Fill=P")</f>
        <v/>
      </c>
      <c r="BJW4" s="9">
        <f>BDH(BJW$1,"RETURN_COM_EQY",DataStart,DataEnd,"Per=M","Days=A","Fill=P")</f>
        <v/>
      </c>
      <c r="BJY4" s="9">
        <f>BDH(BJY$1,"RETURN_COM_EQY",DataStart,DataEnd,"Per=M","Days=A","Fill=P")</f>
        <v/>
      </c>
      <c r="BKA4" s="9">
        <f>BDH(BKA$1,"RETURN_COM_EQY",DataStart,DataEnd,"Per=M","Days=A","Fill=P")</f>
        <v/>
      </c>
      <c r="BKC4" s="9">
        <f>BDH(BKC$1,"RETURN_COM_EQY",DataStart,DataEnd,"Per=M","Days=A","Fill=P")</f>
        <v/>
      </c>
      <c r="BKE4" s="9">
        <f>BDH(BKE$1,"RETURN_COM_EQY",DataStart,DataEnd,"Per=M","Days=A","Fill=P")</f>
        <v/>
      </c>
      <c r="BKG4" s="9">
        <f>BDH(BKG$1,"RETURN_COM_EQY",DataStart,DataEnd,"Per=M","Days=A","Fill=P")</f>
        <v/>
      </c>
      <c r="BKI4" s="9">
        <f>BDH(BKI$1,"RETURN_COM_EQY",DataStart,DataEnd,"Per=M","Days=A","Fill=P")</f>
        <v/>
      </c>
      <c r="BKK4" s="9">
        <f>BDH(BKK$1,"RETURN_COM_EQY",DataStart,DataEnd,"Per=M","Days=A","Fill=P")</f>
        <v/>
      </c>
      <c r="BKM4" s="9">
        <f>BDH(BKM$1,"RETURN_COM_EQY",DataStart,DataEnd,"Per=M","Days=A","Fill=P")</f>
        <v/>
      </c>
      <c r="BKO4" s="9">
        <f>BDH(BKO$1,"RETURN_COM_EQY",DataStart,DataEnd,"Per=M","Days=A","Fill=P")</f>
        <v/>
      </c>
      <c r="BKQ4" s="9">
        <f>BDH(BKQ$1,"RETURN_COM_EQY",DataStart,DataEnd,"Per=M","Days=A","Fill=P")</f>
        <v/>
      </c>
      <c r="BKS4" s="9">
        <f>BDH(BKS$1,"RETURN_COM_EQY",DataStart,DataEnd,"Per=M","Days=A","Fill=P")</f>
        <v/>
      </c>
      <c r="BKU4" s="9">
        <f>BDH(BKU$1,"RETURN_COM_EQY",DataStart,DataEnd,"Per=M","Days=A","Fill=P")</f>
        <v/>
      </c>
      <c r="BKW4" s="9">
        <f>BDH(BKW$1,"RETURN_COM_EQY",DataStart,DataEnd,"Per=M","Days=A","Fill=P")</f>
        <v/>
      </c>
      <c r="BKY4" s="9">
        <f>BDH(BKY$1,"RETURN_COM_EQY",DataStart,DataEnd,"Per=M","Days=A","Fill=P")</f>
        <v/>
      </c>
      <c r="BLA4" s="9">
        <f>BDH(BLA$1,"RETURN_COM_EQY",DataStart,DataEnd,"Per=M","Days=A","Fill=P")</f>
        <v/>
      </c>
      <c r="BLC4" s="9">
        <f>BDH(BLC$1,"RETURN_COM_EQY",DataStart,DataEnd,"Per=M","Days=A","Fill=P")</f>
        <v/>
      </c>
      <c r="BLE4" s="9">
        <f>BDH(BLE$1,"RETURN_COM_EQY",DataStart,DataEnd,"Per=M","Days=A","Fill=P")</f>
        <v/>
      </c>
      <c r="BLG4" s="9">
        <f>BDH(BLG$1,"RETURN_COM_EQY",DataStart,DataEnd,"Per=M","Days=A","Fill=P")</f>
        <v/>
      </c>
      <c r="BLI4" s="9">
        <f>BDH(BLI$1,"RETURN_COM_EQY",DataStart,DataEnd,"Per=M","Days=A","Fill=P")</f>
        <v/>
      </c>
      <c r="BLK4" s="9">
        <f>BDH(BLK$1,"RETURN_COM_EQY",DataStart,DataEnd,"Per=M","Days=A","Fill=P")</f>
        <v/>
      </c>
      <c r="BLM4" s="9">
        <f>BDH(BLM$1,"RETURN_COM_EQY",DataStart,DataEnd,"Per=M","Days=A","Fill=P")</f>
        <v/>
      </c>
      <c r="BLO4" s="9">
        <f>BDH(BLO$1,"RETURN_COM_EQY",DataStart,DataEnd,"Per=M","Days=A","Fill=P")</f>
        <v/>
      </c>
      <c r="BLQ4" s="9">
        <f>BDH(BLQ$1,"RETURN_COM_EQY",DataStart,DataEnd,"Per=M","Days=A","Fill=P")</f>
        <v/>
      </c>
      <c r="BLS4" s="9">
        <f>BDH(BLS$1,"RETURN_COM_EQY",DataStart,DataEnd,"Per=M","Days=A","Fill=P")</f>
        <v/>
      </c>
      <c r="BLU4" s="9">
        <f>BDH(BLU$1,"RETURN_COM_EQY",DataStart,DataEnd,"Per=M","Days=A","Fill=P")</f>
        <v/>
      </c>
      <c r="BLW4" s="9">
        <f>BDH(BLW$1,"RETURN_COM_EQY",DataStart,DataEnd,"Per=M","Days=A","Fill=P")</f>
        <v/>
      </c>
      <c r="BLY4" s="9">
        <f>BDH(BLY$1,"RETURN_COM_EQY",DataStart,DataEnd,"Per=M","Days=A","Fill=P")</f>
        <v/>
      </c>
      <c r="BMA4" s="9">
        <f>BDH(BMA$1,"RETURN_COM_EQY",DataStart,DataEnd,"Per=M","Days=A","Fill=P")</f>
        <v/>
      </c>
      <c r="BMC4" s="9">
        <f>BDH(BMC$1,"RETURN_COM_EQY",DataStart,DataEnd,"Per=M","Days=A","Fill=P")</f>
        <v/>
      </c>
      <c r="BME4" s="9">
        <f>BDH(BME$1,"RETURN_COM_EQY",DataStart,DataEnd,"Per=M","Days=A","Fill=P")</f>
        <v/>
      </c>
      <c r="BMG4" s="9">
        <f>BDH(BMG$1,"RETURN_COM_EQY",DataStart,DataEnd,"Per=M","Days=A","Fill=P")</f>
        <v/>
      </c>
      <c r="BMI4" s="9">
        <f>BDH(BMI$1,"RETURN_COM_EQY",DataStart,DataEnd,"Per=M","Days=A","Fill=P")</f>
        <v/>
      </c>
      <c r="BMK4" s="9">
        <f>BDH(BMK$1,"RETURN_COM_EQY",DataStart,DataEnd,"Per=M","Days=A","Fill=P")</f>
        <v/>
      </c>
      <c r="BMM4" s="9">
        <f>BDH(BMM$1,"RETURN_COM_EQY",DataStart,DataEnd,"Per=M","Days=A","Fill=P")</f>
        <v/>
      </c>
      <c r="BMO4" s="9">
        <f>BDH(BMO$1,"RETURN_COM_EQY",DataStart,DataEnd,"Per=M","Days=A","Fill=P")</f>
        <v/>
      </c>
      <c r="BMQ4" s="9">
        <f>BDH(BMQ$1,"RETURN_COM_EQY",DataStart,DataEnd,"Per=M","Days=A","Fill=P")</f>
        <v/>
      </c>
      <c r="BMS4" s="9">
        <f>BDH(BMS$1,"RETURN_COM_EQY",DataStart,DataEnd,"Per=M","Days=A","Fill=P")</f>
        <v/>
      </c>
      <c r="BMU4" s="9">
        <f>BDH(BMU$1,"RETURN_COM_EQY",DataStart,DataEnd,"Per=M","Days=A","Fill=P")</f>
        <v/>
      </c>
      <c r="BMW4" s="9">
        <f>BDH(BMW$1,"RETURN_COM_EQY",DataStart,DataEnd,"Per=M","Days=A","Fill=P")</f>
        <v/>
      </c>
      <c r="BMY4" s="9">
        <f>BDH(BMY$1,"RETURN_COM_EQY",DataStart,DataEnd,"Per=M","Days=A","Fill=P")</f>
        <v/>
      </c>
      <c r="BNA4" s="9">
        <f>BDH(BNA$1,"RETURN_COM_EQY",DataStart,DataEnd,"Per=M","Days=A","Fill=P")</f>
        <v/>
      </c>
      <c r="BNC4" s="9">
        <f>BDH(BNC$1,"RETURN_COM_EQY",DataStart,DataEnd,"Per=M","Days=A","Fill=P")</f>
        <v/>
      </c>
      <c r="BNE4" s="9">
        <f>BDH(BNE$1,"RETURN_COM_EQY",DataStart,DataEnd,"Per=M","Days=A","Fill=P")</f>
        <v/>
      </c>
      <c r="BNG4" s="9">
        <f>BDH(BNG$1,"RETURN_COM_EQY",DataStart,DataEnd,"Per=M","Days=A","Fill=P")</f>
        <v/>
      </c>
      <c r="BNI4" s="9">
        <f>BDH(BNI$1,"RETURN_COM_EQY",DataStart,DataEnd,"Per=M","Days=A","Fill=P")</f>
        <v/>
      </c>
      <c r="BNK4" s="9">
        <f>BDH(BNK$1,"RETURN_COM_EQY",DataStart,DataEnd,"Per=M","Days=A","Fill=P")</f>
        <v/>
      </c>
      <c r="BNM4" s="9">
        <f>BDH(BNM$1,"RETURN_COM_EQY",DataStart,DataEnd,"Per=M","Days=A","Fill=P")</f>
        <v/>
      </c>
      <c r="BNO4" s="9">
        <f>BDH(BNO$1,"RETURN_COM_EQY",DataStart,DataEnd,"Per=M","Days=A","Fill=P")</f>
        <v/>
      </c>
      <c r="BNQ4" s="9">
        <f>BDH(BNQ$1,"RETURN_COM_EQY",DataStart,DataEnd,"Per=M","Days=A","Fill=P")</f>
        <v/>
      </c>
      <c r="BNS4" s="9">
        <f>BDH(BNS$1,"RETURN_COM_EQY",DataStart,DataEnd,"Per=M","Days=A","Fill=P")</f>
        <v/>
      </c>
      <c r="BNU4" s="9">
        <f>BDH(BNU$1,"RETURN_COM_EQY",DataStart,DataEnd,"Per=M","Days=A","Fill=P")</f>
        <v/>
      </c>
      <c r="BNW4" s="9">
        <f>BDH(BNW$1,"RETURN_COM_EQY",DataStart,DataEnd,"Per=M","Days=A","Fill=P")</f>
        <v/>
      </c>
      <c r="BNY4" s="9">
        <f>BDH(BNY$1,"RETURN_COM_EQY",DataStart,DataEnd,"Per=M","Days=A","Fill=P")</f>
        <v/>
      </c>
      <c r="BOA4" s="9">
        <f>BDH(BOA$1,"RETURN_COM_EQY",DataStart,DataEnd,"Per=M","Days=A","Fill=P")</f>
        <v/>
      </c>
      <c r="BOC4" s="9">
        <f>BDH(BOC$1,"RETURN_COM_EQY",DataStart,DataEnd,"Per=M","Days=A","Fill=P")</f>
        <v/>
      </c>
      <c r="BOE4" s="9">
        <f>BDH(BOE$1,"RETURN_COM_EQY",DataStart,DataEnd,"Per=M","Days=A","Fill=P")</f>
        <v/>
      </c>
      <c r="BOG4" s="9">
        <f>BDH(BOG$1,"RETURN_COM_EQY",DataStart,DataEnd,"Per=M","Days=A","Fill=P")</f>
        <v/>
      </c>
      <c r="BOI4" s="9">
        <f>BDH(BOI$1,"RETURN_COM_EQY",DataStart,DataEnd,"Per=M","Days=A","Fill=P")</f>
        <v/>
      </c>
      <c r="BOK4" s="9">
        <f>BDH(BOK$1,"RETURN_COM_EQY",DataStart,DataEnd,"Per=M","Days=A","Fill=P")</f>
        <v/>
      </c>
      <c r="BOM4" s="9">
        <f>BDH(BOM$1,"RETURN_COM_EQY",DataStart,DataEnd,"Per=M","Days=A","Fill=P")</f>
        <v/>
      </c>
      <c r="BOO4" s="9">
        <f>BDH(BOO$1,"RETURN_COM_EQY",DataStart,DataEnd,"Per=M","Days=A","Fill=P")</f>
        <v/>
      </c>
      <c r="BOQ4" s="9">
        <f>BDH(BOQ$1,"RETURN_COM_EQY",DataStart,DataEnd,"Per=M","Days=A","Fill=P")</f>
        <v/>
      </c>
      <c r="BOS4" s="9">
        <f>BDH(BOS$1,"RETURN_COM_EQY",DataStart,DataEnd,"Per=M","Days=A","Fill=P")</f>
        <v/>
      </c>
      <c r="BOU4" s="9">
        <f>BDH(BOU$1,"RETURN_COM_EQY",DataStart,DataEnd,"Per=M","Days=A","Fill=P")</f>
        <v/>
      </c>
      <c r="BOW4" s="9">
        <f>BDH(BOW$1,"RETURN_COM_EQY",DataStart,DataEnd,"Per=M","Days=A","Fill=P")</f>
        <v/>
      </c>
      <c r="BOY4" s="9">
        <f>BDH(BOY$1,"RETURN_COM_EQY",DataStart,DataEnd,"Per=M","Days=A","Fill=P")</f>
        <v/>
      </c>
      <c r="BPA4" s="9">
        <f>BDH(BPA$1,"RETURN_COM_EQY",DataStart,DataEnd,"Per=M","Days=A","Fill=P")</f>
        <v/>
      </c>
      <c r="BPC4" s="9">
        <f>BDH(BPC$1,"RETURN_COM_EQY",DataStart,DataEnd,"Per=M","Days=A","Fill=P")</f>
        <v/>
      </c>
      <c r="BPE4" s="9">
        <f>BDH(BPE$1,"RETURN_COM_EQY",DataStart,DataEnd,"Per=M","Days=A","Fill=P")</f>
        <v/>
      </c>
      <c r="BPG4" s="9">
        <f>BDH(BPG$1,"RETURN_COM_EQY",DataStart,DataEnd,"Per=M","Days=A","Fill=P")</f>
        <v/>
      </c>
      <c r="BPI4" s="9">
        <f>BDH(BPI$1,"RETURN_COM_EQY",DataStart,DataEnd,"Per=M","Days=A","Fill=P")</f>
        <v/>
      </c>
      <c r="BPK4" s="9">
        <f>BDH(BPK$1,"RETURN_COM_EQY",DataStart,DataEnd,"Per=M","Days=A","Fill=P")</f>
        <v/>
      </c>
      <c r="BPM4" s="9">
        <f>BDH(BPM$1,"RETURN_COM_EQY",DataStart,DataEnd,"Per=M","Days=A","Fill=P")</f>
        <v/>
      </c>
      <c r="BPO4" s="9">
        <f>BDH(BPO$1,"RETURN_COM_EQY",DataStart,DataEnd,"Per=M","Days=A","Fill=P")</f>
        <v/>
      </c>
      <c r="BPQ4" s="9">
        <f>BDH(BPQ$1,"RETURN_COM_EQY",DataStart,DataEnd,"Per=M","Days=A","Fill=P")</f>
        <v/>
      </c>
      <c r="BPS4" s="9">
        <f>BDH(BPS$1,"RETURN_COM_EQY",DataStart,DataEnd,"Per=M","Days=A","Fill=P")</f>
        <v/>
      </c>
      <c r="BPU4" s="9">
        <f>BDH(BPU$1,"RETURN_COM_EQY",DataStart,DataEnd,"Per=M","Days=A","Fill=P")</f>
        <v/>
      </c>
      <c r="BPW4" s="9">
        <f>BDH(BPW$1,"RETURN_COM_EQY",DataStart,DataEnd,"Per=M","Days=A","Fill=P")</f>
        <v/>
      </c>
      <c r="BPY4" s="9">
        <f>BDH(BPY$1,"RETURN_COM_EQY",DataStart,DataEnd,"Per=M","Days=A","Fill=P")</f>
        <v/>
      </c>
      <c r="BQA4" s="9">
        <f>BDH(BQA$1,"RETURN_COM_EQY",DataStart,DataEnd,"Per=M","Days=A","Fill=P")</f>
        <v/>
      </c>
      <c r="BQC4" s="9">
        <f>BDH(BQC$1,"RETURN_COM_EQY",DataStart,DataEnd,"Per=M","Days=A","Fill=P")</f>
        <v/>
      </c>
      <c r="BQE4" s="9">
        <f>BDH(BQE$1,"RETURN_COM_EQY",DataStart,DataEnd,"Per=M","Days=A","Fill=P")</f>
        <v/>
      </c>
      <c r="BQG4" s="9">
        <f>BDH(BQG$1,"RETURN_COM_EQY",DataStart,DataEnd,"Per=M","Days=A","Fill=P")</f>
        <v/>
      </c>
      <c r="BQI4" s="9">
        <f>BDH(BQI$1,"RETURN_COM_EQY",DataStart,DataEnd,"Per=M","Days=A","Fill=P")</f>
        <v/>
      </c>
      <c r="BQK4" s="9">
        <f>BDH(BQK$1,"RETURN_COM_EQY",DataStart,DataEnd,"Per=M","Days=A","Fill=P")</f>
        <v/>
      </c>
      <c r="BQM4" s="9">
        <f>BDH(BQM$1,"RETURN_COM_EQY",DataStart,DataEnd,"Per=M","Days=A","Fill=P")</f>
        <v/>
      </c>
      <c r="BQO4" s="9">
        <f>BDH(BQO$1,"RETURN_COM_EQY",DataStart,DataEnd,"Per=M","Days=A","Fill=P")</f>
        <v/>
      </c>
      <c r="BQQ4" s="9">
        <f>BDH(BQQ$1,"RETURN_COM_EQY",DataStart,DataEnd,"Per=M","Days=A","Fill=P")</f>
        <v/>
      </c>
      <c r="BQS4" s="9">
        <f>BDH(BQS$1,"RETURN_COM_EQY",DataStart,DataEnd,"Per=M","Days=A","Fill=P")</f>
        <v/>
      </c>
      <c r="BQU4" s="9">
        <f>BDH(BQU$1,"RETURN_COM_EQY",DataStart,DataEnd,"Per=M","Days=A","Fill=P")</f>
        <v/>
      </c>
      <c r="BQW4" s="9">
        <f>BDH(BQW$1,"RETURN_COM_EQY",DataStart,DataEnd,"Per=M","Days=A","Fill=P")</f>
        <v/>
      </c>
      <c r="BQY4" s="9">
        <f>BDH(BQY$1,"RETURN_COM_EQY",DataStart,DataEnd,"Per=M","Days=A","Fill=P")</f>
        <v/>
      </c>
      <c r="BRA4" s="9">
        <f>BDH(BRA$1,"RETURN_COM_EQY",DataStart,DataEnd,"Per=M","Days=A","Fill=P")</f>
        <v/>
      </c>
      <c r="BRC4" s="9">
        <f>BDH(BRC$1,"RETURN_COM_EQY",DataStart,DataEnd,"Per=M","Days=A","Fill=P")</f>
        <v/>
      </c>
      <c r="BRE4" s="9">
        <f>BDH(BRE$1,"RETURN_COM_EQY",DataStart,DataEnd,"Per=M","Days=A","Fill=P")</f>
        <v/>
      </c>
      <c r="BRG4" s="9">
        <f>BDH(BRG$1,"RETURN_COM_EQY",DataStart,DataEnd,"Per=M","Days=A","Fill=P")</f>
        <v/>
      </c>
      <c r="BRI4" s="9">
        <f>BDH(BRI$1,"RETURN_COM_EQY",DataStart,DataEnd,"Per=M","Days=A","Fill=P")</f>
        <v/>
      </c>
      <c r="BRK4" s="9">
        <f>BDH(BRK$1,"RETURN_COM_EQY",DataStart,DataEnd,"Per=M","Days=A","Fill=P")</f>
        <v/>
      </c>
      <c r="BRM4" s="9">
        <f>BDH(BRM$1,"RETURN_COM_EQY",DataStart,DataEnd,"Per=M","Days=A","Fill=P")</f>
        <v/>
      </c>
      <c r="BRO4" s="9">
        <f>BDH(BRO$1,"RETURN_COM_EQY",DataStart,DataEnd,"Per=M","Days=A","Fill=P")</f>
        <v/>
      </c>
      <c r="BRQ4" s="9">
        <f>BDH(BRQ$1,"RETURN_COM_EQY",DataStart,DataEnd,"Per=M","Days=A","Fill=P")</f>
        <v/>
      </c>
      <c r="BRS4" s="9">
        <f>BDH(BRS$1,"RETURN_COM_EQY",DataStart,DataEnd,"Per=M","Days=A","Fill=P")</f>
        <v/>
      </c>
      <c r="BRU4" s="9">
        <f>BDH(BRU$1,"RETURN_COM_EQY",DataStart,DataEnd,"Per=M","Days=A","Fill=P")</f>
        <v/>
      </c>
      <c r="BRW4" s="9">
        <f>BDH(BRW$1,"RETURN_COM_EQY",DataStart,DataEnd,"Per=M","Days=A","Fill=P")</f>
        <v/>
      </c>
      <c r="BRY4" s="9">
        <f>BDH(BRY$1,"RETURN_COM_EQY",DataStart,DataEnd,"Per=M","Days=A","Fill=P")</f>
        <v/>
      </c>
      <c r="BSA4" s="9">
        <f>BDH(BSA$1,"RETURN_COM_EQY",DataStart,DataEnd,"Per=M","Days=A","Fill=P")</f>
        <v/>
      </c>
      <c r="BSC4" s="9">
        <f>BDH(BSC$1,"RETURN_COM_EQY",DataStart,DataEnd,"Per=M","Days=A","Fill=P")</f>
        <v/>
      </c>
      <c r="BSE4" s="9">
        <f>BDH(BSE$1,"RETURN_COM_EQY",DataStart,DataEnd,"Per=M","Days=A","Fill=P")</f>
        <v/>
      </c>
      <c r="BSG4" s="9">
        <f>BDH(BSG$1,"RETURN_COM_EQY",DataStart,DataEnd,"Per=M","Days=A","Fill=P")</f>
        <v/>
      </c>
      <c r="BSI4" s="9">
        <f>BDH(BSI$1,"RETURN_COM_EQY",DataStart,DataEnd,"Per=M","Days=A","Fill=P")</f>
        <v/>
      </c>
      <c r="BSK4" s="9">
        <f>BDH(BSK$1,"RETURN_COM_EQY",DataStart,DataEnd,"Per=M","Days=A","Fill=P")</f>
        <v/>
      </c>
      <c r="BSM4" s="9">
        <f>BDH(BSM$1,"RETURN_COM_EQY",DataStart,DataEnd,"Per=M","Days=A","Fill=P")</f>
        <v/>
      </c>
      <c r="BSO4" s="9">
        <f>BDH(BSO$1,"RETURN_COM_EQY",DataStart,DataEnd,"Per=M","Days=A","Fill=P")</f>
        <v/>
      </c>
      <c r="BSQ4" s="9">
        <f>BDH(BSQ$1,"RETURN_COM_EQY",DataStart,DataEnd,"Per=M","Days=A","Fill=P")</f>
        <v/>
      </c>
      <c r="BSS4" s="9">
        <f>BDH(BSS$1,"RETURN_COM_EQY",DataStart,DataEnd,"Per=M","Days=A","Fill=P")</f>
        <v/>
      </c>
      <c r="BSU4" s="9">
        <f>BDH(BSU$1,"RETURN_COM_EQY",DataStart,DataEnd,"Per=M","Days=A","Fill=P")</f>
        <v/>
      </c>
      <c r="BSW4" s="9">
        <f>BDH(BSW$1,"RETURN_COM_EQY",DataStart,DataEnd,"Per=M","Days=A","Fill=P")</f>
        <v/>
      </c>
      <c r="BSY4" s="9">
        <f>BDH(BSY$1,"RETURN_COM_EQY",DataStart,DataEnd,"Per=M","Days=A","Fill=P")</f>
        <v/>
      </c>
      <c r="BTA4" s="9">
        <f>BDH(BTA$1,"RETURN_COM_EQY",DataStart,DataEnd,"Per=M","Days=A","Fill=P")</f>
        <v/>
      </c>
      <c r="BTC4" s="9">
        <f>BDH(BTC$1,"RETURN_COM_EQY",DataStart,DataEnd,"Per=M","Days=A","Fill=P")</f>
        <v/>
      </c>
      <c r="BTE4" s="9">
        <f>BDH(BTE$1,"RETURN_COM_EQY",DataStart,DataEnd,"Per=M","Days=A","Fill=P")</f>
        <v/>
      </c>
      <c r="BTG4" s="9">
        <f>BDH(BTG$1,"RETURN_COM_EQY",DataStart,DataEnd,"Per=M","Days=A","Fill=P")</f>
        <v/>
      </c>
      <c r="BTI4" s="9">
        <f>BDH(BTI$1,"RETURN_COM_EQY",DataStart,DataEnd,"Per=M","Days=A","Fill=P")</f>
        <v/>
      </c>
      <c r="BTK4" s="9">
        <f>BDH(BTK$1,"RETURN_COM_EQY",DataStart,DataEnd,"Per=M","Days=A","Fill=P")</f>
        <v/>
      </c>
      <c r="BTM4" s="9">
        <f>BDH(BTM$1,"RETURN_COM_EQY",DataStart,DataEnd,"Per=M","Days=A","Fill=P")</f>
        <v/>
      </c>
      <c r="BTO4" s="9">
        <f>BDH(BTO$1,"RETURN_COM_EQY",DataStart,DataEnd,"Per=M","Days=A","Fill=P")</f>
        <v/>
      </c>
      <c r="BTQ4" s="9">
        <f>BDH(BTQ$1,"RETURN_COM_EQY",DataStart,DataEnd,"Per=M","Days=A","Fill=P")</f>
        <v/>
      </c>
      <c r="BTS4" s="9">
        <f>BDH(BTS$1,"RETURN_COM_EQY",DataStart,DataEnd,"Per=M","Days=A","Fill=P")</f>
        <v/>
      </c>
      <c r="BTU4" s="9">
        <f>BDH(BTU$1,"RETURN_COM_EQY",DataStart,DataEnd,"Per=M","Days=A","Fill=P")</f>
        <v/>
      </c>
      <c r="BTW4" s="9">
        <f>BDH(BTW$1,"RETURN_COM_EQY",DataStart,DataEnd,"Per=M","Days=A","Fill=P")</f>
        <v/>
      </c>
      <c r="BTY4" s="9">
        <f>BDH(BTY$1,"RETURN_COM_EQY",DataStart,DataEnd,"Per=M","Days=A","Fill=P")</f>
        <v/>
      </c>
      <c r="BUA4" s="9">
        <f>BDH(BUA$1,"RETURN_COM_EQY",DataStart,DataEnd,"Per=M","Days=A","Fill=P")</f>
        <v/>
      </c>
      <c r="BUC4" s="9">
        <f>BDH(BUC$1,"RETURN_COM_EQY",DataStart,DataEnd,"Per=M","Days=A","Fill=P")</f>
        <v/>
      </c>
      <c r="BUE4" s="9">
        <f>BDH(BUE$1,"RETURN_COM_EQY",DataStart,DataEnd,"Per=M","Days=A","Fill=P")</f>
        <v/>
      </c>
      <c r="BUG4" s="9">
        <f>BDH(BUG$1,"RETURN_COM_EQY",DataStart,DataEnd,"Per=M","Days=A","Fill=P")</f>
        <v/>
      </c>
      <c r="BUI4" s="9">
        <f>BDH(BUI$1,"RETURN_COM_EQY",DataStart,DataEnd,"Per=M","Days=A","Fill=P")</f>
        <v/>
      </c>
      <c r="BUK4" s="9">
        <f>BDH(BUK$1,"RETURN_COM_EQY",DataStart,DataEnd,"Per=M","Days=A","Fill=P")</f>
        <v/>
      </c>
      <c r="BUM4" s="9">
        <f>BDH(BUM$1,"RETURN_COM_EQY",DataStart,DataEnd,"Per=M","Days=A","Fill=P")</f>
        <v/>
      </c>
      <c r="BUO4" s="9">
        <f>BDH(BUO$1,"RETURN_COM_EQY",DataStart,DataEnd,"Per=M","Days=A","Fill=P")</f>
        <v/>
      </c>
      <c r="BUQ4" s="9">
        <f>BDH(BUQ$1,"RETURN_COM_EQY",DataStart,DataEnd,"Per=M","Days=A","Fill=P")</f>
        <v/>
      </c>
      <c r="BUS4" s="9">
        <f>BDH(BUS$1,"RETURN_COM_EQY",DataStart,DataEnd,"Per=M","Days=A","Fill=P")</f>
        <v/>
      </c>
      <c r="BUU4" s="9">
        <f>BDH(BUU$1,"RETURN_COM_EQY",DataStart,DataEnd,"Per=M","Days=A","Fill=P")</f>
        <v/>
      </c>
      <c r="BUW4" s="9">
        <f>BDH(BUW$1,"RETURN_COM_EQY",DataStart,DataEnd,"Per=M","Days=A","Fill=P")</f>
        <v/>
      </c>
      <c r="BUY4" s="9">
        <f>BDH(BUY$1,"RETURN_COM_EQY",DataStart,DataEnd,"Per=M","Days=A","Fill=P")</f>
        <v/>
      </c>
      <c r="BVA4" s="9">
        <f>BDH(BVA$1,"RETURN_COM_EQY",DataStart,DataEnd,"Per=M","Days=A","Fill=P")</f>
        <v/>
      </c>
      <c r="BVC4" s="9">
        <f>BDH(BVC$1,"RETURN_COM_EQY",DataStart,DataEnd,"Per=M","Days=A","Fill=P")</f>
        <v/>
      </c>
      <c r="BVE4" s="9">
        <f>BDH(BVE$1,"RETURN_COM_EQY",DataStart,DataEnd,"Per=M","Days=A","Fill=P")</f>
        <v/>
      </c>
      <c r="BVG4" s="9">
        <f>BDH(BVG$1,"RETURN_COM_EQY",DataStart,DataEnd,"Per=M","Days=A","Fill=P")</f>
        <v/>
      </c>
      <c r="BVI4" s="9">
        <f>BDH(BVI$1,"RETURN_COM_EQY",DataStart,DataEnd,"Per=M","Days=A","Fill=P")</f>
        <v/>
      </c>
      <c r="BVK4" s="9">
        <f>BDH(BVK$1,"RETURN_COM_EQY",DataStart,DataEnd,"Per=M","Days=A","Fill=P")</f>
        <v/>
      </c>
      <c r="BVM4" s="9">
        <f>BDH(BVM$1,"RETURN_COM_EQY",DataStart,DataEnd,"Per=M","Days=A","Fill=P")</f>
        <v/>
      </c>
      <c r="BVO4" s="9">
        <f>BDH(BVO$1,"RETURN_COM_EQY",DataStart,DataEnd,"Per=M","Days=A","Fill=P")</f>
        <v/>
      </c>
      <c r="BVQ4" s="9">
        <f>BDH(BVQ$1,"RETURN_COM_EQY",DataStart,DataEnd,"Per=M","Days=A","Fill=P")</f>
        <v/>
      </c>
      <c r="BVS4" s="9">
        <f>BDH(BVS$1,"RETURN_COM_EQY",DataStart,DataEnd,"Per=M","Days=A","Fill=P")</f>
        <v/>
      </c>
      <c r="BVU4" s="9">
        <f>BDH(BVU$1,"RETURN_COM_EQY",DataStart,DataEnd,"Per=M","Days=A","Fill=P")</f>
        <v/>
      </c>
      <c r="BVW4" s="9">
        <f>BDH(BVW$1,"RETURN_COM_EQY",DataStart,DataEnd,"Per=M","Days=A","Fill=P")</f>
        <v/>
      </c>
      <c r="BVY4" s="9">
        <f>BDH(BVY$1,"RETURN_COM_EQY",DataStart,DataEnd,"Per=M","Days=A","Fill=P")</f>
        <v/>
      </c>
      <c r="BWA4" s="9">
        <f>BDH(BWA$1,"RETURN_COM_EQY",DataStart,DataEnd,"Per=M","Days=A","Fill=P")</f>
        <v/>
      </c>
      <c r="BWC4" s="9">
        <f>BDH(BWC$1,"RETURN_COM_EQY",DataStart,DataEnd,"Per=M","Days=A","Fill=P")</f>
        <v/>
      </c>
      <c r="BWE4" s="9">
        <f>BDH(BWE$1,"RETURN_COM_EQY",DataStart,DataEnd,"Per=M","Days=A","Fill=P")</f>
        <v/>
      </c>
      <c r="BWG4" s="9">
        <f>BDH(BWG$1,"RETURN_COM_EQY",DataStart,DataEnd,"Per=M","Days=A","Fill=P")</f>
        <v/>
      </c>
      <c r="BWI4" s="9">
        <f>BDH(BWI$1,"RETURN_COM_EQY",DataStart,DataEnd,"Per=M","Days=A","Fill=P")</f>
        <v/>
      </c>
      <c r="BWK4" s="9">
        <f>BDH(BWK$1,"RETURN_COM_EQY",DataStart,DataEnd,"Per=M","Days=A","Fill=P")</f>
        <v/>
      </c>
      <c r="BWM4" s="9">
        <f>BDH(BWM$1,"RETURN_COM_EQY",DataStart,DataEnd,"Per=M","Days=A","Fill=P")</f>
        <v/>
      </c>
      <c r="BWO4" s="9">
        <f>BDH(BWO$1,"RETURN_COM_EQY",DataStart,DataEnd,"Per=M","Days=A","Fill=P")</f>
        <v/>
      </c>
      <c r="BWQ4" s="9">
        <f>BDH(BWQ$1,"RETURN_COM_EQY",DataStart,DataEnd,"Per=M","Days=A","Fill=P")</f>
        <v/>
      </c>
      <c r="BWS4" s="9">
        <f>BDH(BWS$1,"RETURN_COM_EQY",DataStart,DataEnd,"Per=M","Days=A","Fill=P")</f>
        <v/>
      </c>
      <c r="BWU4" s="9">
        <f>BDH(BWU$1,"RETURN_COM_EQY",DataStart,DataEnd,"Per=M","Days=A","Fill=P")</f>
        <v/>
      </c>
      <c r="BWW4" s="9">
        <f>BDH(BWW$1,"RETURN_COM_EQY",DataStart,DataEnd,"Per=M","Days=A","Fill=P")</f>
        <v/>
      </c>
      <c r="BWY4" s="9">
        <f>BDH(BWY$1,"RETURN_COM_EQY",DataStart,DataEnd,"Per=M","Days=A","Fill=P")</f>
        <v/>
      </c>
      <c r="BXA4" s="9">
        <f>BDH(BXA$1,"RETURN_COM_EQY",DataStart,DataEnd,"Per=M","Days=A","Fill=P")</f>
        <v/>
      </c>
      <c r="BXC4" s="9">
        <f>BDH(BXC$1,"RETURN_COM_EQY",DataStart,DataEnd,"Per=M","Days=A","Fill=P")</f>
        <v/>
      </c>
      <c r="BXE4" s="9">
        <f>BDH(BXE$1,"RETURN_COM_EQY",DataStart,DataEnd,"Per=M","Days=A","Fill=P")</f>
        <v/>
      </c>
      <c r="BXG4" s="9">
        <f>BDH(BXG$1,"RETURN_COM_EQY",DataStart,DataEnd,"Per=M","Days=A","Fill=P")</f>
        <v/>
      </c>
      <c r="BXI4" s="9">
        <f>BDH(BXI$1,"RETURN_COM_EQY",DataStart,DataEnd,"Per=M","Days=A","Fill=P")</f>
        <v/>
      </c>
      <c r="BXK4" s="9">
        <f>BDH(BXK$1,"RETURN_COM_EQY",DataStart,DataEnd,"Per=M","Days=A","Fill=P")</f>
        <v/>
      </c>
      <c r="BXM4" s="9">
        <f>BDH(BXM$1,"RETURN_COM_EQY",DataStart,DataEnd,"Per=M","Days=A","Fill=P")</f>
        <v/>
      </c>
      <c r="BXO4" s="9">
        <f>BDH(BXO$1,"RETURN_COM_EQY",DataStart,DataEnd,"Per=M","Days=A","Fill=P")</f>
        <v/>
      </c>
      <c r="BXQ4" s="9">
        <f>BDH(BXQ$1,"RETURN_COM_EQY",DataStart,DataEnd,"Per=M","Days=A","Fill=P")</f>
        <v/>
      </c>
      <c r="BXS4" s="9">
        <f>BDH(BXS$1,"RETURN_COM_EQY",DataStart,DataEnd,"Per=M","Days=A","Fill=P")</f>
        <v/>
      </c>
      <c r="BXU4" s="9">
        <f>BDH(BXU$1,"RETURN_COM_EQY",DataStart,DataEnd,"Per=M","Days=A","Fill=P")</f>
        <v/>
      </c>
      <c r="BXW4" s="9">
        <f>BDH(BXW$1,"RETURN_COM_EQY",DataStart,DataEnd,"Per=M","Days=A","Fill=P")</f>
        <v/>
      </c>
      <c r="BXY4" s="9">
        <f>BDH(BXY$1,"RETURN_COM_EQY",DataStart,DataEnd,"Per=M","Days=A","Fill=P")</f>
        <v/>
      </c>
      <c r="BYA4" s="9">
        <f>BDH(BYA$1,"RETURN_COM_EQY",DataStart,DataEnd,"Per=M","Days=A","Fill=P")</f>
        <v/>
      </c>
      <c r="BYC4" s="9">
        <f>BDH(BYC$1,"RETURN_COM_EQY",DataStart,DataEnd,"Per=M","Days=A","Fill=P")</f>
        <v/>
      </c>
      <c r="BYE4" s="9">
        <f>BDH(BYE$1,"RETURN_COM_EQY",DataStart,DataEnd,"Per=M","Days=A","Fill=P")</f>
        <v/>
      </c>
      <c r="BYG4" s="9">
        <f>BDH(BYG$1,"RETURN_COM_EQY",DataStart,DataEnd,"Per=M","Days=A","Fill=P")</f>
        <v/>
      </c>
      <c r="BYI4" s="9">
        <f>BDH(BYI$1,"RETURN_COM_EQY",DataStart,DataEnd,"Per=M","Days=A","Fill=P")</f>
        <v/>
      </c>
      <c r="BYK4" s="9">
        <f>BDH(BYK$1,"RETURN_COM_EQY",DataStart,DataEnd,"Per=M","Days=A","Fill=P")</f>
        <v/>
      </c>
      <c r="BYM4" s="9">
        <f>BDH(BYM$1,"RETURN_COM_EQY",DataStart,DataEnd,"Per=M","Days=A","Fill=P")</f>
        <v/>
      </c>
      <c r="BYO4" s="9">
        <f>BDH(BYO$1,"RETURN_COM_EQY",DataStart,DataEnd,"Per=M","Days=A","Fill=P")</f>
        <v/>
      </c>
      <c r="BYQ4" s="9">
        <f>BDH(BYQ$1,"RETURN_COM_EQY",DataStart,DataEnd,"Per=M","Days=A","Fill=P")</f>
        <v/>
      </c>
      <c r="BYS4" s="9">
        <f>BDH(BYS$1,"RETURN_COM_EQY",DataStart,DataEnd,"Per=M","Days=A","Fill=P")</f>
        <v/>
      </c>
      <c r="BYU4" s="9">
        <f>BDH(BYU$1,"RETURN_COM_EQY",DataStart,DataEnd,"Per=M","Days=A","Fill=P")</f>
        <v/>
      </c>
      <c r="BYW4" s="9">
        <f>BDH(BYW$1,"RETURN_COM_EQY",DataStart,DataEnd,"Per=M","Days=A","Fill=P")</f>
        <v/>
      </c>
      <c r="BYY4" s="9">
        <f>BDH(BYY$1,"RETURN_COM_EQY",DataStart,DataEnd,"Per=M","Days=A","Fill=P")</f>
        <v/>
      </c>
      <c r="BZA4" s="9">
        <f>BDH(BZA$1,"RETURN_COM_EQY",DataStart,DataEnd,"Per=M","Days=A","Fill=P")</f>
        <v/>
      </c>
      <c r="BZC4" s="9">
        <f>BDH(BZC$1,"RETURN_COM_EQY",DataStart,DataEnd,"Per=M","Days=A","Fill=P")</f>
        <v/>
      </c>
      <c r="BZE4" s="9">
        <f>BDH(BZE$1,"RETURN_COM_EQY",DataStart,DataEnd,"Per=M","Days=A","Fill=P")</f>
        <v/>
      </c>
      <c r="BZG4" s="9">
        <f>BDH(BZG$1,"RETURN_COM_EQY",DataStart,DataEnd,"Per=M","Days=A","Fill=P")</f>
        <v/>
      </c>
      <c r="BZI4" s="9">
        <f>BDH(BZI$1,"RETURN_COM_EQY",DataStart,DataEnd,"Per=M","Days=A","Fill=P")</f>
        <v/>
      </c>
      <c r="BZK4" s="9">
        <f>BDH(BZK$1,"RETURN_COM_EQY",DataStart,DataEnd,"Per=M","Days=A","Fill=P")</f>
        <v/>
      </c>
      <c r="BZM4" s="9">
        <f>BDH(BZM$1,"RETURN_COM_EQY",DataStart,DataEnd,"Per=M","Days=A","Fill=P")</f>
        <v/>
      </c>
      <c r="BZO4" s="9">
        <f>BDH(BZO$1,"RETURN_COM_EQY",DataStart,DataEnd,"Per=M","Days=A","Fill=P")</f>
        <v/>
      </c>
      <c r="BZQ4" s="9">
        <f>BDH(BZQ$1,"RETURN_COM_EQY",DataStart,DataEnd,"Per=M","Days=A","Fill=P")</f>
        <v/>
      </c>
      <c r="BZS4" s="9">
        <f>BDH(BZS$1,"RETURN_COM_EQY",DataStart,DataEnd,"Per=M","Days=A","Fill=P")</f>
        <v/>
      </c>
      <c r="BZU4" s="9">
        <f>BDH(BZU$1,"RETURN_COM_EQY",DataStart,DataEnd,"Per=M","Days=A","Fill=P")</f>
        <v/>
      </c>
      <c r="BZW4" s="9">
        <f>BDH(BZW$1,"RETURN_COM_EQY",DataStart,DataEnd,"Per=M","Days=A","Fill=P")</f>
        <v/>
      </c>
      <c r="BZY4" s="9">
        <f>BDH(BZY$1,"RETURN_COM_EQY",DataStart,DataEnd,"Per=M","Days=A","Fill=P")</f>
        <v/>
      </c>
      <c r="CAA4" s="9">
        <f>BDH(CAA$1,"RETURN_COM_EQY",DataStart,DataEnd,"Per=M","Days=A","Fill=P")</f>
        <v/>
      </c>
      <c r="CAC4" s="9">
        <f>BDH(CAC$1,"RETURN_COM_EQY",DataStart,DataEnd,"Per=M","Days=A","Fill=P")</f>
        <v/>
      </c>
      <c r="CAE4" s="9">
        <f>BDH(CAE$1,"RETURN_COM_EQY",DataStart,DataEnd,"Per=M","Days=A","Fill=P")</f>
        <v/>
      </c>
      <c r="CAG4" s="9">
        <f>BDH(CAG$1,"RETURN_COM_EQY",DataStart,DataEnd,"Per=M","Days=A","Fill=P")</f>
        <v/>
      </c>
      <c r="CAI4" s="9">
        <f>BDH(CAI$1,"RETURN_COM_EQY",DataStart,DataEnd,"Per=M","Days=A","Fill=P")</f>
        <v/>
      </c>
      <c r="CAK4" s="9">
        <f>BDH(CAK$1,"RETURN_COM_EQY",DataStart,DataEnd,"Per=M","Days=A","Fill=P")</f>
        <v/>
      </c>
      <c r="CAM4" s="9">
        <f>BDH(CAM$1,"RETURN_COM_EQY",DataStart,DataEnd,"Per=M","Days=A","Fill=P")</f>
        <v/>
      </c>
      <c r="CAO4" s="9">
        <f>BDH(CAO$1,"RETURN_COM_EQY",DataStart,DataEnd,"Per=M","Days=A","Fill=P")</f>
        <v/>
      </c>
      <c r="CAQ4" s="9">
        <f>BDH(CAQ$1,"RETURN_COM_EQY",DataStart,DataEnd,"Per=M","Days=A","Fill=P")</f>
        <v/>
      </c>
      <c r="CAS4" s="9">
        <f>BDH(CAS$1,"RETURN_COM_EQY",DataStart,DataEnd,"Per=M","Days=A","Fill=P")</f>
        <v/>
      </c>
      <c r="CAU4" s="9">
        <f>BDH(CAU$1,"RETURN_COM_EQY",DataStart,DataEnd,"Per=M","Days=A","Fill=P")</f>
        <v/>
      </c>
      <c r="CAW4" s="9">
        <f>BDH(CAW$1,"RETURN_COM_EQY",DataStart,DataEnd,"Per=M","Days=A","Fill=P")</f>
        <v/>
      </c>
      <c r="CAY4" s="9">
        <f>BDH(CAY$1,"RETURN_COM_EQY",DataStart,DataEnd,"Per=M","Days=A","Fill=P")</f>
        <v/>
      </c>
      <c r="CBA4" s="9">
        <f>BDH(CBA$1,"RETURN_COM_EQY",DataStart,DataEnd,"Per=M","Days=A","Fill=P")</f>
        <v/>
      </c>
      <c r="CBC4" s="9">
        <f>BDH(CBC$1,"RETURN_COM_EQY",DataStart,DataEnd,"Per=M","Days=A","Fill=P")</f>
        <v/>
      </c>
      <c r="CBE4" s="9">
        <f>BDH(CBE$1,"RETURN_COM_EQY",DataStart,DataEnd,"Per=M","Days=A","Fill=P")</f>
        <v/>
      </c>
      <c r="CBG4" s="9">
        <f>BDH(CBG$1,"RETURN_COM_EQY",DataStart,DataEnd,"Per=M","Days=A","Fill=P")</f>
        <v/>
      </c>
      <c r="CBI4" s="9">
        <f>BDH(CBI$1,"RETURN_COM_EQY",DataStart,DataEnd,"Per=M","Days=A","Fill=P")</f>
        <v/>
      </c>
      <c r="CBK4" s="9">
        <f>BDH(CBK$1,"RETURN_COM_EQY",DataStart,DataEnd,"Per=M","Days=A","Fill=P")</f>
        <v/>
      </c>
      <c r="CBM4" s="9">
        <f>BDH(CBM$1,"RETURN_COM_EQY",DataStart,DataEnd,"Per=M","Days=A","Fill=P")</f>
        <v/>
      </c>
      <c r="CBO4" s="9">
        <f>BDH(CBO$1,"RETURN_COM_EQY",DataStart,DataEnd,"Per=M","Days=A","Fill=P")</f>
        <v/>
      </c>
      <c r="CBQ4" s="9">
        <f>BDH(CBQ$1,"RETURN_COM_EQY",DataStart,DataEnd,"Per=M","Days=A","Fill=P")</f>
        <v/>
      </c>
      <c r="CBS4" s="9">
        <f>BDH(CBS$1,"RETURN_COM_EQY",DataStart,DataEnd,"Per=M","Days=A","Fill=P")</f>
        <v/>
      </c>
      <c r="CBU4" s="9">
        <f>BDH(CBU$1,"RETURN_COM_EQY",DataStart,DataEnd,"Per=M","Days=A","Fill=P")</f>
        <v/>
      </c>
      <c r="CBW4" s="9">
        <f>BDH(CBW$1,"RETURN_COM_EQY",DataStart,DataEnd,"Per=M","Days=A","Fill=P")</f>
        <v/>
      </c>
      <c r="CBY4" s="9">
        <f>BDH(CBY$1,"RETURN_COM_EQY",DataStart,DataEnd,"Per=M","Days=A","Fill=P")</f>
        <v/>
      </c>
      <c r="CCA4" s="9">
        <f>BDH(CCA$1,"RETURN_COM_EQY",DataStart,DataEnd,"Per=M","Days=A","Fill=P")</f>
        <v/>
      </c>
      <c r="CCC4" s="9">
        <f>BDH(CCC$1,"RETURN_COM_EQY",DataStart,DataEnd,"Per=M","Days=A","Fill=P")</f>
        <v/>
      </c>
      <c r="CCE4" s="9">
        <f>BDH(CCE$1,"RETURN_COM_EQY",DataStart,DataEnd,"Per=M","Days=A","Fill=P")</f>
        <v/>
      </c>
      <c r="CCG4" s="9">
        <f>BDH(CCG$1,"RETURN_COM_EQY",DataStart,DataEnd,"Per=M","Days=A","Fill=P")</f>
        <v/>
      </c>
      <c r="CCI4" s="9">
        <f>BDH(CCI$1,"RETURN_COM_EQY",DataStart,DataEnd,"Per=M","Days=A","Fill=P")</f>
        <v/>
      </c>
      <c r="CCK4" s="9">
        <f>BDH(CCK$1,"RETURN_COM_EQY",DataStart,DataEnd,"Per=M","Days=A","Fill=P")</f>
        <v/>
      </c>
      <c r="CCM4" s="9">
        <f>BDH(CCM$1,"RETURN_COM_EQY",DataStart,DataEnd,"Per=M","Days=A","Fill=P")</f>
        <v/>
      </c>
      <c r="CCO4" s="9">
        <f>BDH(CCO$1,"RETURN_COM_EQY",DataStart,DataEnd,"Per=M","Days=A","Fill=P")</f>
        <v/>
      </c>
      <c r="CCQ4" s="9">
        <f>BDH(CCQ$1,"RETURN_COM_EQY",DataStart,DataEnd,"Per=M","Days=A","Fill=P")</f>
        <v/>
      </c>
      <c r="CCS4" s="9">
        <f>BDH(CCS$1,"RETURN_COM_EQY",DataStart,DataEnd,"Per=M","Days=A","Fill=P")</f>
        <v/>
      </c>
      <c r="CCU4" s="9">
        <f>BDH(CCU$1,"RETURN_COM_EQY",DataStart,DataEnd,"Per=M","Days=A","Fill=P")</f>
        <v/>
      </c>
      <c r="CCW4" s="9">
        <f>BDH(CCW$1,"RETURN_COM_EQY",DataStart,DataEnd,"Per=M","Days=A","Fill=P")</f>
        <v/>
      </c>
      <c r="CCY4" s="9">
        <f>BDH(CCY$1,"RETURN_COM_EQY",DataStart,DataEnd,"Per=M","Days=A","Fill=P")</f>
        <v/>
      </c>
      <c r="CDA4" s="9">
        <f>BDH(CDA$1,"RETURN_COM_EQY",DataStart,DataEnd,"Per=M","Days=A","Fill=P")</f>
        <v/>
      </c>
      <c r="CDC4" s="9">
        <f>BDH(CDC$1,"RETURN_COM_EQY",DataStart,DataEnd,"Per=M","Days=A","Fill=P")</f>
        <v/>
      </c>
      <c r="CDE4" s="9">
        <f>BDH(CDE$1,"RETURN_COM_EQY",DataStart,DataEnd,"Per=M","Days=A","Fill=P")</f>
        <v/>
      </c>
      <c r="CDG4" s="9">
        <f>BDH(CDG$1,"RETURN_COM_EQY",DataStart,DataEnd,"Per=M","Days=A","Fill=P")</f>
        <v/>
      </c>
      <c r="CDI4" s="9">
        <f>BDH(CDI$1,"RETURN_COM_EQY",DataStart,DataEnd,"Per=M","Days=A","Fill=P")</f>
        <v/>
      </c>
      <c r="CDK4" s="9">
        <f>BDH(CDK$1,"RETURN_COM_EQY",DataStart,DataEnd,"Per=M","Days=A","Fill=P")</f>
        <v/>
      </c>
      <c r="CDM4" s="9">
        <f>BDH(CDM$1,"RETURN_COM_EQY",DataStart,DataEnd,"Per=M","Days=A","Fill=P")</f>
        <v/>
      </c>
      <c r="CDO4" s="9">
        <f>BDH(CDO$1,"RETURN_COM_EQY",DataStart,DataEnd,"Per=M","Days=A","Fill=P")</f>
        <v/>
      </c>
      <c r="CDQ4" s="9">
        <f>BDH(CDQ$1,"RETURN_COM_EQY",DataStart,DataEnd,"Per=M","Days=A","Fill=P")</f>
        <v/>
      </c>
      <c r="CDS4" s="9">
        <f>BDH(CDS$1,"RETURN_COM_EQY",DataStart,DataEnd,"Per=M","Days=A","Fill=P")</f>
        <v/>
      </c>
      <c r="CDU4" s="9">
        <f>BDH(CDU$1,"RETURN_COM_EQY",DataStart,DataEnd,"Per=M","Days=A","Fill=P")</f>
        <v/>
      </c>
      <c r="CDW4" s="9">
        <f>BDH(CDW$1,"RETURN_COM_EQY",DataStart,DataEnd,"Per=M","Days=A","Fill=P")</f>
        <v/>
      </c>
      <c r="CDY4" s="9">
        <f>BDH(CDY$1,"RETURN_COM_EQY",DataStart,DataEnd,"Per=M","Days=A","Fill=P")</f>
        <v/>
      </c>
      <c r="CEA4" s="9">
        <f>BDH(CEA$1,"RETURN_COM_EQY",DataStart,DataEnd,"Per=M","Days=A","Fill=P")</f>
        <v/>
      </c>
      <c r="CEC4" s="9">
        <f>BDH(CEC$1,"RETURN_COM_EQY",DataStart,DataEnd,"Per=M","Days=A","Fill=P")</f>
        <v/>
      </c>
      <c r="CEE4" s="9">
        <f>BDH(CEE$1,"RETURN_COM_EQY",DataStart,DataEnd,"Per=M","Days=A","Fill=P")</f>
        <v/>
      </c>
      <c r="CEG4" s="9">
        <f>BDH(CEG$1,"RETURN_COM_EQY",DataStart,DataEnd,"Per=M","Days=A","Fill=P")</f>
        <v/>
      </c>
      <c r="CEI4" s="9">
        <f>BDH(CEI$1,"RETURN_COM_EQY",DataStart,DataEnd,"Per=M","Days=A","Fill=P")</f>
        <v/>
      </c>
      <c r="CEK4" s="9">
        <f>BDH(CEK$1,"RETURN_COM_EQY",DataStart,DataEnd,"Per=M","Days=A","Fill=P")</f>
        <v/>
      </c>
      <c r="CEM4" s="9">
        <f>BDH(CEM$1,"RETURN_COM_EQY",DataStart,DataEnd,"Per=M","Days=A","Fill=P")</f>
        <v/>
      </c>
      <c r="CEO4" s="9">
        <f>BDH(CEO$1,"RETURN_COM_EQY",DataStart,DataEnd,"Per=M","Days=A","Fill=P")</f>
        <v/>
      </c>
      <c r="CEQ4" s="9">
        <f>BDH(CEQ$1,"RETURN_COM_EQY",DataStart,DataEnd,"Per=M","Days=A","Fill=P")</f>
        <v/>
      </c>
      <c r="CES4" s="9">
        <f>BDH(CES$1,"RETURN_COM_EQY",DataStart,DataEnd,"Per=M","Days=A","Fill=P")</f>
        <v/>
      </c>
      <c r="CEU4" s="9">
        <f>BDH(CEU$1,"RETURN_COM_EQY",DataStart,DataEnd,"Per=M","Days=A","Fill=P")</f>
        <v/>
      </c>
      <c r="CEW4" s="9">
        <f>BDH(CEW$1,"RETURN_COM_EQY",DataStart,DataEnd,"Per=M","Days=A","Fill=P")</f>
        <v/>
      </c>
      <c r="CEY4" s="9">
        <f>BDH(CEY$1,"RETURN_COM_EQY",DataStart,DataEnd,"Per=M","Days=A","Fill=P")</f>
        <v/>
      </c>
      <c r="CFA4" s="9">
        <f>BDH(CFA$1,"RETURN_COM_EQY",DataStart,DataEnd,"Per=M","Days=A","Fill=P")</f>
        <v/>
      </c>
      <c r="CFC4" s="9">
        <f>BDH(CFC$1,"RETURN_COM_EQY",DataStart,DataEnd,"Per=M","Days=A","Fill=P")</f>
        <v/>
      </c>
      <c r="CFE4" s="9">
        <f>BDH(CFE$1,"RETURN_COM_EQY",DataStart,DataEnd,"Per=M","Days=A","Fill=P")</f>
        <v/>
      </c>
      <c r="CFG4" s="9">
        <f>BDH(CFG$1,"RETURN_COM_EQY",DataStart,DataEnd,"Per=M","Days=A","Fill=P")</f>
        <v/>
      </c>
      <c r="CFI4" s="9">
        <f>BDH(CFI$1,"RETURN_COM_EQY",DataStart,DataEnd,"Per=M","Days=A","Fill=P")</f>
        <v/>
      </c>
      <c r="CFK4" s="9">
        <f>BDH(CFK$1,"RETURN_COM_EQY",DataStart,DataEnd,"Per=M","Days=A","Fill=P")</f>
        <v/>
      </c>
      <c r="CFM4" s="9">
        <f>BDH(CFM$1,"RETURN_COM_EQY",DataStart,DataEnd,"Per=M","Days=A","Fill=P")</f>
        <v/>
      </c>
      <c r="CFO4" s="9">
        <f>BDH(CFO$1,"RETURN_COM_EQY",DataStart,DataEnd,"Per=M","Days=A","Fill=P")</f>
        <v/>
      </c>
      <c r="CFQ4" s="9">
        <f>BDH(CFQ$1,"RETURN_COM_EQY",DataStart,DataEnd,"Per=M","Days=A","Fill=P")</f>
        <v/>
      </c>
      <c r="CFS4" s="9">
        <f>BDH(CFS$1,"RETURN_COM_EQY",DataStart,DataEnd,"Per=M","Days=A","Fill=P")</f>
        <v/>
      </c>
      <c r="CFU4" s="9">
        <f>BDH(CFU$1,"RETURN_COM_EQY",DataStart,DataEnd,"Per=M","Days=A","Fill=P")</f>
        <v/>
      </c>
      <c r="CFW4" s="9">
        <f>BDH(CFW$1,"RETURN_COM_EQY",DataStart,DataEnd,"Per=M","Days=A","Fill=P")</f>
        <v/>
      </c>
      <c r="CFY4" s="9">
        <f>BDH(CFY$1,"RETURN_COM_EQY",DataStart,DataEnd,"Per=M","Days=A","Fill=P")</f>
        <v/>
      </c>
      <c r="CGA4" s="9">
        <f>BDH(CGA$1,"RETURN_COM_EQY",DataStart,DataEnd,"Per=M","Days=A","Fill=P")</f>
        <v/>
      </c>
      <c r="CGC4" s="9">
        <f>BDH(CGC$1,"RETURN_COM_EQY",DataStart,DataEnd,"Per=M","Days=A","Fill=P")</f>
        <v/>
      </c>
      <c r="CGE4" s="9">
        <f>BDH(CGE$1,"RETURN_COM_EQY",DataStart,DataEnd,"Per=M","Days=A","Fill=P")</f>
        <v/>
      </c>
      <c r="CGG4" s="9">
        <f>BDH(CGG$1,"RETURN_COM_EQY",DataStart,DataEnd,"Per=M","Days=A","Fill=P")</f>
        <v/>
      </c>
      <c r="CGI4" s="9">
        <f>BDH(CGI$1,"RETURN_COM_EQY",DataStart,DataEnd,"Per=M","Days=A","Fill=P")</f>
        <v/>
      </c>
      <c r="CGK4" s="9">
        <f>BDH(CGK$1,"RETURN_COM_EQY",DataStart,DataEnd,"Per=M","Days=A","Fill=P")</f>
        <v/>
      </c>
      <c r="CGM4" s="9">
        <f>BDH(CGM$1,"RETURN_COM_EQY",DataStart,DataEnd,"Per=M","Days=A","Fill=P")</f>
        <v/>
      </c>
      <c r="CGO4" s="9">
        <f>BDH(CGO$1,"RETURN_COM_EQY",DataStart,DataEnd,"Per=M","Days=A","Fill=P")</f>
        <v/>
      </c>
      <c r="CGQ4" s="9">
        <f>BDH(CGQ$1,"RETURN_COM_EQY",DataStart,DataEnd,"Per=M","Days=A","Fill=P")</f>
        <v/>
      </c>
      <c r="CGS4" s="9">
        <f>BDH(CGS$1,"RETURN_COM_EQY",DataStart,DataEnd,"Per=M","Days=A","Fill=P")</f>
        <v/>
      </c>
      <c r="CGU4" s="9">
        <f>BDH(CGU$1,"RETURN_COM_EQY",DataStart,DataEnd,"Per=M","Days=A","Fill=P")</f>
        <v/>
      </c>
      <c r="CGW4" s="9">
        <f>BDH(CGW$1,"RETURN_COM_EQY",DataStart,DataEnd,"Per=M","Days=A","Fill=P")</f>
        <v/>
      </c>
      <c r="CGY4" s="9">
        <f>BDH(CGY$1,"RETURN_COM_EQY",DataStart,DataEnd,"Per=M","Days=A","Fill=P")</f>
        <v/>
      </c>
      <c r="CHA4" s="9">
        <f>BDH(CHA$1,"RETURN_COM_EQY",DataStart,DataEnd,"Per=M","Days=A","Fill=P")</f>
        <v/>
      </c>
      <c r="CHC4" s="9">
        <f>BDH(CHC$1,"RETURN_COM_EQY",DataStart,DataEnd,"Per=M","Days=A","Fill=P")</f>
        <v/>
      </c>
      <c r="CHE4" s="9">
        <f>BDH(CHE$1,"RETURN_COM_EQY",DataStart,DataEnd,"Per=M","Days=A","Fill=P")</f>
        <v/>
      </c>
      <c r="CHG4" s="9">
        <f>BDH(CHG$1,"RETURN_COM_EQY",DataStart,DataEnd,"Per=M","Days=A","Fill=P")</f>
        <v/>
      </c>
      <c r="CHI4" s="9">
        <f>BDH(CHI$1,"RETURN_COM_EQY",DataStart,DataEnd,"Per=M","Days=A","Fill=P")</f>
        <v/>
      </c>
      <c r="CHK4" s="9">
        <f>BDH(CHK$1,"RETURN_COM_EQY",DataStart,DataEnd,"Per=M","Days=A","Fill=P")</f>
        <v/>
      </c>
      <c r="CHM4" s="9">
        <f>BDH(CHM$1,"RETURN_COM_EQY",DataStart,DataEnd,"Per=M","Days=A","Fill=P")</f>
        <v/>
      </c>
      <c r="CHO4" s="9">
        <f>BDH(CHO$1,"RETURN_COM_EQY",DataStart,DataEnd,"Per=M","Days=A","Fill=P")</f>
        <v/>
      </c>
      <c r="CHQ4" s="9">
        <f>BDH(CHQ$1,"RETURN_COM_EQY",DataStart,DataEnd,"Per=M","Days=A","Fill=P")</f>
        <v/>
      </c>
      <c r="CHS4" s="9">
        <f>BDH(CHS$1,"RETURN_COM_EQY",DataStart,DataEnd,"Per=M","Days=A","Fill=P")</f>
        <v/>
      </c>
      <c r="CHU4" s="9">
        <f>BDH(CHU$1,"RETURN_COM_EQY",DataStart,DataEnd,"Per=M","Days=A","Fill=P")</f>
        <v/>
      </c>
      <c r="CHW4" s="9">
        <f>BDH(CHW$1,"RETURN_COM_EQY",DataStart,DataEnd,"Per=M","Days=A","Fill=P")</f>
        <v/>
      </c>
      <c r="CHY4" s="9">
        <f>BDH(CHY$1,"RETURN_COM_EQY",DataStart,DataEnd,"Per=M","Days=A","Fill=P")</f>
        <v/>
      </c>
      <c r="CIA4" s="9">
        <f>BDH(CIA$1,"RETURN_COM_EQY",DataStart,DataEnd,"Per=M","Days=A","Fill=P")</f>
        <v/>
      </c>
      <c r="CIC4" s="9">
        <f>BDH(CIC$1,"RETURN_COM_EQY",DataStart,DataEnd,"Per=M","Days=A","Fill=P")</f>
        <v/>
      </c>
      <c r="CIE4" s="9">
        <f>BDH(CIE$1,"RETURN_COM_EQY",DataStart,DataEnd,"Per=M","Days=A","Fill=P")</f>
        <v/>
      </c>
      <c r="CIG4" s="9">
        <f>BDH(CIG$1,"RETURN_COM_EQY",DataStart,DataEnd,"Per=M","Days=A","Fill=P")</f>
        <v/>
      </c>
      <c r="CII4" s="9">
        <f>BDH(CII$1,"RETURN_COM_EQY",DataStart,DataEnd,"Per=M","Days=A","Fill=P")</f>
        <v/>
      </c>
      <c r="CIK4" s="9">
        <f>BDH(CIK$1,"RETURN_COM_EQY",DataStart,DataEnd,"Per=M","Days=A","Fill=P")</f>
        <v/>
      </c>
      <c r="CIM4" s="9">
        <f>BDH(CIM$1,"RETURN_COM_EQY",DataStart,DataEnd,"Per=M","Days=A","Fill=P")</f>
        <v/>
      </c>
      <c r="CIO4" s="9">
        <f>BDH(CIO$1,"RETURN_COM_EQY",DataStart,DataEnd,"Per=M","Days=A","Fill=P")</f>
        <v/>
      </c>
      <c r="CIQ4" s="9">
        <f>BDH(CIQ$1,"RETURN_COM_EQY",DataStart,DataEnd,"Per=M","Days=A","Fill=P")</f>
        <v/>
      </c>
      <c r="CIS4" s="9">
        <f>BDH(CIS$1,"RETURN_COM_EQY",DataStart,DataEnd,"Per=M","Days=A","Fill=P")</f>
        <v/>
      </c>
      <c r="CIU4" s="9">
        <f>BDH(CIU$1,"RETURN_COM_EQY",DataStart,DataEnd,"Per=M","Days=A","Fill=P")</f>
        <v/>
      </c>
      <c r="CIW4" s="9">
        <f>BDH(CIW$1,"RETURN_COM_EQY",DataStart,DataEnd,"Per=M","Days=A","Fill=P")</f>
        <v/>
      </c>
      <c r="CIY4" s="9">
        <f>BDH(CIY$1,"RETURN_COM_EQY",DataStart,DataEnd,"Per=M","Days=A","Fill=P")</f>
        <v/>
      </c>
      <c r="CJA4" s="9">
        <f>BDH(CJA$1,"RETURN_COM_EQY",DataStart,DataEnd,"Per=M","Days=A","Fill=P")</f>
        <v/>
      </c>
      <c r="CJC4" s="9">
        <f>BDH(CJC$1,"RETURN_COM_EQY",DataStart,DataEnd,"Per=M","Days=A","Fill=P")</f>
        <v/>
      </c>
      <c r="CJE4" s="9">
        <f>BDH(CJE$1,"RETURN_COM_EQY",DataStart,DataEnd,"Per=M","Days=A","Fill=P")</f>
        <v/>
      </c>
      <c r="CJG4" s="9">
        <f>BDH(CJG$1,"RETURN_COM_EQY",DataStart,DataEnd,"Per=M","Days=A","Fill=P")</f>
        <v/>
      </c>
      <c r="CJI4" s="9">
        <f>BDH(CJI$1,"RETURN_COM_EQY",DataStart,DataEnd,"Per=M","Days=A","Fill=P")</f>
        <v/>
      </c>
      <c r="CJK4" s="9">
        <f>BDH(CJK$1,"RETURN_COM_EQY",DataStart,DataEnd,"Per=M","Days=A","Fill=P")</f>
        <v/>
      </c>
      <c r="CJM4" s="9">
        <f>BDH(CJM$1,"RETURN_COM_EQY",DataStart,DataEnd,"Per=M","Days=A","Fill=P")</f>
        <v/>
      </c>
      <c r="CJO4" s="9">
        <f>BDH(CJO$1,"RETURN_COM_EQY",DataStart,DataEnd,"Per=M","Days=A","Fill=P")</f>
        <v/>
      </c>
      <c r="CJQ4" s="9">
        <f>BDH(CJQ$1,"RETURN_COM_EQY",DataStart,DataEnd,"Per=M","Days=A","Fill=P")</f>
        <v/>
      </c>
      <c r="CJS4" s="9">
        <f>BDH(CJS$1,"RETURN_COM_EQY",DataStart,DataEnd,"Per=M","Days=A","Fill=P")</f>
        <v/>
      </c>
      <c r="CJU4" s="9">
        <f>BDH(CJU$1,"RETURN_COM_EQY",DataStart,DataEnd,"Per=M","Days=A","Fill=P")</f>
        <v/>
      </c>
      <c r="CJW4" s="9">
        <f>BDH(CJW$1,"RETURN_COM_EQY",DataStart,DataEnd,"Per=M","Days=A","Fill=P")</f>
        <v/>
      </c>
      <c r="CJY4" s="9">
        <f>BDH(CJY$1,"RETURN_COM_EQY",DataStart,DataEnd,"Per=M","Days=A","Fill=P")</f>
        <v/>
      </c>
      <c r="CKA4" s="9">
        <f>BDH(CKA$1,"RETURN_COM_EQY",DataStart,DataEnd,"Per=M","Days=A","Fill=P")</f>
        <v/>
      </c>
      <c r="CKC4" s="9">
        <f>BDH(CKC$1,"RETURN_COM_EQY",DataStart,DataEnd,"Per=M","Days=A","Fill=P")</f>
        <v/>
      </c>
      <c r="CKE4" s="9">
        <f>BDH(CKE$1,"RETURN_COM_EQY",DataStart,DataEnd,"Per=M","Days=A","Fill=P")</f>
        <v/>
      </c>
      <c r="CKG4" s="9">
        <f>BDH(CKG$1,"RETURN_COM_EQY",DataStart,DataEnd,"Per=M","Days=A","Fill=P")</f>
        <v/>
      </c>
      <c r="CKI4" s="9">
        <f>BDH(CKI$1,"RETURN_COM_EQY",DataStart,DataEnd,"Per=M","Days=A","Fill=P")</f>
        <v/>
      </c>
      <c r="CKK4" s="9">
        <f>BDH(CKK$1,"RETURN_COM_EQY",DataStart,DataEnd,"Per=M","Days=A","Fill=P")</f>
        <v/>
      </c>
      <c r="CKM4" s="9">
        <f>BDH(CKM$1,"RETURN_COM_EQY",DataStart,DataEnd,"Per=M","Days=A","Fill=P")</f>
        <v/>
      </c>
      <c r="CKO4" s="9">
        <f>BDH(CKO$1,"RETURN_COM_EQY",DataStart,DataEnd,"Per=M","Days=A","Fill=P")</f>
        <v/>
      </c>
      <c r="CKQ4" s="9">
        <f>BDH(CKQ$1,"RETURN_COM_EQY",DataStart,DataEnd,"Per=M","Days=A","Fill=P")</f>
        <v/>
      </c>
      <c r="CKS4" s="9">
        <f>BDH(CKS$1,"RETURN_COM_EQY",DataStart,DataEnd,"Per=M","Days=A","Fill=P")</f>
        <v/>
      </c>
      <c r="CKU4" s="9">
        <f>BDH(CKU$1,"RETURN_COM_EQY",DataStart,DataEnd,"Per=M","Days=A","Fill=P")</f>
        <v/>
      </c>
      <c r="CKW4" s="9">
        <f>BDH(CKW$1,"RETURN_COM_EQY",DataStart,DataEnd,"Per=M","Days=A","Fill=P")</f>
        <v/>
      </c>
      <c r="CKY4" s="9">
        <f>BDH(CKY$1,"RETURN_COM_EQY",DataStart,DataEnd,"Per=M","Days=A","Fill=P")</f>
        <v/>
      </c>
      <c r="CLA4" s="9">
        <f>BDH(CLA$1,"RETURN_COM_EQY",DataStart,DataEnd,"Per=M","Days=A","Fill=P")</f>
        <v/>
      </c>
      <c r="CLC4" s="9">
        <f>BDH(CLC$1,"RETURN_COM_EQY",DataStart,DataEnd,"Per=M","Days=A","Fill=P")</f>
        <v/>
      </c>
      <c r="CLE4" s="9">
        <f>BDH(CLE$1,"RETURN_COM_EQY",DataStart,DataEnd,"Per=M","Days=A","Fill=P")</f>
        <v/>
      </c>
      <c r="CLG4" s="9">
        <f>BDH(CLG$1,"RETURN_COM_EQY",DataStart,DataEnd,"Per=M","Days=A","Fill=P")</f>
        <v/>
      </c>
      <c r="CLI4" s="9">
        <f>BDH(CLI$1,"RETURN_COM_EQY",DataStart,DataEnd,"Per=M","Days=A","Fill=P")</f>
        <v/>
      </c>
      <c r="CLK4" s="9">
        <f>BDH(CLK$1,"RETURN_COM_EQY",DataStart,DataEnd,"Per=M","Days=A","Fill=P")</f>
        <v/>
      </c>
      <c r="CLM4" s="9">
        <f>BDH(CLM$1,"RETURN_COM_EQY",DataStart,DataEnd,"Per=M","Days=A","Fill=P")</f>
        <v/>
      </c>
      <c r="CLO4" s="9">
        <f>BDH(CLO$1,"RETURN_COM_EQY",DataStart,DataEnd,"Per=M","Days=A","Fill=P")</f>
        <v/>
      </c>
      <c r="CLQ4" s="9">
        <f>BDH(CLQ$1,"RETURN_COM_EQY",DataStart,DataEnd,"Per=M","Days=A","Fill=P")</f>
        <v/>
      </c>
      <c r="CLS4" s="9">
        <f>BDH(CLS$1,"RETURN_COM_EQY",DataStart,DataEnd,"Per=M","Days=A","Fill=P")</f>
        <v/>
      </c>
      <c r="CLU4" s="9">
        <f>BDH(CLU$1,"RETURN_COM_EQY",DataStart,DataEnd,"Per=M","Days=A","Fill=P")</f>
        <v/>
      </c>
      <c r="CLW4" s="9">
        <f>BDH(CLW$1,"RETURN_COM_EQY",DataStart,DataEnd,"Per=M","Days=A","Fill=P")</f>
        <v/>
      </c>
      <c r="CLY4" s="9">
        <f>BDH(CLY$1,"RETURN_COM_EQY",DataStart,DataEnd,"Per=M","Days=A","Fill=P")</f>
        <v/>
      </c>
      <c r="CMA4" s="9">
        <f>BDH(CMA$1,"RETURN_COM_EQY",DataStart,DataEnd,"Per=M","Days=A","Fill=P")</f>
        <v/>
      </c>
      <c r="CMC4" s="9">
        <f>BDH(CMC$1,"RETURN_COM_EQY",DataStart,DataEnd,"Per=M","Days=A","Fill=P")</f>
        <v/>
      </c>
      <c r="CME4" s="9">
        <f>BDH(CME$1,"RETURN_COM_EQY",DataStart,DataEnd,"Per=M","Days=A","Fill=P")</f>
        <v/>
      </c>
      <c r="CMG4" s="9">
        <f>BDH(CMG$1,"RETURN_COM_EQY",DataStart,DataEnd,"Per=M","Days=A","Fill=P")</f>
        <v/>
      </c>
      <c r="CMI4" s="9">
        <f>BDH(CMI$1,"RETURN_COM_EQY",DataStart,DataEnd,"Per=M","Days=A","Fill=P")</f>
        <v/>
      </c>
      <c r="CMK4" s="9">
        <f>BDH(CMK$1,"RETURN_COM_EQY",DataStart,DataEnd,"Per=M","Days=A","Fill=P")</f>
        <v/>
      </c>
      <c r="CMM4" s="9">
        <f>BDH(CMM$1,"RETURN_COM_EQY",DataStart,DataEnd,"Per=M","Days=A","Fill=P")</f>
        <v/>
      </c>
      <c r="CMO4" s="9">
        <f>BDH(CMO$1,"RETURN_COM_EQY",DataStart,DataEnd,"Per=M","Days=A","Fill=P")</f>
        <v/>
      </c>
      <c r="CMQ4" s="9">
        <f>BDH(CMQ$1,"RETURN_COM_EQY",DataStart,DataEnd,"Per=M","Days=A","Fill=P")</f>
        <v/>
      </c>
      <c r="CMS4" s="9">
        <f>BDH(CMS$1,"RETURN_COM_EQY",DataStart,DataEnd,"Per=M","Days=A","Fill=P")</f>
        <v/>
      </c>
      <c r="CMU4" s="9">
        <f>BDH(CMU$1,"RETURN_COM_EQY",DataStart,DataEnd,"Per=M","Days=A","Fill=P")</f>
        <v/>
      </c>
      <c r="CMW4" s="9">
        <f>BDH(CMW$1,"RETURN_COM_EQY",DataStart,DataEnd,"Per=M","Days=A","Fill=P")</f>
        <v/>
      </c>
      <c r="CMY4" s="9">
        <f>BDH(CMY$1,"RETURN_COM_EQY",DataStart,DataEnd,"Per=M","Days=A","Fill=P")</f>
        <v/>
      </c>
      <c r="CNA4" s="9">
        <f>BDH(CNA$1,"RETURN_COM_EQY",DataStart,DataEnd,"Per=M","Days=A","Fill=P")</f>
        <v/>
      </c>
      <c r="CNC4" s="9">
        <f>BDH(CNC$1,"RETURN_COM_EQY",DataStart,DataEnd,"Per=M","Days=A","Fill=P")</f>
        <v/>
      </c>
      <c r="CNE4" s="9">
        <f>BDH(CNE$1,"RETURN_COM_EQY",DataStart,DataEnd,"Per=M","Days=A","Fill=P")</f>
        <v/>
      </c>
      <c r="CNG4" s="9">
        <f>BDH(CNG$1,"RETURN_COM_EQY",DataStart,DataEnd,"Per=M","Days=A","Fill=P")</f>
        <v/>
      </c>
      <c r="CNI4" s="9">
        <f>BDH(CNI$1,"RETURN_COM_EQY",DataStart,DataEnd,"Per=M","Days=A","Fill=P")</f>
        <v/>
      </c>
      <c r="CNK4" s="9">
        <f>BDH(CNK$1,"RETURN_COM_EQY",DataStart,DataEnd,"Per=M","Days=A","Fill=P")</f>
        <v/>
      </c>
      <c r="CNM4" s="9">
        <f>BDH(CNM$1,"RETURN_COM_EQY",DataStart,DataEnd,"Per=M","Days=A","Fill=P")</f>
        <v/>
      </c>
      <c r="CNO4" s="9">
        <f>BDH(CNO$1,"RETURN_COM_EQY",DataStart,DataEnd,"Per=M","Days=A","Fill=P")</f>
        <v/>
      </c>
      <c r="CNQ4" s="9">
        <f>BDH(CNQ$1,"RETURN_COM_EQY",DataStart,DataEnd,"Per=M","Days=A","Fill=P")</f>
        <v/>
      </c>
      <c r="CNS4" s="9">
        <f>BDH(CNS$1,"RETURN_COM_EQY",DataStart,DataEnd,"Per=M","Days=A","Fill=P")</f>
        <v/>
      </c>
      <c r="CNU4" s="9">
        <f>BDH(CNU$1,"RETURN_COM_EQY",DataStart,DataEnd,"Per=M","Days=A","Fill=P")</f>
        <v/>
      </c>
      <c r="CNW4" s="9">
        <f>BDH(CNW$1,"RETURN_COM_EQY",DataStart,DataEnd,"Per=M","Days=A","Fill=P")</f>
        <v/>
      </c>
      <c r="CNY4" s="9">
        <f>BDH(CNY$1,"RETURN_COM_EQY",DataStart,DataEnd,"Per=M","Days=A","Fill=P")</f>
        <v/>
      </c>
      <c r="COA4" s="9">
        <f>BDH(COA$1,"RETURN_COM_EQY",DataStart,DataEnd,"Per=M","Days=A","Fill=P")</f>
        <v/>
      </c>
      <c r="COC4" s="9">
        <f>BDH(COC$1,"RETURN_COM_EQY",DataStart,DataEnd,"Per=M","Days=A","Fill=P")</f>
        <v/>
      </c>
      <c r="COE4" s="9">
        <f>BDH(COE$1,"RETURN_COM_EQY",DataStart,DataEnd,"Per=M","Days=A","Fill=P")</f>
        <v/>
      </c>
      <c r="COG4" s="9">
        <f>BDH(COG$1,"RETURN_COM_EQY",DataStart,DataEnd,"Per=M","Days=A","Fill=P")</f>
        <v/>
      </c>
      <c r="COI4" s="9">
        <f>BDH(COI$1,"RETURN_COM_EQY",DataStart,DataEnd,"Per=M","Days=A","Fill=P")</f>
        <v/>
      </c>
      <c r="COK4" s="9">
        <f>BDH(COK$1,"RETURN_COM_EQY",DataStart,DataEnd,"Per=M","Days=A","Fill=P")</f>
        <v/>
      </c>
      <c r="COM4" s="9">
        <f>BDH(COM$1,"RETURN_COM_EQY",DataStart,DataEnd,"Per=M","Days=A","Fill=P")</f>
        <v/>
      </c>
      <c r="COO4" s="9">
        <f>BDH(COO$1,"RETURN_COM_EQY",DataStart,DataEnd,"Per=M","Days=A","Fill=P")</f>
        <v/>
      </c>
      <c r="COQ4" s="9">
        <f>BDH(COQ$1,"RETURN_COM_EQY",DataStart,DataEnd,"Per=M","Days=A","Fill=P")</f>
        <v/>
      </c>
      <c r="COS4" s="9">
        <f>BDH(COS$1,"RETURN_COM_EQY",DataStart,DataEnd,"Per=M","Days=A","Fill=P")</f>
        <v/>
      </c>
      <c r="COU4" s="9">
        <f>BDH(COU$1,"RETURN_COM_EQY",DataStart,DataEnd,"Per=M","Days=A","Fill=P")</f>
        <v/>
      </c>
      <c r="COW4" s="9">
        <f>BDH(COW$1,"RETURN_COM_EQY",DataStart,DataEnd,"Per=M","Days=A","Fill=P")</f>
        <v/>
      </c>
      <c r="COY4" s="9">
        <f>BDH(COY$1,"RETURN_COM_EQY",DataStart,DataEnd,"Per=M","Days=A","Fill=P")</f>
        <v/>
      </c>
      <c r="CPA4" s="9">
        <f>BDH(CPA$1,"RETURN_COM_EQY",DataStart,DataEnd,"Per=M","Days=A","Fill=P")</f>
        <v/>
      </c>
      <c r="CPC4" s="9">
        <f>BDH(CPC$1,"RETURN_COM_EQY",DataStart,DataEnd,"Per=M","Days=A","Fill=P")</f>
        <v/>
      </c>
      <c r="CPE4" s="9">
        <f>BDH(CPE$1,"RETURN_COM_EQY",DataStart,DataEnd,"Per=M","Days=A","Fill=P")</f>
        <v/>
      </c>
      <c r="CPG4" s="9">
        <f>BDH(CPG$1,"RETURN_COM_EQY",DataStart,DataEnd,"Per=M","Days=A","Fill=P")</f>
        <v/>
      </c>
      <c r="CPI4" s="9">
        <f>BDH(CPI$1,"RETURN_COM_EQY",DataStart,DataEnd,"Per=M","Days=A","Fill=P")</f>
        <v/>
      </c>
      <c r="CPK4" s="9">
        <f>BDH(CPK$1,"RETURN_COM_EQY",DataStart,DataEnd,"Per=M","Days=A","Fill=P")</f>
        <v/>
      </c>
      <c r="CPM4" s="9">
        <f>BDH(CPM$1,"RETURN_COM_EQY",DataStart,DataEnd,"Per=M","Days=A","Fill=P")</f>
        <v/>
      </c>
      <c r="CPO4" s="9">
        <f>BDH(CPO$1,"RETURN_COM_EQY",DataStart,DataEnd,"Per=M","Days=A","Fill=P")</f>
        <v/>
      </c>
      <c r="CPQ4" s="9">
        <f>BDH(CPQ$1,"RETURN_COM_EQY",DataStart,DataEnd,"Per=M","Days=A","Fill=P")</f>
        <v/>
      </c>
      <c r="CPS4" s="9">
        <f>BDH(CPS$1,"RETURN_COM_EQY",DataStart,DataEnd,"Per=M","Days=A","Fill=P")</f>
        <v/>
      </c>
      <c r="CPU4" s="9">
        <f>BDH(CPU$1,"RETURN_COM_EQY",DataStart,DataEnd,"Per=M","Days=A","Fill=P")</f>
        <v/>
      </c>
      <c r="CPW4" s="9">
        <f>BDH(CPW$1,"RETURN_COM_EQY",DataStart,DataEnd,"Per=M","Days=A","Fill=P")</f>
        <v/>
      </c>
      <c r="CPY4" s="9">
        <f>BDH(CPY$1,"RETURN_COM_EQY",DataStart,DataEnd,"Per=M","Days=A","Fill=P")</f>
        <v/>
      </c>
      <c r="CQA4" s="9">
        <f>BDH(CQA$1,"RETURN_COM_EQY",DataStart,DataEnd,"Per=M","Days=A","Fill=P")</f>
        <v/>
      </c>
      <c r="CQC4" s="9">
        <f>BDH(CQC$1,"RETURN_COM_EQY",DataStart,DataEnd,"Per=M","Days=A","Fill=P")</f>
        <v/>
      </c>
      <c r="CQE4" s="9">
        <f>BDH(CQE$1,"RETURN_COM_EQY",DataStart,DataEnd,"Per=M","Days=A","Fill=P")</f>
        <v/>
      </c>
      <c r="CQG4" s="9">
        <f>BDH(CQG$1,"RETURN_COM_EQY",DataStart,DataEnd,"Per=M","Days=A","Fill=P")</f>
        <v/>
      </c>
      <c r="CQI4" s="9">
        <f>BDH(CQI$1,"RETURN_COM_EQY",DataStart,DataEnd,"Per=M","Days=A","Fill=P")</f>
        <v/>
      </c>
      <c r="CQK4" s="9">
        <f>BDH(CQK$1,"RETURN_COM_EQY",DataStart,DataEnd,"Per=M","Days=A","Fill=P")</f>
        <v/>
      </c>
      <c r="CQM4" s="9">
        <f>BDH(CQM$1,"RETURN_COM_EQY",DataStart,DataEnd,"Per=M","Days=A","Fill=P")</f>
        <v/>
      </c>
      <c r="CQO4" s="9">
        <f>BDH(CQO$1,"RETURN_COM_EQY",DataStart,DataEnd,"Per=M","Days=A","Fill=P")</f>
        <v/>
      </c>
      <c r="CQQ4" s="9">
        <f>BDH(CQQ$1,"RETURN_COM_EQY",DataStart,DataEnd,"Per=M","Days=A","Fill=P")</f>
        <v/>
      </c>
      <c r="CQS4" s="9">
        <f>BDH(CQS$1,"RETURN_COM_EQY",DataStart,DataEnd,"Per=M","Days=A","Fill=P")</f>
        <v/>
      </c>
      <c r="CQU4" s="9">
        <f>BDH(CQU$1,"RETURN_COM_EQY",DataStart,DataEnd,"Per=M","Days=A","Fill=P")</f>
        <v/>
      </c>
      <c r="CQW4" s="9">
        <f>BDH(CQW$1,"RETURN_COM_EQY",DataStart,DataEnd,"Per=M","Days=A","Fill=P")</f>
        <v/>
      </c>
      <c r="CQY4" s="9">
        <f>BDH(CQY$1,"RETURN_COM_EQY",DataStart,DataEnd,"Per=M","Days=A","Fill=P")</f>
        <v/>
      </c>
      <c r="CRA4" s="9">
        <f>BDH(CRA$1,"RETURN_COM_EQY",DataStart,DataEnd,"Per=M","Days=A","Fill=P")</f>
        <v/>
      </c>
      <c r="CRC4" s="9">
        <f>BDH(CRC$1,"RETURN_COM_EQY",DataStart,DataEnd,"Per=M","Days=A","Fill=P")</f>
        <v/>
      </c>
      <c r="CRE4" s="9">
        <f>BDH(CRE$1,"RETURN_COM_EQY",DataStart,DataEnd,"Per=M","Days=A","Fill=P")</f>
        <v/>
      </c>
      <c r="CRG4" s="9">
        <f>BDH(CRG$1,"RETURN_COM_EQY",DataStart,DataEnd,"Per=M","Days=A","Fill=P")</f>
        <v/>
      </c>
      <c r="CRI4" s="9">
        <f>BDH(CRI$1,"RETURN_COM_EQY",DataStart,DataEnd,"Per=M","Days=A","Fill=P")</f>
        <v/>
      </c>
      <c r="CRK4" s="9">
        <f>BDH(CRK$1,"RETURN_COM_EQY",DataStart,DataEnd,"Per=M","Days=A","Fill=P")</f>
        <v/>
      </c>
      <c r="CRM4" s="9">
        <f>BDH(CRM$1,"RETURN_COM_EQY",DataStart,DataEnd,"Per=M","Days=A","Fill=P")</f>
        <v/>
      </c>
      <c r="CRO4" s="9">
        <f>BDH(CRO$1,"RETURN_COM_EQY",DataStart,DataEnd,"Per=M","Days=A","Fill=P")</f>
        <v/>
      </c>
      <c r="CRQ4" s="9">
        <f>BDH(CRQ$1,"RETURN_COM_EQY",DataStart,DataEnd,"Per=M","Days=A","Fill=P")</f>
        <v/>
      </c>
      <c r="CRS4" s="9">
        <f>BDH(CRS$1,"RETURN_COM_EQY",DataStart,DataEnd,"Per=M","Days=A","Fill=P")</f>
        <v/>
      </c>
      <c r="CRU4" s="9">
        <f>BDH(CRU$1,"RETURN_COM_EQY",DataStart,DataEnd,"Per=M","Days=A","Fill=P")</f>
        <v/>
      </c>
      <c r="CRW4" s="9">
        <f>BDH(CRW$1,"RETURN_COM_EQY",DataStart,DataEnd,"Per=M","Days=A","Fill=P")</f>
        <v/>
      </c>
      <c r="CRY4" s="9">
        <f>BDH(CRY$1,"RETURN_COM_EQY",DataStart,DataEnd,"Per=M","Days=A","Fill=P")</f>
        <v/>
      </c>
      <c r="CSA4" s="9">
        <f>BDH(CSA$1,"RETURN_COM_EQY",DataStart,DataEnd,"Per=M","Days=A","Fill=P")</f>
        <v/>
      </c>
      <c r="CSC4" s="9">
        <f>BDH(CSC$1,"RETURN_COM_EQY",DataStart,DataEnd,"Per=M","Days=A","Fill=P")</f>
        <v/>
      </c>
      <c r="CSE4" s="9">
        <f>BDH(CSE$1,"RETURN_COM_EQY",DataStart,DataEnd,"Per=M","Days=A","Fill=P")</f>
        <v/>
      </c>
      <c r="CSG4" s="9">
        <f>BDH(CSG$1,"RETURN_COM_EQY",DataStart,DataEnd,"Per=M","Days=A","Fill=P")</f>
        <v/>
      </c>
      <c r="CSI4" s="9">
        <f>BDH(CSI$1,"RETURN_COM_EQY",DataStart,DataEnd,"Per=M","Days=A","Fill=P")</f>
        <v/>
      </c>
      <c r="CSK4" s="9">
        <f>BDH(CSK$1,"RETURN_COM_EQY",DataStart,DataEnd,"Per=M","Days=A","Fill=P")</f>
        <v/>
      </c>
      <c r="CSM4" s="9">
        <f>BDH(CSM$1,"RETURN_COM_EQY",DataStart,DataEnd,"Per=M","Days=A","Fill=P")</f>
        <v/>
      </c>
      <c r="CSO4" s="9">
        <f>BDH(CSO$1,"RETURN_COM_EQY",DataStart,DataEnd,"Per=M","Days=A","Fill=P")</f>
        <v/>
      </c>
      <c r="CSQ4" s="9">
        <f>BDH(CSQ$1,"RETURN_COM_EQY",DataStart,DataEnd,"Per=M","Days=A","Fill=P")</f>
        <v/>
      </c>
      <c r="CSS4" s="9">
        <f>BDH(CSS$1,"RETURN_COM_EQY",DataStart,DataEnd,"Per=M","Days=A","Fill=P")</f>
        <v/>
      </c>
      <c r="CSU4" s="9">
        <f>BDH(CSU$1,"RETURN_COM_EQY",DataStart,DataEnd,"Per=M","Days=A","Fill=P")</f>
        <v/>
      </c>
      <c r="CSW4" s="9">
        <f>BDH(CSW$1,"RETURN_COM_EQY",DataStart,DataEnd,"Per=M","Days=A","Fill=P")</f>
        <v/>
      </c>
      <c r="CSY4" s="9">
        <f>BDH(CSY$1,"RETURN_COM_EQY",DataStart,DataEnd,"Per=M","Days=A","Fill=P")</f>
        <v/>
      </c>
      <c r="CTA4" s="9">
        <f>BDH(CTA$1,"RETURN_COM_EQY",DataStart,DataEnd,"Per=M","Days=A","Fill=P")</f>
        <v/>
      </c>
      <c r="CTC4" s="9">
        <f>BDH(CTC$1,"RETURN_COM_EQY",DataStart,DataEnd,"Per=M","Days=A","Fill=P")</f>
        <v/>
      </c>
      <c r="CTE4" s="9">
        <f>BDH(CTE$1,"RETURN_COM_EQY",DataStart,DataEnd,"Per=M","Days=A","Fill=P")</f>
        <v/>
      </c>
      <c r="CTG4" s="9">
        <f>BDH(CTG$1,"RETURN_COM_EQY",DataStart,DataEnd,"Per=M","Days=A","Fill=P")</f>
        <v/>
      </c>
      <c r="CTI4" s="9">
        <f>BDH(CTI$1,"RETURN_COM_EQY",DataStart,DataEnd,"Per=M","Days=A","Fill=P")</f>
        <v/>
      </c>
      <c r="CTK4" s="9">
        <f>BDH(CTK$1,"RETURN_COM_EQY",DataStart,DataEnd,"Per=M","Days=A","Fill=P")</f>
        <v/>
      </c>
      <c r="CTM4" s="9">
        <f>BDH(CTM$1,"RETURN_COM_EQY",DataStart,DataEnd,"Per=M","Days=A","Fill=P")</f>
        <v/>
      </c>
      <c r="CTO4" s="9">
        <f>BDH(CTO$1,"RETURN_COM_EQY",DataStart,DataEnd,"Per=M","Days=A","Fill=P")</f>
        <v/>
      </c>
      <c r="CTQ4" s="9">
        <f>BDH(CTQ$1,"RETURN_COM_EQY",DataStart,DataEnd,"Per=M","Days=A","Fill=P")</f>
        <v/>
      </c>
      <c r="CTS4" s="9">
        <f>BDH(CTS$1,"RETURN_COM_EQY",DataStart,DataEnd,"Per=M","Days=A","Fill=P")</f>
        <v/>
      </c>
      <c r="CTU4" s="9">
        <f>BDH(CTU$1,"RETURN_COM_EQY",DataStart,DataEnd,"Per=M","Days=A","Fill=P")</f>
        <v/>
      </c>
      <c r="CTW4" s="9">
        <f>BDH(CTW$1,"RETURN_COM_EQY",DataStart,DataEnd,"Per=M","Days=A","Fill=P")</f>
        <v/>
      </c>
      <c r="CTY4" s="9">
        <f>BDH(CTY$1,"RETURN_COM_EQY",DataStart,DataEnd,"Per=M","Days=A","Fill=P")</f>
        <v/>
      </c>
      <c r="CUA4" s="9">
        <f>BDH(CUA$1,"RETURN_COM_EQY",DataStart,DataEnd,"Per=M","Days=A","Fill=P")</f>
        <v/>
      </c>
      <c r="CUC4" s="9">
        <f>BDH(CUC$1,"RETURN_COM_EQY",DataStart,DataEnd,"Per=M","Days=A","Fill=P")</f>
        <v/>
      </c>
      <c r="CUE4" s="9">
        <f>BDH(CUE$1,"RETURN_COM_EQY",DataStart,DataEnd,"Per=M","Days=A","Fill=P")</f>
        <v/>
      </c>
      <c r="CUG4" s="9">
        <f>BDH(CUG$1,"RETURN_COM_EQY",DataStart,DataEnd,"Per=M","Days=A","Fill=P")</f>
        <v/>
      </c>
      <c r="CUI4" s="9">
        <f>BDH(CUI$1,"RETURN_COM_EQY",DataStart,DataEnd,"Per=M","Days=A","Fill=P")</f>
        <v/>
      </c>
      <c r="CUK4" s="9">
        <f>BDH(CUK$1,"RETURN_COM_EQY",DataStart,DataEnd,"Per=M","Days=A","Fill=P")</f>
        <v/>
      </c>
      <c r="CUM4" s="9">
        <f>BDH(CUM$1,"RETURN_COM_EQY",DataStart,DataEnd,"Per=M","Days=A","Fill=P")</f>
        <v/>
      </c>
      <c r="CUO4" s="9">
        <f>BDH(CUO$1,"RETURN_COM_EQY",DataStart,DataEnd,"Per=M","Days=A","Fill=P")</f>
        <v/>
      </c>
      <c r="CUQ4" s="9">
        <f>BDH(CUQ$1,"RETURN_COM_EQY",DataStart,DataEnd,"Per=M","Days=A","Fill=P")</f>
        <v/>
      </c>
      <c r="CUS4" s="9">
        <f>BDH(CUS$1,"RETURN_COM_EQY",DataStart,DataEnd,"Per=M","Days=A","Fill=P")</f>
        <v/>
      </c>
      <c r="CUU4" s="9">
        <f>BDH(CUU$1,"RETURN_COM_EQY",DataStart,DataEnd,"Per=M","Days=A","Fill=P")</f>
        <v/>
      </c>
      <c r="CUW4" s="9">
        <f>BDH(CUW$1,"RETURN_COM_EQY",DataStart,DataEnd,"Per=M","Days=A","Fill=P")</f>
        <v/>
      </c>
      <c r="CUY4" s="9">
        <f>BDH(CUY$1,"RETURN_COM_EQY",DataStart,DataEnd,"Per=M","Days=A","Fill=P")</f>
        <v/>
      </c>
      <c r="CVA4" s="9">
        <f>BDH(CVA$1,"RETURN_COM_EQY",DataStart,DataEnd,"Per=M","Days=A","Fill=P")</f>
        <v/>
      </c>
      <c r="CVC4" s="9">
        <f>BDH(CVC$1,"RETURN_COM_EQY",DataStart,DataEnd,"Per=M","Days=A","Fill=P")</f>
        <v/>
      </c>
      <c r="CVE4" s="9">
        <f>BDH(CVE$1,"RETURN_COM_EQY",DataStart,DataEnd,"Per=M","Days=A","Fill=P")</f>
        <v/>
      </c>
      <c r="CVG4" s="9">
        <f>BDH(CVG$1,"RETURN_COM_EQY",DataStart,DataEnd,"Per=M","Days=A","Fill=P")</f>
        <v/>
      </c>
      <c r="CVI4" s="9">
        <f>BDH(CVI$1,"RETURN_COM_EQY",DataStart,DataEnd,"Per=M","Days=A","Fill=P")</f>
        <v/>
      </c>
      <c r="CVK4" s="9">
        <f>BDH(CVK$1,"RETURN_COM_EQY",DataStart,DataEnd,"Per=M","Days=A","Fill=P")</f>
        <v/>
      </c>
      <c r="CVM4" s="9">
        <f>BDH(CVM$1,"RETURN_COM_EQY",DataStart,DataEnd,"Per=M","Days=A","Fill=P")</f>
        <v/>
      </c>
      <c r="CVO4" s="9">
        <f>BDH(CVO$1,"RETURN_COM_EQY",DataStart,DataEnd,"Per=M","Days=A","Fill=P")</f>
        <v/>
      </c>
      <c r="CVQ4" s="9">
        <f>BDH(CVQ$1,"RETURN_COM_EQY",DataStart,DataEnd,"Per=M","Days=A","Fill=P")</f>
        <v/>
      </c>
      <c r="CVS4" s="9">
        <f>BDH(CVS$1,"RETURN_COM_EQY",DataStart,DataEnd,"Per=M","Days=A","Fill=P")</f>
        <v/>
      </c>
      <c r="CVU4" s="9">
        <f>BDH(CVU$1,"RETURN_COM_EQY",DataStart,DataEnd,"Per=M","Days=A","Fill=P")</f>
        <v/>
      </c>
      <c r="CVW4" s="9">
        <f>BDH(CVW$1,"RETURN_COM_EQY",DataStart,DataEnd,"Per=M","Days=A","Fill=P")</f>
        <v/>
      </c>
      <c r="CVY4" s="9">
        <f>BDH(CVY$1,"RETURN_COM_EQY",DataStart,DataEnd,"Per=M","Days=A","Fill=P")</f>
        <v/>
      </c>
      <c r="CWA4" s="9">
        <f>BDH(CWA$1,"RETURN_COM_EQY",DataStart,DataEnd,"Per=M","Days=A","Fill=P")</f>
        <v/>
      </c>
      <c r="CWC4" s="9">
        <f>BDH(CWC$1,"RETURN_COM_EQY",DataStart,DataEnd,"Per=M","Days=A","Fill=P")</f>
        <v/>
      </c>
      <c r="CWE4" s="9">
        <f>BDH(CWE$1,"RETURN_COM_EQY",DataStart,DataEnd,"Per=M","Days=A","Fill=P")</f>
        <v/>
      </c>
      <c r="CWG4" s="9">
        <f>BDH(CWG$1,"RETURN_COM_EQY",DataStart,DataEnd,"Per=M","Days=A","Fill=P")</f>
        <v/>
      </c>
      <c r="CWI4" s="9">
        <f>BDH(CWI$1,"RETURN_COM_EQY",DataStart,DataEnd,"Per=M","Days=A","Fill=P")</f>
        <v/>
      </c>
      <c r="CWK4" s="9">
        <f>BDH(CWK$1,"RETURN_COM_EQY",DataStart,DataEnd,"Per=M","Days=A","Fill=P")</f>
        <v/>
      </c>
      <c r="CWM4" s="9">
        <f>BDH(CWM$1,"RETURN_COM_EQY",DataStart,DataEnd,"Per=M","Days=A","Fill=P")</f>
        <v/>
      </c>
      <c r="CWO4" s="9">
        <f>BDH(CWO$1,"RETURN_COM_EQY",DataStart,DataEnd,"Per=M","Days=A","Fill=P")</f>
        <v/>
      </c>
      <c r="CWQ4" s="9">
        <f>BDH(CWQ$1,"RETURN_COM_EQY",DataStart,DataEnd,"Per=M","Days=A","Fill=P")</f>
        <v/>
      </c>
      <c r="CWS4" s="9">
        <f>BDH(CWS$1,"RETURN_COM_EQY",DataStart,DataEnd,"Per=M","Days=A","Fill=P")</f>
        <v/>
      </c>
      <c r="CWU4" s="9">
        <f>BDH(CWU$1,"RETURN_COM_EQY",DataStart,DataEnd,"Per=M","Days=A","Fill=P")</f>
        <v/>
      </c>
      <c r="CWW4" s="9">
        <f>BDH(CWW$1,"RETURN_COM_EQY",DataStart,DataEnd,"Per=M","Days=A","Fill=P")</f>
        <v/>
      </c>
      <c r="CWY4" s="9">
        <f>BDH(CWY$1,"RETURN_COM_EQY",DataStart,DataEnd,"Per=M","Days=A","Fill=P")</f>
        <v/>
      </c>
      <c r="CXA4" s="9">
        <f>BDH(CXA$1,"RETURN_COM_EQY",DataStart,DataEnd,"Per=M","Days=A","Fill=P")</f>
        <v/>
      </c>
      <c r="CXC4" s="9">
        <f>BDH(CXC$1,"RETURN_COM_EQY",DataStart,DataEnd,"Per=M","Days=A","Fill=P")</f>
        <v/>
      </c>
      <c r="CXE4" s="9">
        <f>BDH(CXE$1,"RETURN_COM_EQY",DataStart,DataEnd,"Per=M","Days=A","Fill=P")</f>
        <v/>
      </c>
      <c r="CXG4" s="9">
        <f>BDH(CXG$1,"RETURN_COM_EQY",DataStart,DataEnd,"Per=M","Days=A","Fill=P")</f>
        <v/>
      </c>
      <c r="CXI4" s="9">
        <f>BDH(CXI$1,"RETURN_COM_EQY",DataStart,DataEnd,"Per=M","Days=A","Fill=P")</f>
        <v/>
      </c>
      <c r="CXK4" s="9">
        <f>BDH(CXK$1,"RETURN_COM_EQY",DataStart,DataEnd,"Per=M","Days=A","Fill=P")</f>
        <v/>
      </c>
      <c r="CXM4" s="9">
        <f>BDH(CXM$1,"RETURN_COM_EQY",DataStart,DataEnd,"Per=M","Days=A","Fill=P")</f>
        <v/>
      </c>
      <c r="CXO4" s="9">
        <f>BDH(CXO$1,"RETURN_COM_EQY",DataStart,DataEnd,"Per=M","Days=A","Fill=P")</f>
        <v/>
      </c>
      <c r="CXQ4" s="9">
        <f>BDH(CXQ$1,"RETURN_COM_EQY",DataStart,DataEnd,"Per=M","Days=A","Fill=P")</f>
        <v/>
      </c>
      <c r="CXS4" s="9">
        <f>BDH(CXS$1,"RETURN_COM_EQY",DataStart,DataEnd,"Per=M","Days=A","Fill=P")</f>
        <v/>
      </c>
      <c r="CXU4" s="9">
        <f>BDH(CXU$1,"RETURN_COM_EQY",DataStart,DataEnd,"Per=M","Days=A","Fill=P")</f>
        <v/>
      </c>
      <c r="CXW4" s="9">
        <f>BDH(CXW$1,"RETURN_COM_EQY",DataStart,DataEnd,"Per=M","Days=A","Fill=P")</f>
        <v/>
      </c>
      <c r="CXY4" s="9">
        <f>BDH(CXY$1,"RETURN_COM_EQY",DataStart,DataEnd,"Per=M","Days=A","Fill=P")</f>
        <v/>
      </c>
      <c r="CYA4" s="9">
        <f>BDH(CYA$1,"RETURN_COM_EQY",DataStart,DataEnd,"Per=M","Days=A","Fill=P")</f>
        <v/>
      </c>
      <c r="CYC4" s="9">
        <f>BDH(CYC$1,"RETURN_COM_EQY",DataStart,DataEnd,"Per=M","Days=A","Fill=P")</f>
        <v/>
      </c>
      <c r="CYE4" s="9">
        <f>BDH(CYE$1,"RETURN_COM_EQY",DataStart,DataEnd,"Per=M","Days=A","Fill=P")</f>
        <v/>
      </c>
      <c r="CYG4" s="9">
        <f>BDH(CYG$1,"RETURN_COM_EQY",DataStart,DataEnd,"Per=M","Days=A","Fill=P")</f>
        <v/>
      </c>
      <c r="CYI4" s="9">
        <f>BDH(CYI$1,"RETURN_COM_EQY",DataStart,DataEnd,"Per=M","Days=A","Fill=P")</f>
        <v/>
      </c>
      <c r="CYK4" s="9">
        <f>BDH(CYK$1,"RETURN_COM_EQY",DataStart,DataEnd,"Per=M","Days=A","Fill=P")</f>
        <v/>
      </c>
      <c r="CYM4" s="9">
        <f>BDH(CYM$1,"RETURN_COM_EQY",DataStart,DataEnd,"Per=M","Days=A","Fill=P")</f>
        <v/>
      </c>
      <c r="CYO4" s="9">
        <f>BDH(CYO$1,"RETURN_COM_EQY",DataStart,DataEnd,"Per=M","Days=A","Fill=P")</f>
        <v/>
      </c>
      <c r="CYQ4" s="9">
        <f>BDH(CYQ$1,"RETURN_COM_EQY",DataStart,DataEnd,"Per=M","Days=A","Fill=P")</f>
        <v/>
      </c>
      <c r="CYS4" s="9">
        <f>BDH(CYS$1,"RETURN_COM_EQY",DataStart,DataEnd,"Per=M","Days=A","Fill=P")</f>
        <v/>
      </c>
      <c r="CYU4" s="9">
        <f>BDH(CYU$1,"RETURN_COM_EQY",DataStart,DataEnd,"Per=M","Days=A","Fill=P")</f>
        <v/>
      </c>
      <c r="CYW4" s="9">
        <f>BDH(CYW$1,"RETURN_COM_EQY",DataStart,DataEnd,"Per=M","Days=A","Fill=P")</f>
        <v/>
      </c>
      <c r="CYY4" s="9">
        <f>BDH(CYY$1,"RETURN_COM_EQY",DataStart,DataEnd,"Per=M","Days=A","Fill=P")</f>
        <v/>
      </c>
      <c r="CZA4" s="9">
        <f>BDH(CZA$1,"RETURN_COM_EQY",DataStart,DataEnd,"Per=M","Days=A","Fill=P")</f>
        <v/>
      </c>
      <c r="CZC4" s="9">
        <f>BDH(CZC$1,"RETURN_COM_EQY",DataStart,DataEnd,"Per=M","Days=A","Fill=P")</f>
        <v/>
      </c>
      <c r="CZE4" s="9">
        <f>BDH(CZE$1,"RETURN_COM_EQY",DataStart,DataEnd,"Per=M","Days=A","Fill=P")</f>
        <v/>
      </c>
      <c r="CZG4" s="9">
        <f>BDH(CZG$1,"RETURN_COM_EQY",DataStart,DataEnd,"Per=M","Days=A","Fill=P")</f>
        <v/>
      </c>
      <c r="CZI4" s="9">
        <f>BDH(CZI$1,"RETURN_COM_EQY",DataStart,DataEnd,"Per=M","Days=A","Fill=P")</f>
        <v/>
      </c>
      <c r="CZK4" s="9">
        <f>BDH(CZK$1,"RETURN_COM_EQY",DataStart,DataEnd,"Per=M","Days=A","Fill=P")</f>
        <v/>
      </c>
      <c r="CZM4" s="9">
        <f>BDH(CZM$1,"RETURN_COM_EQY",DataStart,DataEnd,"Per=M","Days=A","Fill=P")</f>
        <v/>
      </c>
      <c r="CZO4" s="9">
        <f>BDH(CZO$1,"RETURN_COM_EQY",DataStart,DataEnd,"Per=M","Days=A","Fill=P")</f>
        <v/>
      </c>
      <c r="CZQ4" s="9">
        <f>BDH(CZQ$1,"RETURN_COM_EQY",DataStart,DataEnd,"Per=M","Days=A","Fill=P")</f>
        <v/>
      </c>
      <c r="CZS4" s="9">
        <f>BDH(CZS$1,"RETURN_COM_EQY",DataStart,DataEnd,"Per=M","Days=A","Fill=P")</f>
        <v/>
      </c>
      <c r="CZU4" s="9">
        <f>BDH(CZU$1,"RETURN_COM_EQY",DataStart,DataEnd,"Per=M","Days=A","Fill=P")</f>
        <v/>
      </c>
      <c r="CZW4" s="9">
        <f>BDH(CZW$1,"RETURN_COM_EQY",DataStart,DataEnd,"Per=M","Days=A","Fill=P")</f>
        <v/>
      </c>
      <c r="CZY4" s="9">
        <f>BDH(CZY$1,"RETURN_COM_EQY",DataStart,DataEnd,"Per=M","Days=A","Fill=P")</f>
        <v/>
      </c>
      <c r="DAA4" s="9">
        <f>BDH(DAA$1,"RETURN_COM_EQY",DataStart,DataEnd,"Per=M","Days=A","Fill=P")</f>
        <v/>
      </c>
      <c r="DAC4" s="9">
        <f>BDH(DAC$1,"RETURN_COM_EQY",DataStart,DataEnd,"Per=M","Days=A","Fill=P")</f>
        <v/>
      </c>
      <c r="DAE4" s="9">
        <f>BDH(DAE$1,"RETURN_COM_EQY",DataStart,DataEnd,"Per=M","Days=A","Fill=P")</f>
        <v/>
      </c>
      <c r="DAG4" s="9">
        <f>BDH(DAG$1,"RETURN_COM_EQY",DataStart,DataEnd,"Per=M","Days=A","Fill=P")</f>
        <v/>
      </c>
      <c r="DAI4" s="9">
        <f>BDH(DAI$1,"RETURN_COM_EQY",DataStart,DataEnd,"Per=M","Days=A","Fill=P")</f>
        <v/>
      </c>
      <c r="DAK4" s="9">
        <f>BDH(DAK$1,"RETURN_COM_EQY",DataStart,DataEnd,"Per=M","Days=A","Fill=P")</f>
        <v/>
      </c>
      <c r="DAM4" s="9">
        <f>BDH(DAM$1,"RETURN_COM_EQY",DataStart,DataEnd,"Per=M","Days=A","Fill=P")</f>
        <v/>
      </c>
      <c r="DAO4" s="9">
        <f>BDH(DAO$1,"RETURN_COM_EQY",DataStart,DataEnd,"Per=M","Days=A","Fill=P")</f>
        <v/>
      </c>
      <c r="DAQ4" s="9">
        <f>BDH(DAQ$1,"RETURN_COM_EQY",DataStart,DataEnd,"Per=M","Days=A","Fill=P")</f>
        <v/>
      </c>
      <c r="DAS4" s="9">
        <f>BDH(DAS$1,"RETURN_COM_EQY",DataStart,DataEnd,"Per=M","Days=A","Fill=P")</f>
        <v/>
      </c>
      <c r="DAU4" s="9">
        <f>BDH(DAU$1,"RETURN_COM_EQY",DataStart,DataEnd,"Per=M","Days=A","Fill=P")</f>
        <v/>
      </c>
      <c r="DAW4" s="9">
        <f>BDH(DAW$1,"RETURN_COM_EQY",DataStart,DataEnd,"Per=M","Days=A","Fill=P")</f>
        <v/>
      </c>
      <c r="DAY4" s="9">
        <f>BDH(DAY$1,"RETURN_COM_EQY",DataStart,DataEnd,"Per=M","Days=A","Fill=P")</f>
        <v/>
      </c>
      <c r="DBA4" s="9">
        <f>BDH(DBA$1,"RETURN_COM_EQY",DataStart,DataEnd,"Per=M","Days=A","Fill=P")</f>
        <v/>
      </c>
      <c r="DBC4" s="9">
        <f>BDH(DBC$1,"RETURN_COM_EQY",DataStart,DataEnd,"Per=M","Days=A","Fill=P")</f>
        <v/>
      </c>
      <c r="DBE4" s="9">
        <f>BDH(DBE$1,"RETURN_COM_EQY",DataStart,DataEnd,"Per=M","Days=A","Fill=P")</f>
        <v/>
      </c>
      <c r="DBG4" s="9">
        <f>BDH(DBG$1,"RETURN_COM_EQY",DataStart,DataEnd,"Per=M","Days=A","Fill=P")</f>
        <v/>
      </c>
      <c r="DBI4" s="9">
        <f>BDH(DBI$1,"RETURN_COM_EQY",DataStart,DataEnd,"Per=M","Days=A","Fill=P")</f>
        <v/>
      </c>
      <c r="DBK4" s="9">
        <f>BDH(DBK$1,"RETURN_COM_EQY",DataStart,DataEnd,"Per=M","Days=A","Fill=P")</f>
        <v/>
      </c>
      <c r="DBM4" s="9">
        <f>BDH(DBM$1,"RETURN_COM_EQY",DataStart,DataEnd,"Per=M","Days=A","Fill=P")</f>
        <v/>
      </c>
      <c r="DBO4" s="9">
        <f>BDH(DBO$1,"RETURN_COM_EQY",DataStart,DataEnd,"Per=M","Days=A","Fill=P")</f>
        <v/>
      </c>
      <c r="DBQ4" s="9">
        <f>BDH(DBQ$1,"RETURN_COM_EQY",DataStart,DataEnd,"Per=M","Days=A","Fill=P")</f>
        <v/>
      </c>
      <c r="DBS4" s="9">
        <f>BDH(DBS$1,"RETURN_COM_EQY",DataStart,DataEnd,"Per=M","Days=A","Fill=P")</f>
        <v/>
      </c>
      <c r="DBU4" s="9">
        <f>BDH(DBU$1,"RETURN_COM_EQY",DataStart,DataEnd,"Per=M","Days=A","Fill=P")</f>
        <v/>
      </c>
      <c r="DBW4" s="9">
        <f>BDH(DBW$1,"RETURN_COM_EQY",DataStart,DataEnd,"Per=M","Days=A","Fill=P")</f>
        <v/>
      </c>
      <c r="DBY4" s="9">
        <f>BDH(DBY$1,"RETURN_COM_EQY",DataStart,DataEnd,"Per=M","Days=A","Fill=P")</f>
        <v/>
      </c>
      <c r="DCA4" s="9">
        <f>BDH(DCA$1,"RETURN_COM_EQY",DataStart,DataEnd,"Per=M","Days=A","Fill=P")</f>
        <v/>
      </c>
      <c r="DCC4" s="9">
        <f>BDH(DCC$1,"RETURN_COM_EQY",DataStart,DataEnd,"Per=M","Days=A","Fill=P")</f>
        <v/>
      </c>
      <c r="DCE4" s="9">
        <f>BDH(DCE$1,"RETURN_COM_EQY",DataStart,DataEnd,"Per=M","Days=A","Fill=P")</f>
        <v/>
      </c>
      <c r="DCG4" s="9">
        <f>BDH(DCG$1,"RETURN_COM_EQY",DataStart,DataEnd,"Per=M","Days=A","Fill=P")</f>
        <v/>
      </c>
      <c r="DCI4" s="9">
        <f>BDH(DCI$1,"RETURN_COM_EQY",DataStart,DataEnd,"Per=M","Days=A","Fill=P")</f>
        <v/>
      </c>
      <c r="DCK4" s="9">
        <f>BDH(DCK$1,"RETURN_COM_EQY",DataStart,DataEnd,"Per=M","Days=A","Fill=P")</f>
        <v/>
      </c>
      <c r="DCM4" s="9">
        <f>BDH(DCM$1,"RETURN_COM_EQY",DataStart,DataEnd,"Per=M","Days=A","Fill=P")</f>
        <v/>
      </c>
      <c r="DCO4" s="9">
        <f>BDH(DCO$1,"RETURN_COM_EQY",DataStart,DataEnd,"Per=M","Days=A","Fill=P")</f>
        <v/>
      </c>
      <c r="DCQ4" s="9">
        <f>BDH(DCQ$1,"RETURN_COM_EQY",DataStart,DataEnd,"Per=M","Days=A","Fill=P")</f>
        <v/>
      </c>
      <c r="DCS4" s="9">
        <f>BDH(DCS$1,"RETURN_COM_EQY",DataStart,DataEnd,"Per=M","Days=A","Fill=P")</f>
        <v/>
      </c>
      <c r="DCU4" s="9">
        <f>BDH(DCU$1,"RETURN_COM_EQY",DataStart,DataEnd,"Per=M","Days=A","Fill=P")</f>
        <v/>
      </c>
      <c r="DCW4" s="9">
        <f>BDH(DCW$1,"RETURN_COM_EQY",DataStart,DataEnd,"Per=M","Days=A","Fill=P")</f>
        <v/>
      </c>
      <c r="DCY4" s="9">
        <f>BDH(DCY$1,"RETURN_COM_EQY",DataStart,DataEnd,"Per=M","Days=A","Fill=P")</f>
        <v/>
      </c>
      <c r="DDA4" s="9">
        <f>BDH(DDA$1,"RETURN_COM_EQY",DataStart,DataEnd,"Per=M","Days=A","Fill=P")</f>
        <v/>
      </c>
      <c r="DDC4" s="9">
        <f>BDH(DDC$1,"RETURN_COM_EQY",DataStart,DataEnd,"Per=M","Days=A","Fill=P")</f>
        <v/>
      </c>
      <c r="DDE4" s="9">
        <f>BDH(DDE$1,"RETURN_COM_EQY",DataStart,DataEnd,"Per=M","Days=A","Fill=P")</f>
        <v/>
      </c>
      <c r="DDG4" s="9">
        <f>BDH(DDG$1,"RETURN_COM_EQY",DataStart,DataEnd,"Per=M","Days=A","Fill=P")</f>
        <v/>
      </c>
      <c r="DDI4" s="9">
        <f>BDH(DDI$1,"RETURN_COM_EQY",DataStart,DataEnd,"Per=M","Days=A","Fill=P")</f>
        <v/>
      </c>
      <c r="DDK4" s="9">
        <f>BDH(DDK$1,"RETURN_COM_EQY",DataStart,DataEnd,"Per=M","Days=A","Fill=P")</f>
        <v/>
      </c>
      <c r="DDM4" s="9">
        <f>BDH(DDM$1,"RETURN_COM_EQY",DataStart,DataEnd,"Per=M","Days=A","Fill=P")</f>
        <v/>
      </c>
      <c r="DDO4" s="9">
        <f>BDH(DDO$1,"RETURN_COM_EQY",DataStart,DataEnd,"Per=M","Days=A","Fill=P")</f>
        <v/>
      </c>
      <c r="DDQ4" s="9">
        <f>BDH(DDQ$1,"RETURN_COM_EQY",DataStart,DataEnd,"Per=M","Days=A","Fill=P")</f>
        <v/>
      </c>
      <c r="DDS4" s="9">
        <f>BDH(DDS$1,"RETURN_COM_EQY",DataStart,DataEnd,"Per=M","Days=A","Fill=P")</f>
        <v/>
      </c>
      <c r="DDU4" s="9">
        <f>BDH(DDU$1,"RETURN_COM_EQY",DataStart,DataEnd,"Per=M","Days=A","Fill=P")</f>
        <v/>
      </c>
      <c r="DDW4" s="9">
        <f>BDH(DDW$1,"RETURN_COM_EQY",DataStart,DataEnd,"Per=M","Days=A","Fill=P")</f>
        <v/>
      </c>
      <c r="DDY4" s="9">
        <f>BDH(DDY$1,"RETURN_COM_EQY",DataStart,DataEnd,"Per=M","Days=A","Fill=P")</f>
        <v/>
      </c>
      <c r="DEA4" s="9">
        <f>BDH(DEA$1,"RETURN_COM_EQY",DataStart,DataEnd,"Per=M","Days=A","Fill=P")</f>
        <v/>
      </c>
      <c r="DEC4" s="9">
        <f>BDH(DEC$1,"RETURN_COM_EQY",DataStart,DataEnd,"Per=M","Days=A","Fill=P")</f>
        <v/>
      </c>
      <c r="DEE4" s="9">
        <f>BDH(DEE$1,"RETURN_COM_EQY",DataStart,DataEnd,"Per=M","Days=A","Fill=P")</f>
        <v/>
      </c>
      <c r="DEG4" s="9">
        <f>BDH(DEG$1,"RETURN_COM_EQY",DataStart,DataEnd,"Per=M","Days=A","Fill=P")</f>
        <v/>
      </c>
      <c r="DEI4" s="9">
        <f>BDH(DEI$1,"RETURN_COM_EQY",DataStart,DataEnd,"Per=M","Days=A","Fill=P")</f>
        <v/>
      </c>
      <c r="DEK4" s="9">
        <f>BDH(DEK$1,"RETURN_COM_EQY",DataStart,DataEnd,"Per=M","Days=A","Fill=P")</f>
        <v/>
      </c>
      <c r="DEM4" s="9">
        <f>BDH(DEM$1,"RETURN_COM_EQY",DataStart,DataEnd,"Per=M","Days=A","Fill=P")</f>
        <v/>
      </c>
      <c r="DEO4" s="9">
        <f>BDH(DEO$1,"RETURN_COM_EQY",DataStart,DataEnd,"Per=M","Days=A","Fill=P")</f>
        <v/>
      </c>
      <c r="DEQ4" s="9">
        <f>BDH(DEQ$1,"RETURN_COM_EQY",DataStart,DataEnd,"Per=M","Days=A","Fill=P")</f>
        <v/>
      </c>
      <c r="DES4" s="9">
        <f>BDH(DES$1,"RETURN_COM_EQY",DataStart,DataEnd,"Per=M","Days=A","Fill=P")</f>
        <v/>
      </c>
      <c r="DEU4" s="9">
        <f>BDH(DEU$1,"RETURN_COM_EQY",DataStart,DataEnd,"Per=M","Days=A","Fill=P")</f>
        <v/>
      </c>
      <c r="DEW4" s="9">
        <f>BDH(DEW$1,"RETURN_COM_EQY",DataStart,DataEnd,"Per=M","Days=A","Fill=P")</f>
        <v/>
      </c>
      <c r="DEY4" s="9">
        <f>BDH(DEY$1,"RETURN_COM_EQY",DataStart,DataEnd,"Per=M","Days=A","Fill=P")</f>
        <v/>
      </c>
      <c r="DFA4" s="9">
        <f>BDH(DFA$1,"RETURN_COM_EQY",DataStart,DataEnd,"Per=M","Days=A","Fill=P")</f>
        <v/>
      </c>
      <c r="DFC4" s="9">
        <f>BDH(DFC$1,"RETURN_COM_EQY",DataStart,DataEnd,"Per=M","Days=A","Fill=P")</f>
        <v/>
      </c>
      <c r="DFE4" s="9">
        <f>BDH(DFE$1,"RETURN_COM_EQY",DataStart,DataEnd,"Per=M","Days=A","Fill=P")</f>
        <v/>
      </c>
      <c r="DFG4" s="9">
        <f>BDH(DFG$1,"RETURN_COM_EQY",DataStart,DataEnd,"Per=M","Days=A","Fill=P")</f>
        <v/>
      </c>
      <c r="DFI4" s="9">
        <f>BDH(DFI$1,"RETURN_COM_EQY",DataStart,DataEnd,"Per=M","Days=A","Fill=P")</f>
        <v/>
      </c>
      <c r="DFK4" s="9">
        <f>BDH(DFK$1,"RETURN_COM_EQY",DataStart,DataEnd,"Per=M","Days=A","Fill=P")</f>
        <v/>
      </c>
      <c r="DFM4" s="9">
        <f>BDH(DFM$1,"RETURN_COM_EQY",DataStart,DataEnd,"Per=M","Days=A","Fill=P")</f>
        <v/>
      </c>
      <c r="DFO4" s="9">
        <f>BDH(DFO$1,"RETURN_COM_EQY",DataStart,DataEnd,"Per=M","Days=A","Fill=P")</f>
        <v/>
      </c>
      <c r="DFQ4" s="9">
        <f>BDH(DFQ$1,"RETURN_COM_EQY",DataStart,DataEnd,"Per=M","Days=A","Fill=P")</f>
        <v/>
      </c>
      <c r="DFS4" s="9">
        <f>BDH(DFS$1,"RETURN_COM_EQY",DataStart,DataEnd,"Per=M","Days=A","Fill=P")</f>
        <v/>
      </c>
      <c r="DFU4" s="9">
        <f>BDH(DFU$1,"RETURN_COM_EQY",DataStart,DataEnd,"Per=M","Days=A","Fill=P")</f>
        <v/>
      </c>
      <c r="DFW4" s="9">
        <f>BDH(DFW$1,"RETURN_COM_EQY",DataStart,DataEnd,"Per=M","Days=A","Fill=P")</f>
        <v/>
      </c>
      <c r="DFY4" s="9">
        <f>BDH(DFY$1,"RETURN_COM_EQY",DataStart,DataEnd,"Per=M","Days=A","Fill=P")</f>
        <v/>
      </c>
      <c r="DGA4" s="9">
        <f>BDH(DGA$1,"RETURN_COM_EQY",DataStart,DataEnd,"Per=M","Days=A","Fill=P")</f>
        <v/>
      </c>
      <c r="DGC4" s="9">
        <f>BDH(DGC$1,"RETURN_COM_EQY",DataStart,DataEnd,"Per=M","Days=A","Fill=P")</f>
        <v/>
      </c>
      <c r="DGE4" s="9">
        <f>BDH(DGE$1,"RETURN_COM_EQY",DataStart,DataEnd,"Per=M","Days=A","Fill=P")</f>
        <v/>
      </c>
      <c r="DGG4" s="9">
        <f>BDH(DGG$1,"RETURN_COM_EQY",DataStart,DataEnd,"Per=M","Days=A","Fill=P")</f>
        <v/>
      </c>
      <c r="DGI4" s="9">
        <f>BDH(DGI$1,"RETURN_COM_EQY",DataStart,DataEnd,"Per=M","Days=A","Fill=P")</f>
        <v/>
      </c>
      <c r="DGK4" s="9">
        <f>BDH(DGK$1,"RETURN_COM_EQY",DataStart,DataEnd,"Per=M","Days=A","Fill=P")</f>
        <v/>
      </c>
      <c r="DGM4" s="9">
        <f>BDH(DGM$1,"RETURN_COM_EQY",DataStart,DataEnd,"Per=M","Days=A","Fill=P")</f>
        <v/>
      </c>
      <c r="DGO4" s="9">
        <f>BDH(DGO$1,"RETURN_COM_EQY",DataStart,DataEnd,"Per=M","Days=A","Fill=P")</f>
        <v/>
      </c>
      <c r="DGQ4" s="9">
        <f>BDH(DGQ$1,"RETURN_COM_EQY",DataStart,DataEnd,"Per=M","Days=A","Fill=P")</f>
        <v/>
      </c>
      <c r="DGS4" s="9">
        <f>BDH(DGS$1,"RETURN_COM_EQY",DataStart,DataEnd,"Per=M","Days=A","Fill=P")</f>
        <v/>
      </c>
      <c r="DGU4" s="9">
        <f>BDH(DGU$1,"RETURN_COM_EQY",DataStart,DataEnd,"Per=M","Days=A","Fill=P")</f>
        <v/>
      </c>
      <c r="DGW4" s="9">
        <f>BDH(DGW$1,"RETURN_COM_EQY",DataStart,DataEnd,"Per=M","Days=A","Fill=P")</f>
        <v/>
      </c>
      <c r="DGY4" s="9">
        <f>BDH(DGY$1,"RETURN_COM_EQY",DataStart,DataEnd,"Per=M","Days=A","Fill=P")</f>
        <v/>
      </c>
      <c r="DHA4" s="9">
        <f>BDH(DHA$1,"RETURN_COM_EQY",DataStart,DataEnd,"Per=M","Days=A","Fill=P")</f>
        <v/>
      </c>
      <c r="DHC4" s="9">
        <f>BDH(DHC$1,"RETURN_COM_EQY",DataStart,DataEnd,"Per=M","Days=A","Fill=P")</f>
        <v/>
      </c>
      <c r="DHE4" s="9">
        <f>BDH(DHE$1,"RETURN_COM_EQY",DataStart,DataEnd,"Per=M","Days=A","Fill=P")</f>
        <v/>
      </c>
      <c r="DHG4" s="9">
        <f>BDH(DHG$1,"RETURN_COM_EQY",DataStart,DataEnd,"Per=M","Days=A","Fill=P")</f>
        <v/>
      </c>
      <c r="DHI4" s="9">
        <f>BDH(DHI$1,"RETURN_COM_EQY",DataStart,DataEnd,"Per=M","Days=A","Fill=P")</f>
        <v/>
      </c>
      <c r="DHK4" s="9">
        <f>BDH(DHK$1,"RETURN_COM_EQY",DataStart,DataEnd,"Per=M","Days=A","Fill=P")</f>
        <v/>
      </c>
      <c r="DHM4" s="9">
        <f>BDH(DHM$1,"RETURN_COM_EQY",DataStart,DataEnd,"Per=M","Days=A","Fill=P")</f>
        <v/>
      </c>
      <c r="DHO4" s="9">
        <f>BDH(DHO$1,"RETURN_COM_EQY",DataStart,DataEnd,"Per=M","Days=A","Fill=P")</f>
        <v/>
      </c>
      <c r="DHQ4" s="9">
        <f>BDH(DHQ$1,"RETURN_COM_EQY",DataStart,DataEnd,"Per=M","Days=A","Fill=P")</f>
        <v/>
      </c>
      <c r="DHS4" s="9">
        <f>BDH(DHS$1,"RETURN_COM_EQY",DataStart,DataEnd,"Per=M","Days=A","Fill=P")</f>
        <v/>
      </c>
      <c r="DHU4" s="9">
        <f>BDH(DHU$1,"RETURN_COM_EQY",DataStart,DataEnd,"Per=M","Days=A","Fill=P")</f>
        <v/>
      </c>
      <c r="DHW4" s="9">
        <f>BDH(DHW$1,"RETURN_COM_EQY",DataStart,DataEnd,"Per=M","Days=A","Fill=P")</f>
        <v/>
      </c>
      <c r="DHY4" s="9">
        <f>BDH(DHY$1,"RETURN_COM_EQY",DataStart,DataEnd,"Per=M","Days=A","Fill=P")</f>
        <v/>
      </c>
      <c r="DIA4" s="9">
        <f>BDH(DIA$1,"RETURN_COM_EQY",DataStart,DataEnd,"Per=M","Days=A","Fill=P")</f>
        <v/>
      </c>
      <c r="DIC4" s="9">
        <f>BDH(DIC$1,"RETURN_COM_EQY",DataStart,DataEnd,"Per=M","Days=A","Fill=P")</f>
        <v/>
      </c>
      <c r="DIE4" s="9">
        <f>BDH(DIE$1,"RETURN_COM_EQY",DataStart,DataEnd,"Per=M","Days=A","Fill=P")</f>
        <v/>
      </c>
      <c r="DIG4" s="9">
        <f>BDH(DIG$1,"RETURN_COM_EQY",DataStart,DataEnd,"Per=M","Days=A","Fill=P")</f>
        <v/>
      </c>
      <c r="DII4" s="9">
        <f>BDH(DII$1,"RETURN_COM_EQY",DataStart,DataEnd,"Per=M","Days=A","Fill=P")</f>
        <v/>
      </c>
      <c r="DIK4" s="9">
        <f>BDH(DIK$1,"RETURN_COM_EQY",DataStart,DataEnd,"Per=M","Days=A","Fill=P")</f>
        <v/>
      </c>
      <c r="DIM4" s="9">
        <f>BDH(DIM$1,"RETURN_COM_EQY",DataStart,DataEnd,"Per=M","Days=A","Fill=P")</f>
        <v/>
      </c>
      <c r="DIO4" s="9">
        <f>BDH(DIO$1,"RETURN_COM_EQY",DataStart,DataEnd,"Per=M","Days=A","Fill=P")</f>
        <v/>
      </c>
      <c r="DIQ4" s="9">
        <f>BDH(DIQ$1,"RETURN_COM_EQY",DataStart,DataEnd,"Per=M","Days=A","Fill=P")</f>
        <v/>
      </c>
      <c r="DIS4" s="9">
        <f>BDH(DIS$1,"RETURN_COM_EQY",DataStart,DataEnd,"Per=M","Days=A","Fill=P")</f>
        <v/>
      </c>
      <c r="DIU4" s="9">
        <f>BDH(DIU$1,"RETURN_COM_EQY",DataStart,DataEnd,"Per=M","Days=A","Fill=P")</f>
        <v/>
      </c>
      <c r="DIW4" s="9">
        <f>BDH(DIW$1,"RETURN_COM_EQY",DataStart,DataEnd,"Per=M","Days=A","Fill=P")</f>
        <v/>
      </c>
      <c r="DIY4" s="9">
        <f>BDH(DIY$1,"RETURN_COM_EQY",DataStart,DataEnd,"Per=M","Days=A","Fill=P")</f>
        <v/>
      </c>
      <c r="DJA4" s="9">
        <f>BDH(DJA$1,"RETURN_COM_EQY",DataStart,DataEnd,"Per=M","Days=A","Fill=P")</f>
        <v/>
      </c>
      <c r="DJC4" s="9">
        <f>BDH(DJC$1,"RETURN_COM_EQY",DataStart,DataEnd,"Per=M","Days=A","Fill=P")</f>
        <v/>
      </c>
      <c r="DJE4" s="9">
        <f>BDH(DJE$1,"RETURN_COM_EQY",DataStart,DataEnd,"Per=M","Days=A","Fill=P")</f>
        <v/>
      </c>
      <c r="DJG4" s="9">
        <f>BDH(DJG$1,"RETURN_COM_EQY",DataStart,DataEnd,"Per=M","Days=A","Fill=P")</f>
        <v/>
      </c>
      <c r="DJI4" s="9">
        <f>BDH(DJI$1,"RETURN_COM_EQY",DataStart,DataEnd,"Per=M","Days=A","Fill=P")</f>
        <v/>
      </c>
      <c r="DJK4" s="9">
        <f>BDH(DJK$1,"RETURN_COM_EQY",DataStart,DataEnd,"Per=M","Days=A","Fill=P")</f>
        <v/>
      </c>
      <c r="DJM4" s="9">
        <f>BDH(DJM$1,"RETURN_COM_EQY",DataStart,DataEnd,"Per=M","Days=A","Fill=P")</f>
        <v/>
      </c>
      <c r="DJO4" s="9">
        <f>BDH(DJO$1,"RETURN_COM_EQY",DataStart,DataEnd,"Per=M","Days=A","Fill=P")</f>
        <v/>
      </c>
      <c r="DJQ4" s="9">
        <f>BDH(DJQ$1,"RETURN_COM_EQY",DataStart,DataEnd,"Per=M","Days=A","Fill=P")</f>
        <v/>
      </c>
      <c r="DJS4" s="9">
        <f>BDH(DJS$1,"RETURN_COM_EQY",DataStart,DataEnd,"Per=M","Days=A","Fill=P")</f>
        <v/>
      </c>
      <c r="DJU4" s="9">
        <f>BDH(DJU$1,"RETURN_COM_EQY",DataStart,DataEnd,"Per=M","Days=A","Fill=P")</f>
        <v/>
      </c>
      <c r="DJW4" s="9">
        <f>BDH(DJW$1,"RETURN_COM_EQY",DataStart,DataEnd,"Per=M","Days=A","Fill=P")</f>
        <v/>
      </c>
      <c r="DJY4" s="9">
        <f>BDH(DJY$1,"RETURN_COM_EQY",DataStart,DataEnd,"Per=M","Days=A","Fill=P")</f>
        <v/>
      </c>
      <c r="DKA4" s="9">
        <f>BDH(DKA$1,"RETURN_COM_EQY",DataStart,DataEnd,"Per=M","Days=A","Fill=P")</f>
        <v/>
      </c>
      <c r="DKC4" s="9">
        <f>BDH(DKC$1,"RETURN_COM_EQY",DataStart,DataEnd,"Per=M","Days=A","Fill=P")</f>
        <v/>
      </c>
      <c r="DKE4" s="9">
        <f>BDH(DKE$1,"RETURN_COM_EQY",DataStart,DataEnd,"Per=M","Days=A","Fill=P")</f>
        <v/>
      </c>
      <c r="DKG4" s="9">
        <f>BDH(DKG$1,"RETURN_COM_EQY",DataStart,DataEnd,"Per=M","Days=A","Fill=P")</f>
        <v/>
      </c>
      <c r="DKI4" s="9">
        <f>BDH(DKI$1,"RETURN_COM_EQY",DataStart,DataEnd,"Per=M","Days=A","Fill=P")</f>
        <v/>
      </c>
      <c r="DKK4" s="9">
        <f>BDH(DKK$1,"RETURN_COM_EQY",DataStart,DataEnd,"Per=M","Days=A","Fill=P")</f>
        <v/>
      </c>
      <c r="DKM4" s="9">
        <f>BDH(DKM$1,"RETURN_COM_EQY",DataStart,DataEnd,"Per=M","Days=A","Fill=P")</f>
        <v/>
      </c>
      <c r="DKO4" s="9">
        <f>BDH(DKO$1,"RETURN_COM_EQY",DataStart,DataEnd,"Per=M","Days=A","Fill=P")</f>
        <v/>
      </c>
      <c r="DKQ4" s="9">
        <f>BDH(DKQ$1,"RETURN_COM_EQY",DataStart,DataEnd,"Per=M","Days=A","Fill=P")</f>
        <v/>
      </c>
      <c r="DKS4" s="9">
        <f>BDH(DKS$1,"RETURN_COM_EQY",DataStart,DataEnd,"Per=M","Days=A","Fill=P")</f>
        <v/>
      </c>
      <c r="DKU4" s="9">
        <f>BDH(DKU$1,"RETURN_COM_EQY",DataStart,DataEnd,"Per=M","Days=A","Fill=P")</f>
        <v/>
      </c>
      <c r="DKW4" s="9">
        <f>BDH(DKW$1,"RETURN_COM_EQY",DataStart,DataEnd,"Per=M","Days=A","Fill=P")</f>
        <v/>
      </c>
      <c r="DKY4" s="9">
        <f>BDH(DKY$1,"RETURN_COM_EQY",DataStart,DataEnd,"Per=M","Days=A","Fill=P")</f>
        <v/>
      </c>
      <c r="DLA4" s="9">
        <f>BDH(DLA$1,"RETURN_COM_EQY",DataStart,DataEnd,"Per=M","Days=A","Fill=P")</f>
        <v/>
      </c>
      <c r="DLC4" s="9">
        <f>BDH(DLC$1,"RETURN_COM_EQY",DataStart,DataEnd,"Per=M","Days=A","Fill=P")</f>
        <v/>
      </c>
      <c r="DLE4" s="9">
        <f>BDH(DLE$1,"RETURN_COM_EQY",DataStart,DataEnd,"Per=M","Days=A","Fill=P")</f>
        <v/>
      </c>
      <c r="DLG4" s="9">
        <f>BDH(DLG$1,"RETURN_COM_EQY",DataStart,DataEnd,"Per=M","Days=A","Fill=P")</f>
        <v/>
      </c>
      <c r="DLI4" s="9">
        <f>BDH(DLI$1,"RETURN_COM_EQY",DataStart,DataEnd,"Per=M","Days=A","Fill=P")</f>
        <v/>
      </c>
      <c r="DLK4" s="9">
        <f>BDH(DLK$1,"RETURN_COM_EQY",DataStart,DataEnd,"Per=M","Days=A","Fill=P")</f>
        <v/>
      </c>
      <c r="DLM4" s="9">
        <f>BDH(DLM$1,"RETURN_COM_EQY",DataStart,DataEnd,"Per=M","Days=A","Fill=P")</f>
        <v/>
      </c>
      <c r="DLO4" s="9">
        <f>BDH(DLO$1,"RETURN_COM_EQY",DataStart,DataEnd,"Per=M","Days=A","Fill=P")</f>
        <v/>
      </c>
      <c r="DLQ4" s="9">
        <f>BDH(DLQ$1,"RETURN_COM_EQY",DataStart,DataEnd,"Per=M","Days=A","Fill=P")</f>
        <v/>
      </c>
      <c r="DLS4" s="9">
        <f>BDH(DLS$1,"RETURN_COM_EQY",DataStart,DataEnd,"Per=M","Days=A","Fill=P")</f>
        <v/>
      </c>
      <c r="DLU4" s="9">
        <f>BDH(DLU$1,"RETURN_COM_EQY",DataStart,DataEnd,"Per=M","Days=A","Fill=P")</f>
        <v/>
      </c>
      <c r="DLW4" s="9">
        <f>BDH(DLW$1,"RETURN_COM_EQY",DataStart,DataEnd,"Per=M","Days=A","Fill=P")</f>
        <v/>
      </c>
      <c r="DLY4" s="9">
        <f>BDH(DLY$1,"RETURN_COM_EQY",DataStart,DataEnd,"Per=M","Days=A","Fill=P")</f>
        <v/>
      </c>
      <c r="DMA4" s="9">
        <f>BDH(DMA$1,"RETURN_COM_EQY",DataStart,DataEnd,"Per=M","Days=A","Fill=P")</f>
        <v/>
      </c>
      <c r="DMC4" s="9">
        <f>BDH(DMC$1,"RETURN_COM_EQY",DataStart,DataEnd,"Per=M","Days=A","Fill=P")</f>
        <v/>
      </c>
      <c r="DME4" s="9">
        <f>BDH(DME$1,"RETURN_COM_EQY",DataStart,DataEnd,"Per=M","Days=A","Fill=P")</f>
        <v/>
      </c>
      <c r="DMG4" s="9">
        <f>BDH(DMG$1,"RETURN_COM_EQY",DataStart,DataEnd,"Per=M","Days=A","Fill=P")</f>
        <v/>
      </c>
      <c r="DMI4" s="9">
        <f>BDH(DMI$1,"RETURN_COM_EQY",DataStart,DataEnd,"Per=M","Days=A","Fill=P")</f>
        <v/>
      </c>
      <c r="DMK4" s="9">
        <f>BDH(DMK$1,"RETURN_COM_EQY",DataStart,DataEnd,"Per=M","Days=A","Fill=P")</f>
        <v/>
      </c>
      <c r="DMM4" s="9">
        <f>BDH(DMM$1,"RETURN_COM_EQY",DataStart,DataEnd,"Per=M","Days=A","Fill=P")</f>
        <v/>
      </c>
      <c r="DMO4" s="9">
        <f>BDH(DMO$1,"RETURN_COM_EQY",DataStart,DataEnd,"Per=M","Days=A","Fill=P")</f>
        <v/>
      </c>
      <c r="DMQ4" s="9">
        <f>BDH(DMQ$1,"RETURN_COM_EQY",DataStart,DataEnd,"Per=M","Days=A","Fill=P")</f>
        <v/>
      </c>
      <c r="DMS4" s="9">
        <f>BDH(DMS$1,"RETURN_COM_EQY",DataStart,DataEnd,"Per=M","Days=A","Fill=P")</f>
        <v/>
      </c>
      <c r="DMU4" s="9">
        <f>BDH(DMU$1,"RETURN_COM_EQY",DataStart,DataEnd,"Per=M","Days=A","Fill=P")</f>
        <v/>
      </c>
      <c r="DMW4" s="9">
        <f>BDH(DMW$1,"RETURN_COM_EQY",DataStart,DataEnd,"Per=M","Days=A","Fill=P")</f>
        <v/>
      </c>
      <c r="DMY4" s="9">
        <f>BDH(DMY$1,"RETURN_COM_EQY",DataStart,DataEnd,"Per=M","Days=A","Fill=P")</f>
        <v/>
      </c>
      <c r="DNA4" s="9">
        <f>BDH(DNA$1,"RETURN_COM_EQY",DataStart,DataEnd,"Per=M","Days=A","Fill=P")</f>
        <v/>
      </c>
      <c r="DNC4" s="9">
        <f>BDH(DNC$1,"RETURN_COM_EQY",DataStart,DataEnd,"Per=M","Days=A","Fill=P")</f>
        <v/>
      </c>
      <c r="DNE4" s="9">
        <f>BDH(DNE$1,"RETURN_COM_EQY",DataStart,DataEnd,"Per=M","Days=A","Fill=P")</f>
        <v/>
      </c>
      <c r="DNG4" s="9">
        <f>BDH(DNG$1,"RETURN_COM_EQY",DataStart,DataEnd,"Per=M","Days=A","Fill=P")</f>
        <v/>
      </c>
      <c r="DNI4" s="9">
        <f>BDH(DNI$1,"RETURN_COM_EQY",DataStart,DataEnd,"Per=M","Days=A","Fill=P")</f>
        <v/>
      </c>
      <c r="DNK4" s="9">
        <f>BDH(DNK$1,"RETURN_COM_EQY",DataStart,DataEnd,"Per=M","Days=A","Fill=P")</f>
        <v/>
      </c>
      <c r="DNM4" s="9">
        <f>BDH(DNM$1,"RETURN_COM_EQY",DataStart,DataEnd,"Per=M","Days=A","Fill=P")</f>
        <v/>
      </c>
      <c r="DNO4" s="9">
        <f>BDH(DNO$1,"RETURN_COM_EQY",DataStart,DataEnd,"Per=M","Days=A","Fill=P")</f>
        <v/>
      </c>
      <c r="DNQ4" s="9">
        <f>BDH(DNQ$1,"RETURN_COM_EQY",DataStart,DataEnd,"Per=M","Days=A","Fill=P")</f>
        <v/>
      </c>
      <c r="DNS4" s="9">
        <f>BDH(DNS$1,"RETURN_COM_EQY",DataStart,DataEnd,"Per=M","Days=A","Fill=P")</f>
        <v/>
      </c>
      <c r="DNU4" s="9">
        <f>BDH(DNU$1,"RETURN_COM_EQY",DataStart,DataEnd,"Per=M","Days=A","Fill=P")</f>
        <v/>
      </c>
      <c r="DNW4" s="9">
        <f>BDH(DNW$1,"RETURN_COM_EQY",DataStart,DataEnd,"Per=M","Days=A","Fill=P")</f>
        <v/>
      </c>
      <c r="DNY4" s="9">
        <f>BDH(DNY$1,"RETURN_COM_EQY",DataStart,DataEnd,"Per=M","Days=A","Fill=P")</f>
        <v/>
      </c>
      <c r="DOA4" s="9">
        <f>BDH(DOA$1,"RETURN_COM_EQY",DataStart,DataEnd,"Per=M","Days=A","Fill=P")</f>
        <v/>
      </c>
      <c r="DOC4" s="9">
        <f>BDH(DOC$1,"RETURN_COM_EQY",DataStart,DataEnd,"Per=M","Days=A","Fill=P")</f>
        <v/>
      </c>
      <c r="DOE4" s="9">
        <f>BDH(DOE$1,"RETURN_COM_EQY",DataStart,DataEnd,"Per=M","Days=A","Fill=P")</f>
        <v/>
      </c>
      <c r="DOG4" s="9">
        <f>BDH(DOG$1,"RETURN_COM_EQY",DataStart,DataEnd,"Per=M","Days=A","Fill=P")</f>
        <v/>
      </c>
      <c r="DOI4" s="9">
        <f>BDH(DOI$1,"RETURN_COM_EQY",DataStart,DataEnd,"Per=M","Days=A","Fill=P")</f>
        <v/>
      </c>
      <c r="DOK4" s="9">
        <f>BDH(DOK$1,"RETURN_COM_EQY",DataStart,DataEnd,"Per=M","Days=A","Fill=P")</f>
        <v/>
      </c>
      <c r="DOM4" s="9">
        <f>BDH(DOM$1,"RETURN_COM_EQY",DataStart,DataEnd,"Per=M","Days=A","Fill=P")</f>
        <v/>
      </c>
      <c r="DOO4" s="9">
        <f>BDH(DOO$1,"RETURN_COM_EQY",DataStart,DataEnd,"Per=M","Days=A","Fill=P")</f>
        <v/>
      </c>
      <c r="DOQ4" s="9">
        <f>BDH(DOQ$1,"RETURN_COM_EQY",DataStart,DataEnd,"Per=M","Days=A","Fill=P")</f>
        <v/>
      </c>
      <c r="DOS4" s="9">
        <f>BDH(DOS$1,"RETURN_COM_EQY",DataStart,DataEnd,"Per=M","Days=A","Fill=P")</f>
        <v/>
      </c>
      <c r="DOU4" s="9">
        <f>BDH(DOU$1,"RETURN_COM_EQY",DataStart,DataEnd,"Per=M","Days=A","Fill=P")</f>
        <v/>
      </c>
      <c r="DOW4" s="9">
        <f>BDH(DOW$1,"RETURN_COM_EQY",DataStart,DataEnd,"Per=M","Days=A","Fill=P")</f>
        <v/>
      </c>
      <c r="DOY4" s="9">
        <f>BDH(DOY$1,"RETURN_COM_EQY",DataStart,DataEnd,"Per=M","Days=A","Fill=P")</f>
        <v/>
      </c>
      <c r="DPA4" s="9">
        <f>BDH(DPA$1,"RETURN_COM_EQY",DataStart,DataEnd,"Per=M","Days=A","Fill=P")</f>
        <v/>
      </c>
      <c r="DPC4" s="9">
        <f>BDH(DPC$1,"RETURN_COM_EQY",DataStart,DataEnd,"Per=M","Days=A","Fill=P")</f>
        <v/>
      </c>
      <c r="DPE4" s="9">
        <f>BDH(DPE$1,"RETURN_COM_EQY",DataStart,DataEnd,"Per=M","Days=A","Fill=P")</f>
        <v/>
      </c>
      <c r="DPG4" s="9">
        <f>BDH(DPG$1,"RETURN_COM_EQY",DataStart,DataEnd,"Per=M","Days=A","Fill=P")</f>
        <v/>
      </c>
      <c r="DPI4" s="9">
        <f>BDH(DPI$1,"RETURN_COM_EQY",DataStart,DataEnd,"Per=M","Days=A","Fill=P")</f>
        <v/>
      </c>
      <c r="DPK4" s="9">
        <f>BDH(DPK$1,"RETURN_COM_EQY",DataStart,DataEnd,"Per=M","Days=A","Fill=P")</f>
        <v/>
      </c>
      <c r="DPM4" s="9">
        <f>BDH(DPM$1,"RETURN_COM_EQY",DataStart,DataEnd,"Per=M","Days=A","Fill=P")</f>
        <v/>
      </c>
      <c r="DPO4" s="9">
        <f>BDH(DPO$1,"RETURN_COM_EQY",DataStart,DataEnd,"Per=M","Days=A","Fill=P")</f>
        <v/>
      </c>
      <c r="DPQ4" s="9">
        <f>BDH(DPQ$1,"RETURN_COM_EQY",DataStart,DataEnd,"Per=M","Days=A","Fill=P")</f>
        <v/>
      </c>
      <c r="DPS4" s="9">
        <f>BDH(DPS$1,"RETURN_COM_EQY",DataStart,DataEnd,"Per=M","Days=A","Fill=P")</f>
        <v/>
      </c>
      <c r="DPU4" s="9">
        <f>BDH(DPU$1,"RETURN_COM_EQY",DataStart,DataEnd,"Per=M","Days=A","Fill=P")</f>
        <v/>
      </c>
      <c r="DPW4" s="9">
        <f>BDH(DPW$1,"RETURN_COM_EQY",DataStart,DataEnd,"Per=M","Days=A","Fill=P")</f>
        <v/>
      </c>
      <c r="DPY4" s="9">
        <f>BDH(DPY$1,"RETURN_COM_EQY",DataStart,DataEnd,"Per=M","Days=A","Fill=P")</f>
        <v/>
      </c>
      <c r="DQA4" s="9">
        <f>BDH(DQA$1,"RETURN_COM_EQY",DataStart,DataEnd,"Per=M","Days=A","Fill=P")</f>
        <v/>
      </c>
      <c r="DQC4" s="9">
        <f>BDH(DQC$1,"RETURN_COM_EQY",DataStart,DataEnd,"Per=M","Days=A","Fill=P")</f>
        <v/>
      </c>
      <c r="DQE4" s="9">
        <f>BDH(DQE$1,"RETURN_COM_EQY",DataStart,DataEnd,"Per=M","Days=A","Fill=P")</f>
        <v/>
      </c>
      <c r="DQG4" s="9">
        <f>BDH(DQG$1,"RETURN_COM_EQY",DataStart,DataEnd,"Per=M","Days=A","Fill=P")</f>
        <v/>
      </c>
      <c r="DQI4" s="9">
        <f>BDH(DQI$1,"RETURN_COM_EQY",DataStart,DataEnd,"Per=M","Days=A","Fill=P")</f>
        <v/>
      </c>
      <c r="DQK4" s="9">
        <f>BDH(DQK$1,"RETURN_COM_EQY",DataStart,DataEnd,"Per=M","Days=A","Fill=P")</f>
        <v/>
      </c>
      <c r="DQM4" s="9">
        <f>BDH(DQM$1,"RETURN_COM_EQY",DataStart,DataEnd,"Per=M","Days=A","Fill=P")</f>
        <v/>
      </c>
      <c r="DQO4" s="9">
        <f>BDH(DQO$1,"RETURN_COM_EQY",DataStart,DataEnd,"Per=M","Days=A","Fill=P")</f>
        <v/>
      </c>
      <c r="DQQ4" s="9">
        <f>BDH(DQQ$1,"RETURN_COM_EQY",DataStart,DataEnd,"Per=M","Days=A","Fill=P")</f>
        <v/>
      </c>
      <c r="DQS4" s="9">
        <f>BDH(DQS$1,"RETURN_COM_EQY",DataStart,DataEnd,"Per=M","Days=A","Fill=P")</f>
        <v/>
      </c>
      <c r="DQU4" s="9">
        <f>BDH(DQU$1,"RETURN_COM_EQY",DataStart,DataEnd,"Per=M","Days=A","Fill=P")</f>
        <v/>
      </c>
      <c r="DQW4" s="9">
        <f>BDH(DQW$1,"RETURN_COM_EQY",DataStart,DataEnd,"Per=M","Days=A","Fill=P")</f>
        <v/>
      </c>
      <c r="DQY4" s="9">
        <f>BDH(DQY$1,"RETURN_COM_EQY",DataStart,DataEnd,"Per=M","Days=A","Fill=P")</f>
        <v/>
      </c>
      <c r="DRA4" s="9">
        <f>BDH(DRA$1,"RETURN_COM_EQY",DataStart,DataEnd,"Per=M","Days=A","Fill=P")</f>
        <v/>
      </c>
      <c r="DRC4" s="9">
        <f>BDH(DRC$1,"RETURN_COM_EQY",DataStart,DataEnd,"Per=M","Days=A","Fill=P")</f>
        <v/>
      </c>
      <c r="DRE4" s="9">
        <f>BDH(DRE$1,"RETURN_COM_EQY",DataStart,DataEnd,"Per=M","Days=A","Fill=P")</f>
        <v/>
      </c>
      <c r="DRG4" s="9">
        <f>BDH(DRG$1,"RETURN_COM_EQY",DataStart,DataEnd,"Per=M","Days=A","Fill=P")</f>
        <v/>
      </c>
      <c r="DRI4" s="9">
        <f>BDH(DRI$1,"RETURN_COM_EQY",DataStart,DataEnd,"Per=M","Days=A","Fill=P")</f>
        <v/>
      </c>
      <c r="DRK4" s="9">
        <f>BDH(DRK$1,"RETURN_COM_EQY",DataStart,DataEnd,"Per=M","Days=A","Fill=P")</f>
        <v/>
      </c>
      <c r="DRM4" s="9">
        <f>BDH(DRM$1,"RETURN_COM_EQY",DataStart,DataEnd,"Per=M","Days=A","Fill=P")</f>
        <v/>
      </c>
      <c r="DRO4" s="9">
        <f>BDH(DRO$1,"RETURN_COM_EQY",DataStart,DataEnd,"Per=M","Days=A","Fill=P")</f>
        <v/>
      </c>
      <c r="DRQ4" s="9">
        <f>BDH(DRQ$1,"RETURN_COM_EQY",DataStart,DataEnd,"Per=M","Days=A","Fill=P")</f>
        <v/>
      </c>
      <c r="DRS4" s="9">
        <f>BDH(DRS$1,"RETURN_COM_EQY",DataStart,DataEnd,"Per=M","Days=A","Fill=P")</f>
        <v/>
      </c>
      <c r="DRU4" s="9">
        <f>BDH(DRU$1,"RETURN_COM_EQY",DataStart,DataEnd,"Per=M","Days=A","Fill=P")</f>
        <v/>
      </c>
      <c r="DRW4" s="9">
        <f>BDH(DRW$1,"RETURN_COM_EQY",DataStart,DataEnd,"Per=M","Days=A","Fill=P")</f>
        <v/>
      </c>
      <c r="DRY4" s="9">
        <f>BDH(DRY$1,"RETURN_COM_EQY",DataStart,DataEnd,"Per=M","Days=A","Fill=P")</f>
        <v/>
      </c>
      <c r="DSA4" s="9">
        <f>BDH(DSA$1,"RETURN_COM_EQY",DataStart,DataEnd,"Per=M","Days=A","Fill=P")</f>
        <v/>
      </c>
      <c r="DSC4" s="9">
        <f>BDH(DSC$1,"RETURN_COM_EQY",DataStart,DataEnd,"Per=M","Days=A","Fill=P")</f>
        <v/>
      </c>
      <c r="DSE4" s="9">
        <f>BDH(DSE$1,"RETURN_COM_EQY",DataStart,DataEnd,"Per=M","Days=A","Fill=P")</f>
        <v/>
      </c>
      <c r="DSG4" s="9">
        <f>BDH(DSG$1,"RETURN_COM_EQY",DataStart,DataEnd,"Per=M","Days=A","Fill=P")</f>
        <v/>
      </c>
      <c r="DSI4" s="9">
        <f>BDH(DSI$1,"RETURN_COM_EQY",DataStart,DataEnd,"Per=M","Days=A","Fill=P")</f>
        <v/>
      </c>
      <c r="DSK4" s="9">
        <f>BDH(DSK$1,"RETURN_COM_EQY",DataStart,DataEnd,"Per=M","Days=A","Fill=P")</f>
        <v/>
      </c>
      <c r="DSM4" s="9">
        <f>BDH(DSM$1,"RETURN_COM_EQY",DataStart,DataEnd,"Per=M","Days=A","Fill=P")</f>
        <v/>
      </c>
      <c r="DSO4" s="9">
        <f>BDH(DSO$1,"RETURN_COM_EQY",DataStart,DataEnd,"Per=M","Days=A","Fill=P")</f>
        <v/>
      </c>
      <c r="DSQ4" s="9">
        <f>BDH(DSQ$1,"RETURN_COM_EQY",DataStart,DataEnd,"Per=M","Days=A","Fill=P")</f>
        <v/>
      </c>
      <c r="DSS4" s="9">
        <f>BDH(DSS$1,"RETURN_COM_EQY",DataStart,DataEnd,"Per=M","Days=A","Fill=P")</f>
        <v/>
      </c>
      <c r="DSU4" s="9">
        <f>BDH(DSU$1,"RETURN_COM_EQY",DataStart,DataEnd,"Per=M","Days=A","Fill=P")</f>
        <v/>
      </c>
      <c r="DSW4" s="9">
        <f>BDH(DSW$1,"RETURN_COM_EQY",DataStart,DataEnd,"Per=M","Days=A","Fill=P")</f>
        <v/>
      </c>
      <c r="DSY4" s="9">
        <f>BDH(DSY$1,"RETURN_COM_EQY",DataStart,DataEnd,"Per=M","Days=A","Fill=P")</f>
        <v/>
      </c>
      <c r="DTA4" s="9">
        <f>BDH(DTA$1,"RETURN_COM_EQY",DataStart,DataEnd,"Per=M","Days=A","Fill=P")</f>
        <v/>
      </c>
      <c r="DTC4" s="9">
        <f>BDH(DTC$1,"RETURN_COM_EQY",DataStart,DataEnd,"Per=M","Days=A","Fill=P")</f>
        <v/>
      </c>
      <c r="DTE4" s="9">
        <f>BDH(DTE$1,"RETURN_COM_EQY",DataStart,DataEnd,"Per=M","Days=A","Fill=P")</f>
        <v/>
      </c>
      <c r="DTG4" s="9">
        <f>BDH(DTG$1,"RETURN_COM_EQY",DataStart,DataEnd,"Per=M","Days=A","Fill=P")</f>
        <v/>
      </c>
      <c r="DTI4" s="9">
        <f>BDH(DTI$1,"RETURN_COM_EQY",DataStart,DataEnd,"Per=M","Days=A","Fill=P")</f>
        <v/>
      </c>
      <c r="DTK4" s="9">
        <f>BDH(DTK$1,"RETURN_COM_EQY",DataStart,DataEnd,"Per=M","Days=A","Fill=P")</f>
        <v/>
      </c>
      <c r="DTM4" s="9">
        <f>BDH(DTM$1,"RETURN_COM_EQY",DataStart,DataEnd,"Per=M","Days=A","Fill=P")</f>
        <v/>
      </c>
      <c r="DTO4" s="9">
        <f>BDH(DTO$1,"RETURN_COM_EQY",DataStart,DataEnd,"Per=M","Days=A","Fill=P")</f>
        <v/>
      </c>
      <c r="DTQ4" s="9">
        <f>BDH(DTQ$1,"RETURN_COM_EQY",DataStart,DataEnd,"Per=M","Days=A","Fill=P")</f>
        <v/>
      </c>
      <c r="DTS4" s="9">
        <f>BDH(DTS$1,"RETURN_COM_EQY",DataStart,DataEnd,"Per=M","Days=A","Fill=P")</f>
        <v/>
      </c>
      <c r="DTU4" s="9">
        <f>BDH(DTU$1,"RETURN_COM_EQY",DataStart,DataEnd,"Per=M","Days=A","Fill=P")</f>
        <v/>
      </c>
      <c r="DTW4" s="9">
        <f>BDH(DTW$1,"RETURN_COM_EQY",DataStart,DataEnd,"Per=M","Days=A","Fill=P")</f>
        <v/>
      </c>
      <c r="DTY4" s="9">
        <f>BDH(DTY$1,"RETURN_COM_EQY",DataStart,DataEnd,"Per=M","Days=A","Fill=P")</f>
        <v/>
      </c>
      <c r="DUA4" s="9">
        <f>BDH(DUA$1,"RETURN_COM_EQY",DataStart,DataEnd,"Per=M","Days=A","Fill=P")</f>
        <v/>
      </c>
      <c r="DUC4" s="9">
        <f>BDH(DUC$1,"RETURN_COM_EQY",DataStart,DataEnd,"Per=M","Days=A","Fill=P")</f>
        <v/>
      </c>
      <c r="DUE4" s="9">
        <f>BDH(DUE$1,"RETURN_COM_EQY",DataStart,DataEnd,"Per=M","Days=A","Fill=P")</f>
        <v/>
      </c>
      <c r="DUG4" s="9">
        <f>BDH(DUG$1,"RETURN_COM_EQY",DataStart,DataEnd,"Per=M","Days=A","Fill=P")</f>
        <v/>
      </c>
      <c r="DUI4" s="9">
        <f>BDH(DUI$1,"RETURN_COM_EQY",DataStart,DataEnd,"Per=M","Days=A","Fill=P")</f>
        <v/>
      </c>
      <c r="DUK4" s="9">
        <f>BDH(DUK$1,"RETURN_COM_EQY",DataStart,DataEnd,"Per=M","Days=A","Fill=P")</f>
        <v/>
      </c>
      <c r="DUM4" s="9">
        <f>BDH(DUM$1,"RETURN_COM_EQY",DataStart,DataEnd,"Per=M","Days=A","Fill=P")</f>
        <v/>
      </c>
      <c r="DUO4" s="9">
        <f>BDH(DUO$1,"RETURN_COM_EQY",DataStart,DataEnd,"Per=M","Days=A","Fill=P")</f>
        <v/>
      </c>
      <c r="DUQ4" s="9">
        <f>BDH(DUQ$1,"RETURN_COM_EQY",DataStart,DataEnd,"Per=M","Days=A","Fill=P")</f>
        <v/>
      </c>
      <c r="DUS4" s="9">
        <f>BDH(DUS$1,"RETURN_COM_EQY",DataStart,DataEnd,"Per=M","Days=A","Fill=P")</f>
        <v/>
      </c>
      <c r="DUU4" s="9">
        <f>BDH(DUU$1,"RETURN_COM_EQY",DataStart,DataEnd,"Per=M","Days=A","Fill=P")</f>
        <v/>
      </c>
      <c r="DUW4" s="9">
        <f>BDH(DUW$1,"RETURN_COM_EQY",DataStart,DataEnd,"Per=M","Days=A","Fill=P")</f>
        <v/>
      </c>
      <c r="DUY4" s="9">
        <f>BDH(DUY$1,"RETURN_COM_EQY",DataStart,DataEnd,"Per=M","Days=A","Fill=P")</f>
        <v/>
      </c>
      <c r="DVA4" s="9">
        <f>BDH(DVA$1,"RETURN_COM_EQY",DataStart,DataEnd,"Per=M","Days=A","Fill=P")</f>
        <v/>
      </c>
      <c r="DVC4" s="9">
        <f>BDH(DVC$1,"RETURN_COM_EQY",DataStart,DataEnd,"Per=M","Days=A","Fill=P")</f>
        <v/>
      </c>
      <c r="DVE4" s="9">
        <f>BDH(DVE$1,"RETURN_COM_EQY",DataStart,DataEnd,"Per=M","Days=A","Fill=P")</f>
        <v/>
      </c>
      <c r="DVG4" s="9">
        <f>BDH(DVG$1,"RETURN_COM_EQY",DataStart,DataEnd,"Per=M","Days=A","Fill=P")</f>
        <v/>
      </c>
      <c r="DVI4" s="9">
        <f>BDH(DVI$1,"RETURN_COM_EQY",DataStart,DataEnd,"Per=M","Days=A","Fill=P")</f>
        <v/>
      </c>
      <c r="DVK4" s="9">
        <f>BDH(DVK$1,"RETURN_COM_EQY",DataStart,DataEnd,"Per=M","Days=A","Fill=P")</f>
        <v/>
      </c>
      <c r="DVM4" s="9">
        <f>BDH(DVM$1,"RETURN_COM_EQY",DataStart,DataEnd,"Per=M","Days=A","Fill=P")</f>
        <v/>
      </c>
      <c r="DVO4" s="9">
        <f>BDH(DVO$1,"RETURN_COM_EQY",DataStart,DataEnd,"Per=M","Days=A","Fill=P")</f>
        <v/>
      </c>
      <c r="DVQ4" s="9">
        <f>BDH(DVQ$1,"RETURN_COM_EQY",DataStart,DataEnd,"Per=M","Days=A","Fill=P")</f>
        <v/>
      </c>
      <c r="DVS4" s="9">
        <f>BDH(DVS$1,"RETURN_COM_EQY",DataStart,DataEnd,"Per=M","Days=A","Fill=P")</f>
        <v/>
      </c>
      <c r="DVU4" s="9">
        <f>BDH(DVU$1,"RETURN_COM_EQY",DataStart,DataEnd,"Per=M","Days=A","Fill=P")</f>
        <v/>
      </c>
      <c r="DVW4" s="9">
        <f>BDH(DVW$1,"RETURN_COM_EQY",DataStart,DataEnd,"Per=M","Days=A","Fill=P")</f>
        <v/>
      </c>
      <c r="DVY4" s="9">
        <f>BDH(DVY$1,"RETURN_COM_EQY",DataStart,DataEnd,"Per=M","Days=A","Fill=P")</f>
        <v/>
      </c>
      <c r="DWA4" s="9">
        <f>BDH(DWA$1,"RETURN_COM_EQY",DataStart,DataEnd,"Per=M","Days=A","Fill=P")</f>
        <v/>
      </c>
      <c r="DWC4" s="9">
        <f>BDH(DWC$1,"RETURN_COM_EQY",DataStart,DataEnd,"Per=M","Days=A","Fill=P")</f>
        <v/>
      </c>
      <c r="DWE4" s="9">
        <f>BDH(DWE$1,"RETURN_COM_EQY",DataStart,DataEnd,"Per=M","Days=A","Fill=P")</f>
        <v/>
      </c>
      <c r="DWG4" s="9">
        <f>BDH(DWG$1,"RETURN_COM_EQY",DataStart,DataEnd,"Per=M","Days=A","Fill=P")</f>
        <v/>
      </c>
      <c r="DWI4" s="9">
        <f>BDH(DWI$1,"RETURN_COM_EQY",DataStart,DataEnd,"Per=M","Days=A","Fill=P")</f>
        <v/>
      </c>
      <c r="DWK4" s="9">
        <f>BDH(DWK$1,"RETURN_COM_EQY",DataStart,DataEnd,"Per=M","Days=A","Fill=P")</f>
        <v/>
      </c>
      <c r="DWM4" s="9">
        <f>BDH(DWM$1,"RETURN_COM_EQY",DataStart,DataEnd,"Per=M","Days=A","Fill=P")</f>
        <v/>
      </c>
      <c r="DWO4" s="9">
        <f>BDH(DWO$1,"RETURN_COM_EQY",DataStart,DataEnd,"Per=M","Days=A","Fill=P")</f>
        <v/>
      </c>
      <c r="DWQ4" s="9">
        <f>BDH(DWQ$1,"RETURN_COM_EQY",DataStart,DataEnd,"Per=M","Days=A","Fill=P")</f>
        <v/>
      </c>
      <c r="DWS4" s="9">
        <f>BDH(DWS$1,"RETURN_COM_EQY",DataStart,DataEnd,"Per=M","Days=A","Fill=P")</f>
        <v/>
      </c>
      <c r="DWU4" s="9">
        <f>BDH(DWU$1,"RETURN_COM_EQY",DataStart,DataEnd,"Per=M","Days=A","Fill=P")</f>
        <v/>
      </c>
      <c r="DWW4" s="9">
        <f>BDH(DWW$1,"RETURN_COM_EQY",DataStart,DataEnd,"Per=M","Days=A","Fill=P")</f>
        <v/>
      </c>
      <c r="DWY4" s="9">
        <f>BDH(DWY$1,"RETURN_COM_EQY",DataStart,DataEnd,"Per=M","Days=A","Fill=P")</f>
        <v/>
      </c>
      <c r="DXA4" s="9">
        <f>BDH(DXA$1,"RETURN_COM_EQY",DataStart,DataEnd,"Per=M","Days=A","Fill=P")</f>
        <v/>
      </c>
      <c r="DXC4" s="9">
        <f>BDH(DXC$1,"RETURN_COM_EQY",DataStart,DataEnd,"Per=M","Days=A","Fill=P")</f>
        <v/>
      </c>
      <c r="DXE4" s="9">
        <f>BDH(DXE$1,"RETURN_COM_EQY",DataStart,DataEnd,"Per=M","Days=A","Fill=P")</f>
        <v/>
      </c>
      <c r="DXG4" s="9">
        <f>BDH(DXG$1,"RETURN_COM_EQY",DataStart,DataEnd,"Per=M","Days=A","Fill=P")</f>
        <v/>
      </c>
      <c r="DXI4" s="9">
        <f>BDH(DXI$1,"RETURN_COM_EQY",DataStart,DataEnd,"Per=M","Days=A","Fill=P")</f>
        <v/>
      </c>
      <c r="DXK4" s="9">
        <f>BDH(DXK$1,"RETURN_COM_EQY",DataStart,DataEnd,"Per=M","Days=A","Fill=P")</f>
        <v/>
      </c>
      <c r="DXM4" s="9">
        <f>BDH(DXM$1,"RETURN_COM_EQY",DataStart,DataEnd,"Per=M","Days=A","Fill=P")</f>
        <v/>
      </c>
      <c r="DXO4" s="9">
        <f>BDH(DXO$1,"RETURN_COM_EQY",DataStart,DataEnd,"Per=M","Days=A","Fill=P")</f>
        <v/>
      </c>
      <c r="DXQ4" s="9">
        <f>BDH(DXQ$1,"RETURN_COM_EQY",DataStart,DataEnd,"Per=M","Days=A","Fill=P")</f>
        <v/>
      </c>
      <c r="DXS4" s="9">
        <f>BDH(DXS$1,"RETURN_COM_EQY",DataStart,DataEnd,"Per=M","Days=A","Fill=P")</f>
        <v/>
      </c>
      <c r="DXU4" s="9">
        <f>BDH(DXU$1,"RETURN_COM_EQY",DataStart,DataEnd,"Per=M","Days=A","Fill=P")</f>
        <v/>
      </c>
      <c r="DXW4" s="9">
        <f>BDH(DXW$1,"RETURN_COM_EQY",DataStart,DataEnd,"Per=M","Days=A","Fill=P")</f>
        <v/>
      </c>
      <c r="DXY4" s="9">
        <f>BDH(DXY$1,"RETURN_COM_EQY",DataStart,DataEnd,"Per=M","Days=A","Fill=P")</f>
        <v/>
      </c>
      <c r="DYA4" s="9">
        <f>BDH(DYA$1,"RETURN_COM_EQY",DataStart,DataEnd,"Per=M","Days=A","Fill=P")</f>
        <v/>
      </c>
      <c r="DYC4" s="9">
        <f>BDH(DYC$1,"RETURN_COM_EQY",DataStart,DataEnd,"Per=M","Days=A","Fill=P")</f>
        <v/>
      </c>
      <c r="DYE4" s="9">
        <f>BDH(DYE$1,"RETURN_COM_EQY",DataStart,DataEnd,"Per=M","Days=A","Fill=P")</f>
        <v/>
      </c>
      <c r="DYG4" s="9">
        <f>BDH(DYG$1,"RETURN_COM_EQY",DataStart,DataEnd,"Per=M","Days=A","Fill=P")</f>
        <v/>
      </c>
      <c r="DYI4" s="9">
        <f>BDH(DYI$1,"RETURN_COM_EQY",DataStart,DataEnd,"Per=M","Days=A","Fill=P")</f>
        <v/>
      </c>
      <c r="DYK4" s="9">
        <f>BDH(DYK$1,"RETURN_COM_EQY",DataStart,DataEnd,"Per=M","Days=A","Fill=P")</f>
        <v/>
      </c>
      <c r="DYM4" s="9">
        <f>BDH(DYM$1,"RETURN_COM_EQY",DataStart,DataEnd,"Per=M","Days=A","Fill=P")</f>
        <v/>
      </c>
      <c r="DYO4" s="9">
        <f>BDH(DYO$1,"RETURN_COM_EQY",DataStart,DataEnd,"Per=M","Days=A","Fill=P")</f>
        <v/>
      </c>
      <c r="DYQ4" s="9">
        <f>BDH(DYQ$1,"RETURN_COM_EQY",DataStart,DataEnd,"Per=M","Days=A","Fill=P")</f>
        <v/>
      </c>
      <c r="DYS4" s="9">
        <f>BDH(DYS$1,"RETURN_COM_EQY",DataStart,DataEnd,"Per=M","Days=A","Fill=P")</f>
        <v/>
      </c>
      <c r="DYU4" s="9">
        <f>BDH(DYU$1,"RETURN_COM_EQY",DataStart,DataEnd,"Per=M","Days=A","Fill=P")</f>
        <v/>
      </c>
      <c r="DYW4" s="9">
        <f>BDH(DYW$1,"RETURN_COM_EQY",DataStart,DataEnd,"Per=M","Days=A","Fill=P")</f>
        <v/>
      </c>
      <c r="DYY4" s="9">
        <f>BDH(DYY$1,"RETURN_COM_EQY",DataStart,DataEnd,"Per=M","Days=A","Fill=P")</f>
        <v/>
      </c>
      <c r="DZA4" s="9">
        <f>BDH(DZA$1,"RETURN_COM_EQY",DataStart,DataEnd,"Per=M","Days=A","Fill=P")</f>
        <v/>
      </c>
      <c r="DZC4" s="9">
        <f>BDH(DZC$1,"RETURN_COM_EQY",DataStart,DataEnd,"Per=M","Days=A","Fill=P")</f>
        <v/>
      </c>
      <c r="DZE4" s="9">
        <f>BDH(DZE$1,"RETURN_COM_EQY",DataStart,DataEnd,"Per=M","Days=A","Fill=P")</f>
        <v/>
      </c>
      <c r="DZG4" s="9">
        <f>BDH(DZG$1,"RETURN_COM_EQY",DataStart,DataEnd,"Per=M","Days=A","Fill=P")</f>
        <v/>
      </c>
      <c r="DZI4" s="9">
        <f>BDH(DZI$1,"RETURN_COM_EQY",DataStart,DataEnd,"Per=M","Days=A","Fill=P")</f>
        <v/>
      </c>
      <c r="DZK4" s="9">
        <f>BDH(DZK$1,"RETURN_COM_EQY",DataStart,DataEnd,"Per=M","Days=A","Fill=P")</f>
        <v/>
      </c>
      <c r="DZM4" s="9">
        <f>BDH(DZM$1,"RETURN_COM_EQY",DataStart,DataEnd,"Per=M","Days=A","Fill=P")</f>
        <v/>
      </c>
      <c r="DZO4" s="9">
        <f>BDH(DZO$1,"RETURN_COM_EQY",DataStart,DataEnd,"Per=M","Days=A","Fill=P")</f>
        <v/>
      </c>
      <c r="DZQ4" s="9">
        <f>BDH(DZQ$1,"RETURN_COM_EQY",DataStart,DataEnd,"Per=M","Days=A","Fill=P")</f>
        <v/>
      </c>
      <c r="DZS4" s="9">
        <f>BDH(DZS$1,"RETURN_COM_EQY",DataStart,DataEnd,"Per=M","Days=A","Fill=P")</f>
        <v/>
      </c>
      <c r="DZU4" s="9">
        <f>BDH(DZU$1,"RETURN_COM_EQY",DataStart,DataEnd,"Per=M","Days=A","Fill=P")</f>
        <v/>
      </c>
      <c r="DZW4" s="9">
        <f>BDH(DZW$1,"RETURN_COM_EQY",DataStart,DataEnd,"Per=M","Days=A","Fill=P")</f>
        <v/>
      </c>
      <c r="DZY4" s="9">
        <f>BDH(DZY$1,"RETURN_COM_EQY",DataStart,DataEnd,"Per=M","Days=A","Fill=P")</f>
        <v/>
      </c>
      <c r="EAA4" s="9">
        <f>BDH(EAA$1,"RETURN_COM_EQY",DataStart,DataEnd,"Per=M","Days=A","Fill=P")</f>
        <v/>
      </c>
      <c r="EAC4" s="9">
        <f>BDH(EAC$1,"RETURN_COM_EQY",DataStart,DataEnd,"Per=M","Days=A","Fill=P")</f>
        <v/>
      </c>
      <c r="EAE4" s="9">
        <f>BDH(EAE$1,"RETURN_COM_EQY",DataStart,DataEnd,"Per=M","Days=A","Fill=P")</f>
        <v/>
      </c>
      <c r="EAG4" s="9">
        <f>BDH(EAG$1,"RETURN_COM_EQY",DataStart,DataEnd,"Per=M","Days=A","Fill=P")</f>
        <v/>
      </c>
      <c r="EAI4" s="9">
        <f>BDH(EAI$1,"RETURN_COM_EQY",DataStart,DataEnd,"Per=M","Days=A","Fill=P")</f>
        <v/>
      </c>
      <c r="EAK4" s="9">
        <f>BDH(EAK$1,"RETURN_COM_EQY",DataStart,DataEnd,"Per=M","Days=A","Fill=P")</f>
        <v/>
      </c>
      <c r="EAM4" s="9">
        <f>BDH(EAM$1,"RETURN_COM_EQY",DataStart,DataEnd,"Per=M","Days=A","Fill=P")</f>
        <v/>
      </c>
      <c r="EAO4" s="9">
        <f>BDH(EAO$1,"RETURN_COM_EQY",DataStart,DataEnd,"Per=M","Days=A","Fill=P")</f>
        <v/>
      </c>
      <c r="EAQ4" s="9">
        <f>BDH(EAQ$1,"RETURN_COM_EQY",DataStart,DataEnd,"Per=M","Days=A","Fill=P")</f>
        <v/>
      </c>
      <c r="EAS4" s="9">
        <f>BDH(EAS$1,"RETURN_COM_EQY",DataStart,DataEnd,"Per=M","Days=A","Fill=P")</f>
        <v/>
      </c>
      <c r="EAU4" s="9">
        <f>BDH(EAU$1,"RETURN_COM_EQY",DataStart,DataEnd,"Per=M","Days=A","Fill=P")</f>
        <v/>
      </c>
      <c r="EAW4" s="9">
        <f>BDH(EAW$1,"RETURN_COM_EQY",DataStart,DataEnd,"Per=M","Days=A","Fill=P")</f>
        <v/>
      </c>
      <c r="EAY4" s="9">
        <f>BDH(EAY$1,"RETURN_COM_EQY",DataStart,DataEnd,"Per=M","Days=A","Fill=P")</f>
        <v/>
      </c>
      <c r="EBA4" s="9">
        <f>BDH(EBA$1,"RETURN_COM_EQY",DataStart,DataEnd,"Per=M","Days=A","Fill=P")</f>
        <v/>
      </c>
      <c r="EBC4" s="9">
        <f>BDH(EBC$1,"RETURN_COM_EQY",DataStart,DataEnd,"Per=M","Days=A","Fill=P")</f>
        <v/>
      </c>
      <c r="EBE4" s="9">
        <f>BDH(EBE$1,"RETURN_COM_EQY",DataStart,DataEnd,"Per=M","Days=A","Fill=P")</f>
        <v/>
      </c>
      <c r="EBG4" s="9">
        <f>BDH(EBG$1,"RETURN_COM_EQY",DataStart,DataEnd,"Per=M","Days=A","Fill=P")</f>
        <v/>
      </c>
      <c r="EBI4" s="9">
        <f>BDH(EBI$1,"RETURN_COM_EQY",DataStart,DataEnd,"Per=M","Days=A","Fill=P")</f>
        <v/>
      </c>
      <c r="EBK4" s="9">
        <f>BDH(EBK$1,"RETURN_COM_EQY",DataStart,DataEnd,"Per=M","Days=A","Fill=P")</f>
        <v/>
      </c>
      <c r="EBM4" s="9">
        <f>BDH(EBM$1,"RETURN_COM_EQY",DataStart,DataEnd,"Per=M","Days=A","Fill=P")</f>
        <v/>
      </c>
      <c r="EBO4" s="9">
        <f>BDH(EBO$1,"RETURN_COM_EQY",DataStart,DataEnd,"Per=M","Days=A","Fill=P")</f>
        <v/>
      </c>
      <c r="EBQ4" s="9">
        <f>BDH(EBQ$1,"RETURN_COM_EQY",DataStart,DataEnd,"Per=M","Days=A","Fill=P")</f>
        <v/>
      </c>
      <c r="EBS4" s="9">
        <f>BDH(EBS$1,"RETURN_COM_EQY",DataStart,DataEnd,"Per=M","Days=A","Fill=P")</f>
        <v/>
      </c>
      <c r="EBU4" s="9">
        <f>BDH(EBU$1,"RETURN_COM_EQY",DataStart,DataEnd,"Per=M","Days=A","Fill=P")</f>
        <v/>
      </c>
      <c r="EBW4" s="9">
        <f>BDH(EBW$1,"RETURN_COM_EQY",DataStart,DataEnd,"Per=M","Days=A","Fill=P")</f>
        <v/>
      </c>
      <c r="EBY4" s="9">
        <f>BDH(EBY$1,"RETURN_COM_EQY",DataStart,DataEnd,"Per=M","Days=A","Fill=P")</f>
        <v/>
      </c>
      <c r="ECA4" s="9">
        <f>BDH(ECA$1,"RETURN_COM_EQY",DataStart,DataEnd,"Per=M","Days=A","Fill=P")</f>
        <v/>
      </c>
      <c r="ECC4" s="9">
        <f>BDH(ECC$1,"RETURN_COM_EQY",DataStart,DataEnd,"Per=M","Days=A","Fill=P")</f>
        <v/>
      </c>
      <c r="ECE4" s="9">
        <f>BDH(ECE$1,"RETURN_COM_EQY",DataStart,DataEnd,"Per=M","Days=A","Fill=P")</f>
        <v/>
      </c>
      <c r="ECG4" s="9">
        <f>BDH(ECG$1,"RETURN_COM_EQY",DataStart,DataEnd,"Per=M","Days=A","Fill=P")</f>
        <v/>
      </c>
      <c r="ECI4" s="9">
        <f>BDH(ECI$1,"RETURN_COM_EQY",DataStart,DataEnd,"Per=M","Days=A","Fill=P")</f>
        <v/>
      </c>
      <c r="ECK4" s="9">
        <f>BDH(ECK$1,"RETURN_COM_EQY",DataStart,DataEnd,"Per=M","Days=A","Fill=P")</f>
        <v/>
      </c>
      <c r="ECM4" s="9">
        <f>BDH(ECM$1,"RETURN_COM_EQY",DataStart,DataEnd,"Per=M","Days=A","Fill=P")</f>
        <v/>
      </c>
      <c r="ECO4" s="9">
        <f>BDH(ECO$1,"RETURN_COM_EQY",DataStart,DataEnd,"Per=M","Days=A","Fill=P")</f>
        <v/>
      </c>
      <c r="ECQ4" s="9">
        <f>BDH(ECQ$1,"RETURN_COM_EQY",DataStart,DataEnd,"Per=M","Days=A","Fill=P")</f>
        <v/>
      </c>
      <c r="ECS4" s="9">
        <f>BDH(ECS$1,"RETURN_COM_EQY",DataStart,DataEnd,"Per=M","Days=A","Fill=P")</f>
        <v/>
      </c>
      <c r="ECU4" s="9">
        <f>BDH(ECU$1,"RETURN_COM_EQY",DataStart,DataEnd,"Per=M","Days=A","Fill=P")</f>
        <v/>
      </c>
      <c r="ECW4" s="9">
        <f>BDH(ECW$1,"RETURN_COM_EQY",DataStart,DataEnd,"Per=M","Days=A","Fill=P")</f>
        <v/>
      </c>
      <c r="ECY4" s="9">
        <f>BDH(ECY$1,"RETURN_COM_EQY",DataStart,DataEnd,"Per=M","Days=A","Fill=P")</f>
        <v/>
      </c>
      <c r="EDA4" s="9">
        <f>BDH(EDA$1,"RETURN_COM_EQY",DataStart,DataEnd,"Per=M","Days=A","Fill=P")</f>
        <v/>
      </c>
      <c r="EDC4" s="9">
        <f>BDH(EDC$1,"RETURN_COM_EQY",DataStart,DataEnd,"Per=M","Days=A","Fill=P")</f>
        <v/>
      </c>
      <c r="EDE4" s="9">
        <f>BDH(EDE$1,"RETURN_COM_EQY",DataStart,DataEnd,"Per=M","Days=A","Fill=P")</f>
        <v/>
      </c>
      <c r="EDG4" s="9">
        <f>BDH(EDG$1,"RETURN_COM_EQY",DataStart,DataEnd,"Per=M","Days=A","Fill=P")</f>
        <v/>
      </c>
      <c r="EDI4" s="9">
        <f>BDH(EDI$1,"RETURN_COM_EQY",DataStart,DataEnd,"Per=M","Days=A","Fill=P")</f>
        <v/>
      </c>
      <c r="EDK4" s="9">
        <f>BDH(EDK$1,"RETURN_COM_EQY",DataStart,DataEnd,"Per=M","Days=A","Fill=P")</f>
        <v/>
      </c>
      <c r="EDM4" s="9">
        <f>BDH(EDM$1,"RETURN_COM_EQY",DataStart,DataEnd,"Per=M","Days=A","Fill=P")</f>
        <v/>
      </c>
      <c r="EDO4" s="9">
        <f>BDH(EDO$1,"RETURN_COM_EQY",DataStart,DataEnd,"Per=M","Days=A","Fill=P")</f>
        <v/>
      </c>
      <c r="EDQ4" s="9">
        <f>BDH(EDQ$1,"RETURN_COM_EQY",DataStart,DataEnd,"Per=M","Days=A","Fill=P")</f>
        <v/>
      </c>
      <c r="EDS4" s="9">
        <f>BDH(EDS$1,"RETURN_COM_EQY",DataStart,DataEnd,"Per=M","Days=A","Fill=P")</f>
        <v/>
      </c>
      <c r="EDU4" s="9">
        <f>BDH(EDU$1,"RETURN_COM_EQY",DataStart,DataEnd,"Per=M","Days=A","Fill=P")</f>
        <v/>
      </c>
      <c r="EDW4" s="9">
        <f>BDH(EDW$1,"RETURN_COM_EQY",DataStart,DataEnd,"Per=M","Days=A","Fill=P")</f>
        <v/>
      </c>
      <c r="EDY4" s="9">
        <f>BDH(EDY$1,"RETURN_COM_EQY",DataStart,DataEnd,"Per=M","Days=A","Fill=P")</f>
        <v/>
      </c>
      <c r="EEA4" s="9">
        <f>BDH(EEA$1,"RETURN_COM_EQY",DataStart,DataEnd,"Per=M","Days=A","Fill=P")</f>
        <v/>
      </c>
      <c r="EEC4" s="9">
        <f>BDH(EEC$1,"RETURN_COM_EQY",DataStart,DataEnd,"Per=M","Days=A","Fill=P")</f>
        <v/>
      </c>
      <c r="EEE4" s="9">
        <f>BDH(EEE$1,"RETURN_COM_EQY",DataStart,DataEnd,"Per=M","Days=A","Fill=P")</f>
        <v/>
      </c>
      <c r="EEG4" s="9">
        <f>BDH(EEG$1,"RETURN_COM_EQY",DataStart,DataEnd,"Per=M","Days=A","Fill=P")</f>
        <v/>
      </c>
      <c r="EEI4" s="9">
        <f>BDH(EEI$1,"RETURN_COM_EQY",DataStart,DataEnd,"Per=M","Days=A","Fill=P")</f>
        <v/>
      </c>
      <c r="EEK4" s="9">
        <f>BDH(EEK$1,"RETURN_COM_EQY",DataStart,DataEnd,"Per=M","Days=A","Fill=P")</f>
        <v/>
      </c>
      <c r="EEM4" s="9">
        <f>BDH(EEM$1,"RETURN_COM_EQY",DataStart,DataEnd,"Per=M","Days=A","Fill=P")</f>
        <v/>
      </c>
      <c r="EEO4" s="9">
        <f>BDH(EEO$1,"RETURN_COM_EQY",DataStart,DataEnd,"Per=M","Days=A","Fill=P")</f>
        <v/>
      </c>
      <c r="EEQ4" s="9">
        <f>BDH(EEQ$1,"RETURN_COM_EQY",DataStart,DataEnd,"Per=M","Days=A","Fill=P")</f>
        <v/>
      </c>
      <c r="EES4" s="9">
        <f>BDH(EES$1,"RETURN_COM_EQY",DataStart,DataEnd,"Per=M","Days=A","Fill=P")</f>
        <v/>
      </c>
      <c r="EEU4" s="9">
        <f>BDH(EEU$1,"RETURN_COM_EQY",DataStart,DataEnd,"Per=M","Days=A","Fill=P")</f>
        <v/>
      </c>
      <c r="EEW4" s="9">
        <f>BDH(EEW$1,"RETURN_COM_EQY",DataStart,DataEnd,"Per=M","Days=A","Fill=P")</f>
        <v/>
      </c>
      <c r="EEY4" s="9">
        <f>BDH(EEY$1,"RETURN_COM_EQY",DataStart,DataEnd,"Per=M","Days=A","Fill=P")</f>
        <v/>
      </c>
      <c r="EFA4" s="9">
        <f>BDH(EFA$1,"RETURN_COM_EQY",DataStart,DataEnd,"Per=M","Days=A","Fill=P")</f>
        <v/>
      </c>
      <c r="EFC4" s="9">
        <f>BDH(EFC$1,"RETURN_COM_EQY",DataStart,DataEnd,"Per=M","Days=A","Fill=P")</f>
        <v/>
      </c>
      <c r="EFE4" s="9">
        <f>BDH(EFE$1,"RETURN_COM_EQY",DataStart,DataEnd,"Per=M","Days=A","Fill=P")</f>
        <v/>
      </c>
      <c r="EFG4" s="9">
        <f>BDH(EFG$1,"RETURN_COM_EQY",DataStart,DataEnd,"Per=M","Days=A","Fill=P")</f>
        <v/>
      </c>
      <c r="EFI4" s="9">
        <f>BDH(EFI$1,"RETURN_COM_EQY",DataStart,DataEnd,"Per=M","Days=A","Fill=P")</f>
        <v/>
      </c>
      <c r="EFK4" s="9">
        <f>BDH(EFK$1,"RETURN_COM_EQY",DataStart,DataEnd,"Per=M","Days=A","Fill=P")</f>
        <v/>
      </c>
      <c r="EFM4" s="9">
        <f>BDH(EFM$1,"RETURN_COM_EQY",DataStart,DataEnd,"Per=M","Days=A","Fill=P")</f>
        <v/>
      </c>
      <c r="EFO4" s="9">
        <f>BDH(EFO$1,"RETURN_COM_EQY",DataStart,DataEnd,"Per=M","Days=A","Fill=P")</f>
        <v/>
      </c>
      <c r="EFQ4" s="9">
        <f>BDH(EFQ$1,"RETURN_COM_EQY",DataStart,DataEnd,"Per=M","Days=A","Fill=P")</f>
        <v/>
      </c>
      <c r="EFS4" s="9">
        <f>BDH(EFS$1,"RETURN_COM_EQY",DataStart,DataEnd,"Per=M","Days=A","Fill=P")</f>
        <v/>
      </c>
      <c r="EFU4" s="9">
        <f>BDH(EFU$1,"RETURN_COM_EQY",DataStart,DataEnd,"Per=M","Days=A","Fill=P")</f>
        <v/>
      </c>
      <c r="EFW4" s="9">
        <f>BDH(EFW$1,"RETURN_COM_EQY",DataStart,DataEnd,"Per=M","Days=A","Fill=P")</f>
        <v/>
      </c>
      <c r="EFY4" s="9">
        <f>BDH(EFY$1,"RETURN_COM_EQY",DataStart,DataEnd,"Per=M","Days=A","Fill=P")</f>
        <v/>
      </c>
      <c r="EGA4" s="9">
        <f>BDH(EGA$1,"RETURN_COM_EQY",DataStart,DataEnd,"Per=M","Days=A","Fill=P")</f>
        <v/>
      </c>
      <c r="EGC4" s="9">
        <f>BDH(EGC$1,"RETURN_COM_EQY",DataStart,DataEnd,"Per=M","Days=A","Fill=P")</f>
        <v/>
      </c>
      <c r="EGE4" s="9">
        <f>BDH(EGE$1,"RETURN_COM_EQY",DataStart,DataEnd,"Per=M","Days=A","Fill=P")</f>
        <v/>
      </c>
      <c r="EGG4" s="9">
        <f>BDH(EGG$1,"RETURN_COM_EQY",DataStart,DataEnd,"Per=M","Days=A","Fill=P")</f>
        <v/>
      </c>
      <c r="EGI4" s="9">
        <f>BDH(EGI$1,"RETURN_COM_EQY",DataStart,DataEnd,"Per=M","Days=A","Fill=P")</f>
        <v/>
      </c>
      <c r="EGK4" s="9">
        <f>BDH(EGK$1,"RETURN_COM_EQY",DataStart,DataEnd,"Per=M","Days=A","Fill=P")</f>
        <v/>
      </c>
      <c r="EGM4" s="9">
        <f>BDH(EGM$1,"RETURN_COM_EQY",DataStart,DataEnd,"Per=M","Days=A","Fill=P")</f>
        <v/>
      </c>
      <c r="EGO4" s="9">
        <f>BDH(EGO$1,"RETURN_COM_EQY",DataStart,DataEnd,"Per=M","Days=A","Fill=P")</f>
        <v/>
      </c>
      <c r="EGQ4" s="9">
        <f>BDH(EGQ$1,"RETURN_COM_EQY",DataStart,DataEnd,"Per=M","Days=A","Fill=P")</f>
        <v/>
      </c>
      <c r="EGS4" s="9">
        <f>BDH(EGS$1,"RETURN_COM_EQY",DataStart,DataEnd,"Per=M","Days=A","Fill=P")</f>
        <v/>
      </c>
      <c r="EGU4" s="9">
        <f>BDH(EGU$1,"RETURN_COM_EQY",DataStart,DataEnd,"Per=M","Days=A","Fill=P")</f>
        <v/>
      </c>
      <c r="EGW4" s="9">
        <f>BDH(EGW$1,"RETURN_COM_EQY",DataStart,DataEnd,"Per=M","Days=A","Fill=P")</f>
        <v/>
      </c>
      <c r="EGY4" s="9">
        <f>BDH(EGY$1,"RETURN_COM_EQY",DataStart,DataEnd,"Per=M","Days=A","Fill=P")</f>
        <v/>
      </c>
      <c r="EHA4" s="9">
        <f>BDH(EHA$1,"RETURN_COM_EQY",DataStart,DataEnd,"Per=M","Days=A","Fill=P")</f>
        <v/>
      </c>
      <c r="EHC4" s="9">
        <f>BDH(EHC$1,"RETURN_COM_EQY",DataStart,DataEnd,"Per=M","Days=A","Fill=P")</f>
        <v/>
      </c>
      <c r="EHE4" s="9">
        <f>BDH(EHE$1,"RETURN_COM_EQY",DataStart,DataEnd,"Per=M","Days=A","Fill=P")</f>
        <v/>
      </c>
      <c r="EHG4" s="9">
        <f>BDH(EHG$1,"RETURN_COM_EQY",DataStart,DataEnd,"Per=M","Days=A","Fill=P")</f>
        <v/>
      </c>
      <c r="EHI4" s="9">
        <f>BDH(EHI$1,"RETURN_COM_EQY",DataStart,DataEnd,"Per=M","Days=A","Fill=P")</f>
        <v/>
      </c>
      <c r="EHK4" s="9">
        <f>BDH(EHK$1,"RETURN_COM_EQY",DataStart,DataEnd,"Per=M","Days=A","Fill=P")</f>
        <v/>
      </c>
      <c r="EHM4" s="9">
        <f>BDH(EHM$1,"RETURN_COM_EQY",DataStart,DataEnd,"Per=M","Days=A","Fill=P")</f>
        <v/>
      </c>
      <c r="EHO4" s="9">
        <f>BDH(EHO$1,"RETURN_COM_EQY",DataStart,DataEnd,"Per=M","Days=A","Fill=P")</f>
        <v/>
      </c>
      <c r="EHQ4" s="9">
        <f>BDH(EHQ$1,"RETURN_COM_EQY",DataStart,DataEnd,"Per=M","Days=A","Fill=P")</f>
        <v/>
      </c>
      <c r="EHS4" s="9">
        <f>BDH(EHS$1,"RETURN_COM_EQY",DataStart,DataEnd,"Per=M","Days=A","Fill=P")</f>
        <v/>
      </c>
      <c r="EHU4" s="9">
        <f>BDH(EHU$1,"RETURN_COM_EQY",DataStart,DataEnd,"Per=M","Days=A","Fill=P")</f>
        <v/>
      </c>
      <c r="EHW4" s="9">
        <f>BDH(EHW$1,"RETURN_COM_EQY",DataStart,DataEnd,"Per=M","Days=A","Fill=P")</f>
        <v/>
      </c>
      <c r="EHY4" s="9">
        <f>BDH(EHY$1,"RETURN_COM_EQY",DataStart,DataEnd,"Per=M","Days=A","Fill=P")</f>
        <v/>
      </c>
      <c r="EIA4" s="9">
        <f>BDH(EIA$1,"RETURN_COM_EQY",DataStart,DataEnd,"Per=M","Days=A","Fill=P")</f>
        <v/>
      </c>
      <c r="EIC4" s="9">
        <f>BDH(EIC$1,"RETURN_COM_EQY",DataStart,DataEnd,"Per=M","Days=A","Fill=P")</f>
        <v/>
      </c>
      <c r="EIE4" s="9">
        <f>BDH(EIE$1,"RETURN_COM_EQY",DataStart,DataEnd,"Per=M","Days=A","Fill=P")</f>
        <v/>
      </c>
      <c r="EIG4" s="9">
        <f>BDH(EIG$1,"RETURN_COM_EQY",DataStart,DataEnd,"Per=M","Days=A","Fill=P")</f>
        <v/>
      </c>
      <c r="EII4" s="9">
        <f>BDH(EII$1,"RETURN_COM_EQY",DataStart,DataEnd,"Per=M","Days=A","Fill=P")</f>
        <v/>
      </c>
      <c r="EIK4" s="9">
        <f>BDH(EIK$1,"RETURN_COM_EQY",DataStart,DataEnd,"Per=M","Days=A","Fill=P")</f>
        <v/>
      </c>
      <c r="EIM4" s="9">
        <f>BDH(EIM$1,"RETURN_COM_EQY",DataStart,DataEnd,"Per=M","Days=A","Fill=P")</f>
        <v/>
      </c>
      <c r="EIO4" s="9">
        <f>BDH(EIO$1,"RETURN_COM_EQY",DataStart,DataEnd,"Per=M","Days=A","Fill=P")</f>
        <v/>
      </c>
      <c r="EIQ4" s="9">
        <f>BDH(EIQ$1,"RETURN_COM_EQY",DataStart,DataEnd,"Per=M","Days=A","Fill=P")</f>
        <v/>
      </c>
      <c r="EIS4" s="9">
        <f>BDH(EIS$1,"RETURN_COM_EQY",DataStart,DataEnd,"Per=M","Days=A","Fill=P")</f>
        <v/>
      </c>
      <c r="EIU4" s="9">
        <f>BDH(EIU$1,"RETURN_COM_EQY",DataStart,DataEnd,"Per=M","Days=A","Fill=P")</f>
        <v/>
      </c>
      <c r="EIW4" s="9">
        <f>BDH(EIW$1,"RETURN_COM_EQY",DataStart,DataEnd,"Per=M","Days=A","Fill=P")</f>
        <v/>
      </c>
      <c r="EIY4" s="9">
        <f>BDH(EIY$1,"RETURN_COM_EQY",DataStart,DataEnd,"Per=M","Days=A","Fill=P")</f>
        <v/>
      </c>
      <c r="EJA4" s="9">
        <f>BDH(EJA$1,"RETURN_COM_EQY",DataStart,DataEnd,"Per=M","Days=A","Fill=P")</f>
        <v/>
      </c>
      <c r="EJC4" s="9">
        <f>BDH(EJC$1,"RETURN_COM_EQY",DataStart,DataEnd,"Per=M","Days=A","Fill=P")</f>
        <v/>
      </c>
      <c r="EJE4" s="9">
        <f>BDH(EJE$1,"RETURN_COM_EQY",DataStart,DataEnd,"Per=M","Days=A","Fill=P")</f>
        <v/>
      </c>
      <c r="EJG4" s="9">
        <f>BDH(EJG$1,"RETURN_COM_EQY",DataStart,DataEnd,"Per=M","Days=A","Fill=P")</f>
        <v/>
      </c>
      <c r="EJI4" s="9">
        <f>BDH(EJI$1,"RETURN_COM_EQY",DataStart,DataEnd,"Per=M","Days=A","Fill=P")</f>
        <v/>
      </c>
      <c r="EJK4" s="9">
        <f>BDH(EJK$1,"RETURN_COM_EQY",DataStart,DataEnd,"Per=M","Days=A","Fill=P")</f>
        <v/>
      </c>
      <c r="EJM4" s="9">
        <f>BDH(EJM$1,"RETURN_COM_EQY",DataStart,DataEnd,"Per=M","Days=A","Fill=P")</f>
        <v/>
      </c>
      <c r="EJO4" s="9">
        <f>BDH(EJO$1,"RETURN_COM_EQY",DataStart,DataEnd,"Per=M","Days=A","Fill=P")</f>
        <v/>
      </c>
      <c r="EJQ4" s="9">
        <f>BDH(EJQ$1,"RETURN_COM_EQY",DataStart,DataEnd,"Per=M","Days=A","Fill=P")</f>
        <v/>
      </c>
      <c r="EJS4" s="9">
        <f>BDH(EJS$1,"RETURN_COM_EQY",DataStart,DataEnd,"Per=M","Days=A","Fill=P")</f>
        <v/>
      </c>
      <c r="EJU4" s="9">
        <f>BDH(EJU$1,"RETURN_COM_EQY",DataStart,DataEnd,"Per=M","Days=A","Fill=P")</f>
        <v/>
      </c>
      <c r="EJW4" s="9">
        <f>BDH(EJW$1,"RETURN_COM_EQY",DataStart,DataEnd,"Per=M","Days=A","Fill=P")</f>
        <v/>
      </c>
      <c r="EJY4" s="9">
        <f>BDH(EJY$1,"RETURN_COM_EQY",DataStart,DataEnd,"Per=M","Days=A","Fill=P")</f>
        <v/>
      </c>
      <c r="EKA4" s="9">
        <f>BDH(EKA$1,"RETURN_COM_EQY",DataStart,DataEnd,"Per=M","Days=A","Fill=P")</f>
        <v/>
      </c>
      <c r="EKC4" s="9">
        <f>BDH(EKC$1,"RETURN_COM_EQY",DataStart,DataEnd,"Per=M","Days=A","Fill=P")</f>
        <v/>
      </c>
      <c r="EKE4" s="9">
        <f>BDH(EKE$1,"RETURN_COM_EQY",DataStart,DataEnd,"Per=M","Days=A","Fill=P")</f>
        <v/>
      </c>
      <c r="EKG4" s="9">
        <f>BDH(EKG$1,"RETURN_COM_EQY",DataStart,DataEnd,"Per=M","Days=A","Fill=P")</f>
        <v/>
      </c>
      <c r="EKI4" s="9">
        <f>BDH(EKI$1,"RETURN_COM_EQY",DataStart,DataEnd,"Per=M","Days=A","Fill=P")</f>
        <v/>
      </c>
      <c r="EKK4" s="9">
        <f>BDH(EKK$1,"RETURN_COM_EQY",DataStart,DataEnd,"Per=M","Days=A","Fill=P")</f>
        <v/>
      </c>
      <c r="EKM4" s="9">
        <f>BDH(EKM$1,"RETURN_COM_EQY",DataStart,DataEnd,"Per=M","Days=A","Fill=P")</f>
        <v/>
      </c>
      <c r="EKO4" s="9">
        <f>BDH(EKO$1,"RETURN_COM_EQY",DataStart,DataEnd,"Per=M","Days=A","Fill=P")</f>
        <v/>
      </c>
      <c r="EKQ4" s="9">
        <f>BDH(EKQ$1,"RETURN_COM_EQY",DataStart,DataEnd,"Per=M","Days=A","Fill=P")</f>
        <v/>
      </c>
      <c r="EKS4" s="9">
        <f>BDH(EKS$1,"RETURN_COM_EQY",DataStart,DataEnd,"Per=M","Days=A","Fill=P")</f>
        <v/>
      </c>
      <c r="EKU4" s="9">
        <f>BDH(EKU$1,"RETURN_COM_EQY",DataStart,DataEnd,"Per=M","Days=A","Fill=P")</f>
        <v/>
      </c>
      <c r="EKW4" s="9">
        <f>BDH(EKW$1,"RETURN_COM_EQY",DataStart,DataEnd,"Per=M","Days=A","Fill=P")</f>
        <v/>
      </c>
      <c r="EKY4" s="9">
        <f>BDH(EKY$1,"RETURN_COM_EQY",DataStart,DataEnd,"Per=M","Days=A","Fill=P")</f>
        <v/>
      </c>
      <c r="ELA4" s="9">
        <f>BDH(ELA$1,"RETURN_COM_EQY",DataStart,DataEnd,"Per=M","Days=A","Fill=P")</f>
        <v/>
      </c>
      <c r="ELC4" s="9">
        <f>BDH(ELC$1,"RETURN_COM_EQY",DataStart,DataEnd,"Per=M","Days=A","Fill=P")</f>
        <v/>
      </c>
      <c r="ELE4" s="9">
        <f>BDH(ELE$1,"RETURN_COM_EQY",DataStart,DataEnd,"Per=M","Days=A","Fill=P")</f>
        <v/>
      </c>
      <c r="ELG4" s="9">
        <f>BDH(ELG$1,"RETURN_COM_EQY",DataStart,DataEnd,"Per=M","Days=A","Fill=P")</f>
        <v/>
      </c>
      <c r="ELI4" s="9">
        <f>BDH(ELI$1,"RETURN_COM_EQY",DataStart,DataEnd,"Per=M","Days=A","Fill=P")</f>
        <v/>
      </c>
      <c r="ELK4" s="9">
        <f>BDH(ELK$1,"RETURN_COM_EQY",DataStart,DataEnd,"Per=M","Days=A","Fill=P")</f>
        <v/>
      </c>
      <c r="ELM4" s="9">
        <f>BDH(ELM$1,"RETURN_COM_EQY",DataStart,DataEnd,"Per=M","Days=A","Fill=P")</f>
        <v/>
      </c>
      <c r="ELO4" s="9">
        <f>BDH(ELO$1,"RETURN_COM_EQY",DataStart,DataEnd,"Per=M","Days=A","Fill=P")</f>
        <v/>
      </c>
      <c r="ELQ4" s="9">
        <f>BDH(ELQ$1,"RETURN_COM_EQY",DataStart,DataEnd,"Per=M","Days=A","Fill=P")</f>
        <v/>
      </c>
      <c r="ELS4" s="9">
        <f>BDH(ELS$1,"RETURN_COM_EQY",DataStart,DataEnd,"Per=M","Days=A","Fill=P")</f>
        <v/>
      </c>
      <c r="ELU4" s="9">
        <f>BDH(ELU$1,"RETURN_COM_EQY",DataStart,DataEnd,"Per=M","Days=A","Fill=P")</f>
        <v/>
      </c>
      <c r="ELW4" s="9">
        <f>BDH(ELW$1,"RETURN_COM_EQY",DataStart,DataEnd,"Per=M","Days=A","Fill=P")</f>
        <v/>
      </c>
      <c r="ELY4" s="9">
        <f>BDH(ELY$1,"RETURN_COM_EQY",DataStart,DataEnd,"Per=M","Days=A","Fill=P")</f>
        <v/>
      </c>
      <c r="EMA4" s="9">
        <f>BDH(EMA$1,"RETURN_COM_EQY",DataStart,DataEnd,"Per=M","Days=A","Fill=P")</f>
        <v/>
      </c>
      <c r="EMC4" s="9">
        <f>BDH(EMC$1,"RETURN_COM_EQY",DataStart,DataEnd,"Per=M","Days=A","Fill=P")</f>
        <v/>
      </c>
      <c r="EME4" s="9">
        <f>BDH(EME$1,"RETURN_COM_EQY",DataStart,DataEnd,"Per=M","Days=A","Fill=P")</f>
        <v/>
      </c>
      <c r="EMG4" s="9">
        <f>BDH(EMG$1,"RETURN_COM_EQY",DataStart,DataEnd,"Per=M","Days=A","Fill=P")</f>
        <v/>
      </c>
      <c r="EMI4" s="9">
        <f>BDH(EMI$1,"RETURN_COM_EQY",DataStart,DataEnd,"Per=M","Days=A","Fill=P")</f>
        <v/>
      </c>
      <c r="EMK4" s="9">
        <f>BDH(EMK$1,"RETURN_COM_EQY",DataStart,DataEnd,"Per=M","Days=A","Fill=P")</f>
        <v/>
      </c>
      <c r="EMM4" s="9">
        <f>BDH(EMM$1,"RETURN_COM_EQY",DataStart,DataEnd,"Per=M","Days=A","Fill=P")</f>
        <v/>
      </c>
      <c r="EMO4" s="9">
        <f>BDH(EMO$1,"RETURN_COM_EQY",DataStart,DataEnd,"Per=M","Days=A","Fill=P")</f>
        <v/>
      </c>
      <c r="EMQ4" s="9">
        <f>BDH(EMQ$1,"RETURN_COM_EQY",DataStart,DataEnd,"Per=M","Days=A","Fill=P")</f>
        <v/>
      </c>
      <c r="EMS4" s="9">
        <f>BDH(EMS$1,"RETURN_COM_EQY",DataStart,DataEnd,"Per=M","Days=A","Fill=P")</f>
        <v/>
      </c>
      <c r="EMU4" s="9">
        <f>BDH(EMU$1,"RETURN_COM_EQY",DataStart,DataEnd,"Per=M","Days=A","Fill=P")</f>
        <v/>
      </c>
      <c r="EMW4" s="9">
        <f>BDH(EMW$1,"RETURN_COM_EQY",DataStart,DataEnd,"Per=M","Days=A","Fill=P")</f>
        <v/>
      </c>
      <c r="EMY4" s="9">
        <f>BDH(EMY$1,"RETURN_COM_EQY",DataStart,DataEnd,"Per=M","Days=A","Fill=P")</f>
        <v/>
      </c>
      <c r="ENA4" s="9">
        <f>BDH(ENA$1,"RETURN_COM_EQY",DataStart,DataEnd,"Per=M","Days=A","Fill=P")</f>
        <v/>
      </c>
      <c r="ENC4" s="9">
        <f>BDH(ENC$1,"RETURN_COM_EQY",DataStart,DataEnd,"Per=M","Days=A","Fill=P")</f>
        <v/>
      </c>
      <c r="ENE4" s="9">
        <f>BDH(ENE$1,"RETURN_COM_EQY",DataStart,DataEnd,"Per=M","Days=A","Fill=P")</f>
        <v/>
      </c>
      <c r="ENG4" s="9">
        <f>BDH(ENG$1,"RETURN_COM_EQY",DataStart,DataEnd,"Per=M","Days=A","Fill=P")</f>
        <v/>
      </c>
      <c r="ENI4" s="9">
        <f>BDH(ENI$1,"RETURN_COM_EQY",DataStart,DataEnd,"Per=M","Days=A","Fill=P")</f>
        <v/>
      </c>
      <c r="ENK4" s="9">
        <f>BDH(ENK$1,"RETURN_COM_EQY",DataStart,DataEnd,"Per=M","Days=A","Fill=P")</f>
        <v/>
      </c>
      <c r="ENM4" s="9">
        <f>BDH(ENM$1,"RETURN_COM_EQY",DataStart,DataEnd,"Per=M","Days=A","Fill=P")</f>
        <v/>
      </c>
      <c r="ENO4" s="9">
        <f>BDH(ENO$1,"RETURN_COM_EQY",DataStart,DataEnd,"Per=M","Days=A","Fill=P")</f>
        <v/>
      </c>
      <c r="ENQ4" s="9">
        <f>BDH(ENQ$1,"RETURN_COM_EQY",DataStart,DataEnd,"Per=M","Days=A","Fill=P")</f>
        <v/>
      </c>
      <c r="ENS4" s="9">
        <f>BDH(ENS$1,"RETURN_COM_EQY",DataStart,DataEnd,"Per=M","Days=A","Fill=P")</f>
        <v/>
      </c>
      <c r="ENU4" s="9">
        <f>BDH(ENU$1,"RETURN_COM_EQY",DataStart,DataEnd,"Per=M","Days=A","Fill=P")</f>
        <v/>
      </c>
      <c r="ENW4" s="9">
        <f>BDH(ENW$1,"RETURN_COM_EQY",DataStart,DataEnd,"Per=M","Days=A","Fill=P")</f>
        <v/>
      </c>
      <c r="ENY4" s="9">
        <f>BDH(ENY$1,"RETURN_COM_EQY",DataStart,DataEnd,"Per=M","Days=A","Fill=P")</f>
        <v/>
      </c>
      <c r="EOA4" s="9">
        <f>BDH(EOA$1,"RETURN_COM_EQY",DataStart,DataEnd,"Per=M","Days=A","Fill=P")</f>
        <v/>
      </c>
      <c r="EOC4" s="9">
        <f>BDH(EOC$1,"RETURN_COM_EQY",DataStart,DataEnd,"Per=M","Days=A","Fill=P")</f>
        <v/>
      </c>
      <c r="EOE4" s="9">
        <f>BDH(EOE$1,"RETURN_COM_EQY",DataStart,DataEnd,"Per=M","Days=A","Fill=P")</f>
        <v/>
      </c>
      <c r="EOG4" s="9">
        <f>BDH(EOG$1,"RETURN_COM_EQY",DataStart,DataEnd,"Per=M","Days=A","Fill=P")</f>
        <v/>
      </c>
      <c r="EOI4" s="9">
        <f>BDH(EOI$1,"RETURN_COM_EQY",DataStart,DataEnd,"Per=M","Days=A","Fill=P")</f>
        <v/>
      </c>
      <c r="EOK4" s="9">
        <f>BDH(EOK$1,"RETURN_COM_EQY",DataStart,DataEnd,"Per=M","Days=A","Fill=P")</f>
        <v/>
      </c>
      <c r="EOM4" s="9">
        <f>BDH(EOM$1,"RETURN_COM_EQY",DataStart,DataEnd,"Per=M","Days=A","Fill=P")</f>
        <v/>
      </c>
      <c r="EOO4" s="9">
        <f>BDH(EOO$1,"RETURN_COM_EQY",DataStart,DataEnd,"Per=M","Days=A","Fill=P")</f>
        <v/>
      </c>
      <c r="EOQ4" s="9">
        <f>BDH(EOQ$1,"RETURN_COM_EQY",DataStart,DataEnd,"Per=M","Days=A","Fill=P")</f>
        <v/>
      </c>
      <c r="EOS4" s="9">
        <f>BDH(EOS$1,"RETURN_COM_EQY",DataStart,DataEnd,"Per=M","Days=A","Fill=P")</f>
        <v/>
      </c>
      <c r="EOU4" s="9">
        <f>BDH(EOU$1,"RETURN_COM_EQY",DataStart,DataEnd,"Per=M","Days=A","Fill=P")</f>
        <v/>
      </c>
      <c r="EOW4" s="9">
        <f>BDH(EOW$1,"RETURN_COM_EQY",DataStart,DataEnd,"Per=M","Days=A","Fill=P")</f>
        <v/>
      </c>
      <c r="EOY4" s="9">
        <f>BDH(EOY$1,"RETURN_COM_EQY",DataStart,DataEnd,"Per=M","Days=A","Fill=P")</f>
        <v/>
      </c>
      <c r="EPA4" s="9">
        <f>BDH(EPA$1,"RETURN_COM_EQY",DataStart,DataEnd,"Per=M","Days=A","Fill=P")</f>
        <v/>
      </c>
      <c r="EPC4" s="9">
        <f>BDH(EPC$1,"RETURN_COM_EQY",DataStart,DataEnd,"Per=M","Days=A","Fill=P")</f>
        <v/>
      </c>
      <c r="EPE4" s="9">
        <f>BDH(EPE$1,"RETURN_COM_EQY",DataStart,DataEnd,"Per=M","Days=A","Fill=P")</f>
        <v/>
      </c>
      <c r="EPG4" s="9">
        <f>BDH(EPG$1,"RETURN_COM_EQY",DataStart,DataEnd,"Per=M","Days=A","Fill=P")</f>
        <v/>
      </c>
      <c r="EPI4" s="9">
        <f>BDH(EPI$1,"RETURN_COM_EQY",DataStart,DataEnd,"Per=M","Days=A","Fill=P")</f>
        <v/>
      </c>
      <c r="EPK4" s="9">
        <f>BDH(EPK$1,"RETURN_COM_EQY",DataStart,DataEnd,"Per=M","Days=A","Fill=P")</f>
        <v/>
      </c>
      <c r="EPM4" s="9">
        <f>BDH(EPM$1,"RETURN_COM_EQY",DataStart,DataEnd,"Per=M","Days=A","Fill=P")</f>
        <v/>
      </c>
      <c r="EPO4" s="9">
        <f>BDH(EPO$1,"RETURN_COM_EQY",DataStart,DataEnd,"Per=M","Days=A","Fill=P")</f>
        <v/>
      </c>
      <c r="EPQ4" s="9">
        <f>BDH(EPQ$1,"RETURN_COM_EQY",DataStart,DataEnd,"Per=M","Days=A","Fill=P")</f>
        <v/>
      </c>
      <c r="EPS4" s="9">
        <f>BDH(EPS$1,"RETURN_COM_EQY",DataStart,DataEnd,"Per=M","Days=A","Fill=P")</f>
        <v/>
      </c>
      <c r="EPU4" s="9">
        <f>BDH(EPU$1,"RETURN_COM_EQY",DataStart,DataEnd,"Per=M","Days=A","Fill=P")</f>
        <v/>
      </c>
      <c r="EPW4" s="9">
        <f>BDH(EPW$1,"RETURN_COM_EQY",DataStart,DataEnd,"Per=M","Days=A","Fill=P")</f>
        <v/>
      </c>
      <c r="EPY4" s="9">
        <f>BDH(EPY$1,"RETURN_COM_EQY",DataStart,DataEnd,"Per=M","Days=A","Fill=P")</f>
        <v/>
      </c>
      <c r="EQA4" s="9">
        <f>BDH(EQA$1,"RETURN_COM_EQY",DataStart,DataEnd,"Per=M","Days=A","Fill=P")</f>
        <v/>
      </c>
      <c r="EQC4" s="9">
        <f>BDH(EQC$1,"RETURN_COM_EQY",DataStart,DataEnd,"Per=M","Days=A","Fill=P")</f>
        <v/>
      </c>
      <c r="EQE4" s="9">
        <f>BDH(EQE$1,"RETURN_COM_EQY",DataStart,DataEnd,"Per=M","Days=A","Fill=P")</f>
        <v/>
      </c>
      <c r="EQG4" s="9">
        <f>BDH(EQG$1,"RETURN_COM_EQY",DataStart,DataEnd,"Per=M","Days=A","Fill=P")</f>
        <v/>
      </c>
      <c r="EQI4" s="9">
        <f>BDH(EQI$1,"RETURN_COM_EQY",DataStart,DataEnd,"Per=M","Days=A","Fill=P")</f>
        <v/>
      </c>
      <c r="EQK4" s="9">
        <f>BDH(EQK$1,"RETURN_COM_EQY",DataStart,DataEnd,"Per=M","Days=A","Fill=P")</f>
        <v/>
      </c>
      <c r="EQM4" s="9">
        <f>BDH(EQM$1,"RETURN_COM_EQY",DataStart,DataEnd,"Per=M","Days=A","Fill=P")</f>
        <v/>
      </c>
      <c r="EQO4" s="9">
        <f>BDH(EQO$1,"RETURN_COM_EQY",DataStart,DataEnd,"Per=M","Days=A","Fill=P")</f>
        <v/>
      </c>
      <c r="EQQ4" s="9">
        <f>BDH(EQQ$1,"RETURN_COM_EQY",DataStart,DataEnd,"Per=M","Days=A","Fill=P")</f>
        <v/>
      </c>
      <c r="EQS4" s="9">
        <f>BDH(EQS$1,"RETURN_COM_EQY",DataStart,DataEnd,"Per=M","Days=A","Fill=P")</f>
        <v/>
      </c>
      <c r="EQU4" s="9">
        <f>BDH(EQU$1,"RETURN_COM_EQY",DataStart,DataEnd,"Per=M","Days=A","Fill=P")</f>
        <v/>
      </c>
      <c r="EQW4" s="9">
        <f>BDH(EQW$1,"RETURN_COM_EQY",DataStart,DataEnd,"Per=M","Days=A","Fill=P")</f>
        <v/>
      </c>
      <c r="EQY4" s="9">
        <f>BDH(EQY$1,"RETURN_COM_EQY",DataStart,DataEnd,"Per=M","Days=A","Fill=P")</f>
        <v/>
      </c>
      <c r="ERA4" s="9">
        <f>BDH(ERA$1,"RETURN_COM_EQY",DataStart,DataEnd,"Per=M","Days=A","Fill=P")</f>
        <v/>
      </c>
      <c r="ERC4" s="9">
        <f>BDH(ERC$1,"RETURN_COM_EQY",DataStart,DataEnd,"Per=M","Days=A","Fill=P")</f>
        <v/>
      </c>
      <c r="ERE4" s="9">
        <f>BDH(ERE$1,"RETURN_COM_EQY",DataStart,DataEnd,"Per=M","Days=A","Fill=P")</f>
        <v/>
      </c>
      <c r="ERG4" s="9">
        <f>BDH(ERG$1,"RETURN_COM_EQY",DataStart,DataEnd,"Per=M","Days=A","Fill=P")</f>
        <v/>
      </c>
      <c r="ERI4" s="9">
        <f>BDH(ERI$1,"RETURN_COM_EQY",DataStart,DataEnd,"Per=M","Days=A","Fill=P")</f>
        <v/>
      </c>
      <c r="ERK4" s="9">
        <f>BDH(ERK$1,"RETURN_COM_EQY",DataStart,DataEnd,"Per=M","Days=A","Fill=P")</f>
        <v/>
      </c>
      <c r="ERM4" s="9">
        <f>BDH(ERM$1,"RETURN_COM_EQY",DataStart,DataEnd,"Per=M","Days=A","Fill=P")</f>
        <v/>
      </c>
      <c r="ERO4" s="9">
        <f>BDH(ERO$1,"RETURN_COM_EQY",DataStart,DataEnd,"Per=M","Days=A","Fill=P")</f>
        <v/>
      </c>
      <c r="ERQ4" s="9">
        <f>BDH(ERQ$1,"RETURN_COM_EQY",DataStart,DataEnd,"Per=M","Days=A","Fill=P")</f>
        <v/>
      </c>
      <c r="ERS4" s="9">
        <f>BDH(ERS$1,"RETURN_COM_EQY",DataStart,DataEnd,"Per=M","Days=A","Fill=P")</f>
        <v/>
      </c>
      <c r="ERU4" s="9">
        <f>BDH(ERU$1,"RETURN_COM_EQY",DataStart,DataEnd,"Per=M","Days=A","Fill=P")</f>
        <v/>
      </c>
      <c r="ERW4" s="9">
        <f>BDH(ERW$1,"RETURN_COM_EQY",DataStart,DataEnd,"Per=M","Days=A","Fill=P")</f>
        <v/>
      </c>
      <c r="ERY4" s="9">
        <f>BDH(ERY$1,"RETURN_COM_EQY",DataStart,DataEnd,"Per=M","Days=A","Fill=P")</f>
        <v/>
      </c>
      <c r="ESA4" s="9">
        <f>BDH(ESA$1,"RETURN_COM_EQY",DataStart,DataEnd,"Per=M","Days=A","Fill=P")</f>
        <v/>
      </c>
      <c r="ESC4" s="9">
        <f>BDH(ESC$1,"RETURN_COM_EQY",DataStart,DataEnd,"Per=M","Days=A","Fill=P")</f>
        <v/>
      </c>
      <c r="ESE4" s="9">
        <f>BDH(ESE$1,"RETURN_COM_EQY",DataStart,DataEnd,"Per=M","Days=A","Fill=P")</f>
        <v/>
      </c>
      <c r="ESG4" s="9">
        <f>BDH(ESG$1,"RETURN_COM_EQY",DataStart,DataEnd,"Per=M","Days=A","Fill=P")</f>
        <v/>
      </c>
      <c r="ESI4" s="9">
        <f>BDH(ESI$1,"RETURN_COM_EQY",DataStart,DataEnd,"Per=M","Days=A","Fill=P")</f>
        <v/>
      </c>
      <c r="ESK4" s="9">
        <f>BDH(ESK$1,"RETURN_COM_EQY",DataStart,DataEnd,"Per=M","Days=A","Fill=P")</f>
        <v/>
      </c>
      <c r="ESM4" s="9">
        <f>BDH(ESM$1,"RETURN_COM_EQY",DataStart,DataEnd,"Per=M","Days=A","Fill=P")</f>
        <v/>
      </c>
      <c r="ESO4" s="9">
        <f>BDH(ESO$1,"RETURN_COM_EQY",DataStart,DataEnd,"Per=M","Days=A","Fill=P")</f>
        <v/>
      </c>
      <c r="ESQ4" s="9">
        <f>BDH(ESQ$1,"RETURN_COM_EQY",DataStart,DataEnd,"Per=M","Days=A","Fill=P")</f>
        <v/>
      </c>
      <c r="ESS4" s="9">
        <f>BDH(ESS$1,"RETURN_COM_EQY",DataStart,DataEnd,"Per=M","Days=A","Fill=P")</f>
        <v/>
      </c>
      <c r="ESU4" s="9">
        <f>BDH(ESU$1,"RETURN_COM_EQY",DataStart,DataEnd,"Per=M","Days=A","Fill=P")</f>
        <v/>
      </c>
      <c r="ESW4" s="9">
        <f>BDH(ESW$1,"RETURN_COM_EQY",DataStart,DataEnd,"Per=M","Days=A","Fill=P")</f>
        <v/>
      </c>
      <c r="ESY4" s="9">
        <f>BDH(ESY$1,"RETURN_COM_EQY",DataStart,DataEnd,"Per=M","Days=A","Fill=P")</f>
        <v/>
      </c>
      <c r="ETA4" s="9">
        <f>BDH(ETA$1,"RETURN_COM_EQY",DataStart,DataEnd,"Per=M","Days=A","Fill=P")</f>
        <v/>
      </c>
      <c r="ETC4" s="9">
        <f>BDH(ETC$1,"RETURN_COM_EQY",DataStart,DataEnd,"Per=M","Days=A","Fill=P")</f>
        <v/>
      </c>
      <c r="ETE4" s="9">
        <f>BDH(ETE$1,"RETURN_COM_EQY",DataStart,DataEnd,"Per=M","Days=A","Fill=P")</f>
        <v/>
      </c>
      <c r="ETG4" s="9">
        <f>BDH(ETG$1,"RETURN_COM_EQY",DataStart,DataEnd,"Per=M","Days=A","Fill=P")</f>
        <v/>
      </c>
      <c r="ETI4" s="9">
        <f>BDH(ETI$1,"RETURN_COM_EQY",DataStart,DataEnd,"Per=M","Days=A","Fill=P")</f>
        <v/>
      </c>
      <c r="ETK4" s="9">
        <f>BDH(ETK$1,"RETURN_COM_EQY",DataStart,DataEnd,"Per=M","Days=A","Fill=P")</f>
        <v/>
      </c>
      <c r="ETM4" s="9">
        <f>BDH(ETM$1,"RETURN_COM_EQY",DataStart,DataEnd,"Per=M","Days=A","Fill=P")</f>
        <v/>
      </c>
      <c r="ETO4" s="9">
        <f>BDH(ETO$1,"RETURN_COM_EQY",DataStart,DataEnd,"Per=M","Days=A","Fill=P")</f>
        <v/>
      </c>
      <c r="ETQ4" s="9">
        <f>BDH(ETQ$1,"RETURN_COM_EQY",DataStart,DataEnd,"Per=M","Days=A","Fill=P")</f>
        <v/>
      </c>
      <c r="ETS4" s="9">
        <f>BDH(ETS$1,"RETURN_COM_EQY",DataStart,DataEnd,"Per=M","Days=A","Fill=P")</f>
        <v/>
      </c>
      <c r="ETU4" s="9">
        <f>BDH(ETU$1,"RETURN_COM_EQY",DataStart,DataEnd,"Per=M","Days=A","Fill=P")</f>
        <v/>
      </c>
      <c r="ETW4" s="9">
        <f>BDH(ETW$1,"RETURN_COM_EQY",DataStart,DataEnd,"Per=M","Days=A","Fill=P")</f>
        <v/>
      </c>
      <c r="ETY4" s="9">
        <f>BDH(ETY$1,"RETURN_COM_EQY",DataStart,DataEnd,"Per=M","Days=A","Fill=P")</f>
        <v/>
      </c>
      <c r="EUA4" s="9">
        <f>BDH(EUA$1,"RETURN_COM_EQY",DataStart,DataEnd,"Per=M","Days=A","Fill=P")</f>
        <v/>
      </c>
      <c r="EUC4" s="9">
        <f>BDH(EUC$1,"RETURN_COM_EQY",DataStart,DataEnd,"Per=M","Days=A","Fill=P")</f>
        <v/>
      </c>
      <c r="EUE4" s="9">
        <f>BDH(EUE$1,"RETURN_COM_EQY",DataStart,DataEnd,"Per=M","Days=A","Fill=P")</f>
        <v/>
      </c>
      <c r="EUG4" s="9">
        <f>BDH(EUG$1,"RETURN_COM_EQY",DataStart,DataEnd,"Per=M","Days=A","Fill=P")</f>
        <v/>
      </c>
      <c r="EUI4" s="9">
        <f>BDH(EUI$1,"RETURN_COM_EQY",DataStart,DataEnd,"Per=M","Days=A","Fill=P")</f>
        <v/>
      </c>
      <c r="EUK4" s="9">
        <f>BDH(EUK$1,"RETURN_COM_EQY",DataStart,DataEnd,"Per=M","Days=A","Fill=P")</f>
        <v/>
      </c>
      <c r="EUM4" s="9">
        <f>BDH(EUM$1,"RETURN_COM_EQY",DataStart,DataEnd,"Per=M","Days=A","Fill=P")</f>
        <v/>
      </c>
      <c r="EUO4" s="9">
        <f>BDH(EUO$1,"RETURN_COM_EQY",DataStart,DataEnd,"Per=M","Days=A","Fill=P")</f>
        <v/>
      </c>
      <c r="EUQ4" s="9">
        <f>BDH(EUQ$1,"RETURN_COM_EQY",DataStart,DataEnd,"Per=M","Days=A","Fill=P")</f>
        <v/>
      </c>
      <c r="EUS4" s="9">
        <f>BDH(EUS$1,"RETURN_COM_EQY",DataStart,DataEnd,"Per=M","Days=A","Fill=P")</f>
        <v/>
      </c>
      <c r="EUU4" s="9">
        <f>BDH(EUU$1,"RETURN_COM_EQY",DataStart,DataEnd,"Per=M","Days=A","Fill=P")</f>
        <v/>
      </c>
      <c r="EUW4" s="9">
        <f>BDH(EUW$1,"RETURN_COM_EQY",DataStart,DataEnd,"Per=M","Days=A","Fill=P")</f>
        <v/>
      </c>
      <c r="EUY4" s="9">
        <f>BDH(EUY$1,"RETURN_COM_EQY",DataStart,DataEnd,"Per=M","Days=A","Fill=P")</f>
        <v/>
      </c>
      <c r="EVA4" s="9">
        <f>BDH(EVA$1,"RETURN_COM_EQY",DataStart,DataEnd,"Per=M","Days=A","Fill=P")</f>
        <v/>
      </c>
      <c r="EVC4" s="9">
        <f>BDH(EVC$1,"RETURN_COM_EQY",DataStart,DataEnd,"Per=M","Days=A","Fill=P")</f>
        <v/>
      </c>
      <c r="EVE4" s="9">
        <f>BDH(EVE$1,"RETURN_COM_EQY",DataStart,DataEnd,"Per=M","Days=A","Fill=P")</f>
        <v/>
      </c>
      <c r="EVG4" s="9">
        <f>BDH(EVG$1,"RETURN_COM_EQY",DataStart,DataEnd,"Per=M","Days=A","Fill=P")</f>
        <v/>
      </c>
      <c r="EVI4" s="9">
        <f>BDH(EVI$1,"RETURN_COM_EQY",DataStart,DataEnd,"Per=M","Days=A","Fill=P")</f>
        <v/>
      </c>
      <c r="EVK4" s="9">
        <f>BDH(EVK$1,"RETURN_COM_EQY",DataStart,DataEnd,"Per=M","Days=A","Fill=P")</f>
        <v/>
      </c>
      <c r="EVM4" s="9">
        <f>BDH(EVM$1,"RETURN_COM_EQY",DataStart,DataEnd,"Per=M","Days=A","Fill=P")</f>
        <v/>
      </c>
      <c r="EVO4" s="9">
        <f>BDH(EVO$1,"RETURN_COM_EQY",DataStart,DataEnd,"Per=M","Days=A","Fill=P")</f>
        <v/>
      </c>
      <c r="EVQ4" s="9">
        <f>BDH(EVQ$1,"RETURN_COM_EQY",DataStart,DataEnd,"Per=M","Days=A","Fill=P")</f>
        <v/>
      </c>
      <c r="EVS4" s="9">
        <f>BDH(EVS$1,"RETURN_COM_EQY",DataStart,DataEnd,"Per=M","Days=A","Fill=P")</f>
        <v/>
      </c>
      <c r="EVU4" s="9">
        <f>BDH(EVU$1,"RETURN_COM_EQY",DataStart,DataEnd,"Per=M","Days=A","Fill=P")</f>
        <v/>
      </c>
      <c r="EVW4" s="9">
        <f>BDH(EVW$1,"RETURN_COM_EQY",DataStart,DataEnd,"Per=M","Days=A","Fill=P")</f>
        <v/>
      </c>
      <c r="EVY4" s="9">
        <f>BDH(EVY$1,"RETURN_COM_EQY",DataStart,DataEnd,"Per=M","Days=A","Fill=P")</f>
        <v/>
      </c>
      <c r="EWA4" s="9">
        <f>BDH(EWA$1,"RETURN_COM_EQY",DataStart,DataEnd,"Per=M","Days=A","Fill=P")</f>
        <v/>
      </c>
      <c r="EWC4" s="9">
        <f>BDH(EWC$1,"RETURN_COM_EQY",DataStart,DataEnd,"Per=M","Days=A","Fill=P")</f>
        <v/>
      </c>
      <c r="EWE4" s="9">
        <f>BDH(EWE$1,"RETURN_COM_EQY",DataStart,DataEnd,"Per=M","Days=A","Fill=P")</f>
        <v/>
      </c>
      <c r="EWG4" s="9">
        <f>BDH(EWG$1,"RETURN_COM_EQY",DataStart,DataEnd,"Per=M","Days=A","Fill=P")</f>
        <v/>
      </c>
      <c r="EWI4" s="9">
        <f>BDH(EWI$1,"RETURN_COM_EQY",DataStart,DataEnd,"Per=M","Days=A","Fill=P")</f>
        <v/>
      </c>
      <c r="EWK4" s="9">
        <f>BDH(EWK$1,"RETURN_COM_EQY",DataStart,DataEnd,"Per=M","Days=A","Fill=P")</f>
        <v/>
      </c>
      <c r="EWM4" s="9">
        <f>BDH(EWM$1,"RETURN_COM_EQY",DataStart,DataEnd,"Per=M","Days=A","Fill=P")</f>
        <v/>
      </c>
      <c r="EWO4" s="9">
        <f>BDH(EWO$1,"RETURN_COM_EQY",DataStart,DataEnd,"Per=M","Days=A","Fill=P")</f>
        <v/>
      </c>
      <c r="EWQ4" s="9">
        <f>BDH(EWQ$1,"RETURN_COM_EQY",DataStart,DataEnd,"Per=M","Days=A","Fill=P")</f>
        <v/>
      </c>
      <c r="EWS4" s="9">
        <f>BDH(EWS$1,"RETURN_COM_EQY",DataStart,DataEnd,"Per=M","Days=A","Fill=P")</f>
        <v/>
      </c>
      <c r="EWU4" s="9">
        <f>BDH(EWU$1,"RETURN_COM_EQY",DataStart,DataEnd,"Per=M","Days=A","Fill=P")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1.7109375" style="9" customWidth="1"/>
    <col min="2" max="2" width="14.7109375" customWidth="1"/>
    <col min="3" max="3" width="11.7109375" style="9" customWidth="1"/>
    <col min="4" max="4" width="14.7109375" customWidth="1"/>
  </cols>
  <sheetData>
    <row r="1" spans="1:4">
      <c r="A1" s="11">
        <f>BenchTicker</f>
        <v/>
      </c>
      <c r="C1" s="11">
        <f>RfTicker</f>
        <v/>
      </c>
    </row>
    <row r="2" spans="1:4">
      <c r="A2" s="8">
        <f>COUNT(B4:B400)</f>
        <v>0</v>
      </c>
      <c r="C2" s="8">
        <f>COUNT(D4:D400)</f>
        <v>0</v>
      </c>
    </row>
    <row r="3" spans="1:4">
      <c r="A3" s="10" t="s">
        <v>67</v>
      </c>
      <c r="B3" s="10" t="s">
        <v>71</v>
      </c>
      <c r="C3" s="10" t="s">
        <v>67</v>
      </c>
      <c r="D3" s="10" t="s">
        <v>71</v>
      </c>
    </row>
    <row r="4" spans="1:4">
      <c r="A4" s="9">
        <f>BDH(A$1,"PX_LAST",DataStart,DataEnd,"Per=M","Days=A","Fill=P")</f>
        <v/>
      </c>
      <c r="C4" s="9">
        <f>BDH(C$1,"PX_LAST",DataStart,DataEnd,"Per=M","Days=A","Fill=P")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README</vt:lpstr>
      <vt:lpstr>Params</vt:lpstr>
      <vt:lpstr>Members</vt:lpstr>
      <vt:lpstr>Universe</vt:lpstr>
      <vt:lpstr>TR</vt:lpstr>
      <vt:lpstr>PB</vt:lpstr>
      <vt:lpstr>ROE</vt:lpstr>
      <vt:lpstr>Benchmark</vt:lpstr>
      <vt:lpstr>BenchTicker</vt:lpstr>
      <vt:lpstr>DataEnd</vt:lpstr>
      <vt:lpstr>DataStart</vt:lpstr>
      <vt:lpstr>FxCurrency</vt:lpstr>
      <vt:lpstr>IndexTicker</vt:lpstr>
      <vt:lpstr>MembersStart</vt:lpstr>
      <vt:lpstr>RfTicker</vt:lpstr>
      <vt:lpstr>SwitchPB</vt:lpstr>
      <vt:lpstr>SwitchROE</vt:lpstr>
      <vt:lpstr>SwitchTR</vt:lpstr>
      <vt:lpstr>SwitchUniverse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2026-10-11T21:51:38Z</dcterms:created>
  <dcterms:modified xsi:type="dcterms:W3CDTF">2026-10-11T21:51:38Z</dcterms:modified>
</cp:coreProperties>
</file>